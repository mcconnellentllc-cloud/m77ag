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Connell\M77-Ag\zProject Files\M77 Ag Farm\"/>
    </mc:Choice>
  </mc:AlternateContent>
  <xr:revisionPtr revIDLastSave="0" documentId="8_{F2959AA5-6325-43F3-8014-D2375F6E3898}" xr6:coauthVersionLast="47" xr6:coauthVersionMax="47" xr10:uidLastSave="{00000000-0000-0000-0000-000000000000}"/>
  <bookViews>
    <workbookView xWindow="0" yWindow="0" windowWidth="28650" windowHeight="15600" tabRatio="751" activeTab="4" xr2:uid="{DB475E6F-74FA-4AA4-9557-F64816DF6C71}"/>
  </bookViews>
  <sheets>
    <sheet name="CROP INS. BREAKDOWN" sheetId="21" r:id="rId1"/>
    <sheet name="DATA" sheetId="1" r:id="rId2"/>
    <sheet name="OVERVIEW" sheetId="13" r:id="rId3"/>
    <sheet name="Marketing" sheetId="23" r:id="rId4"/>
    <sheet name="ROTATION  PROGRAMS" sheetId="7" r:id="rId5"/>
    <sheet name="Planting Plan" sheetId="22" r:id="rId6"/>
    <sheet name="CORN INSURANCE REPORTING" sheetId="14" r:id="rId7"/>
    <sheet name="MILO INSURANCE" sheetId="24" r:id="rId8"/>
    <sheet name="WHEAT INSURANCE" sheetId="20" r:id="rId9"/>
  </sheets>
  <definedNames>
    <definedName name="_xlcn.WorksheetConnection_2018MCCENTLLCMASTER.xlsmFFTBL1" hidden="1">FFTBL[]</definedName>
    <definedName name="_xlcn.WorksheetConnection_2018MCCENTLLCMASTER.xlsmROTATIONTBL1" hidden="1">ROTATIONTBL[]</definedName>
    <definedName name="A1FARMS">DATA!$D$110:$D$115</definedName>
    <definedName name="ADDITIVE">#REF!</definedName>
    <definedName name="BBIFARMS">DATA!$D$20:$D$25</definedName>
    <definedName name="BINS">DATA!$B$278:$B$281</definedName>
    <definedName name="CLIENT" localSheetId="0">CLIENTTBL[CLIENT]</definedName>
    <definedName name="CLIENT" localSheetId="2">CLIENTTBL[CLIENT]</definedName>
    <definedName name="CLIENT" localSheetId="8">CLIENTTBL[CLIENT]</definedName>
    <definedName name="CLIENT">CLIENTTBL[CLIENT]</definedName>
    <definedName name="CLIENT2" localSheetId="0">CLIENTTBL[CLIENT]</definedName>
    <definedName name="CLIENT2" localSheetId="8">CLIENTTBL[CLIENT]</definedName>
    <definedName name="CLIENT2">CLIENTTBL[CLIENT]</definedName>
    <definedName name="COMBO">DATA!$D$83</definedName>
    <definedName name="CORN" localSheetId="0">DATA!$B$149:$B$152</definedName>
    <definedName name="CORN">DATA!$B$153:$B$157</definedName>
    <definedName name="CORNOP">DATA!$B$209:$B$228</definedName>
    <definedName name="CORNSPRAY">DATA!$B$393:$B$403</definedName>
    <definedName name="CROP" localSheetId="0">DATA!$A$121:$A$134</definedName>
    <definedName name="CROP">DATA!$A$119:$A$136</definedName>
    <definedName name="CROPSPRAY" localSheetId="0">DATA!$A$375:$A$378</definedName>
    <definedName name="CROPSPRAY">DATA!$A$386:$A$389</definedName>
    <definedName name="CROPYEAR" localSheetId="0">ROTATIONTBL[[#Headers],[2022 CROP]:[2025 CROP]]</definedName>
    <definedName name="CROPYEAR" localSheetId="2">ROTATIONTBL[[#Headers],[2023 CROP]:[2025 CROP]]</definedName>
    <definedName name="CROPYEAR" localSheetId="8">ROTATIONTBL[[#Headers],[2022 CROP]:[2025 CROP]]</definedName>
    <definedName name="CROPYEAR">ROTATIONTBL[[#Headers],[2022 CROP]:[2025 CROP]]</definedName>
    <definedName name="CUSTOMHIRE">DATA!$B$266</definedName>
    <definedName name="destination" localSheetId="0">LOCATIONTBL[DESTINATIONS]</definedName>
    <definedName name="destination" localSheetId="8">LOCATIONTBL[DESTINATIONS]</definedName>
    <definedName name="destination">LOCATIONTBL[DESTINATIONS]</definedName>
    <definedName name="DESTINATIONS" localSheetId="0">LOCATIONTBL[[#All],[DESTINATIONS]]</definedName>
    <definedName name="DESTINATIONS" localSheetId="2">LOCATIONTBL[[#All],[DESTINATIONS]]</definedName>
    <definedName name="DESTINATIONS" localSheetId="8">LOCATIONTBL[[#All],[DESTINATIONS]]</definedName>
    <definedName name="DESTINATIONS">LOCATIONTBL[[#All],[DESTINATIONS]]</definedName>
    <definedName name="ELEVATOR">DATA!$B$275:$B$277</definedName>
    <definedName name="EQUIPMENT">DATA!$B$249:$B$259</definedName>
    <definedName name="FARM" localSheetId="0">FFTBL[Farm]</definedName>
    <definedName name="FARM" localSheetId="2">FFTBL[Farm]</definedName>
    <definedName name="FARM" localSheetId="8">FFTBL[Farm]</definedName>
    <definedName name="FARM">FFTBL[Farm]</definedName>
    <definedName name="FARMS" localSheetId="0">FARMTBL[FARMS]</definedName>
    <definedName name="FARMS" localSheetId="2">FARMTBL[FARMS]</definedName>
    <definedName name="FARMS" localSheetId="8">FARMTBL[FARMS]</definedName>
    <definedName name="FARMS">FARMTBL[FARMS]</definedName>
    <definedName name="FERTILIZER">#REF!</definedName>
    <definedName name="FIELD" localSheetId="0">FFTBL[Field]</definedName>
    <definedName name="FIELD" localSheetId="2">FFTBL[Field]</definedName>
    <definedName name="FIELD" localSheetId="8">FFTBL[Field]</definedName>
    <definedName name="FIELD">FFTBL[Field]</definedName>
    <definedName name="FIELDACRE" localSheetId="0">FFTBL[[Field]:[TRACT]]</definedName>
    <definedName name="FIELDACRE" localSheetId="2">FFTBL[[Field]:[TRACT]]</definedName>
    <definedName name="FIELDACRE" localSheetId="8">FFTBL[[Field]:[TRACT]]</definedName>
    <definedName name="FIELDACRE">FFTBL[[Field]:[TRACT]]</definedName>
    <definedName name="FIELDARRAY">FFTBL[[Field]:[COUNTY2]]</definedName>
    <definedName name="FIELDS" localSheetId="0">FFTBL[Field]</definedName>
    <definedName name="FIELDS" localSheetId="8">FFTBL[Field]</definedName>
    <definedName name="FIELDS">FFTBL[Field]</definedName>
    <definedName name="FIELDTBL" localSheetId="0">FFTBL[[Field]:[TRACT]]</definedName>
    <definedName name="FIELDTBL" localSheetId="8">FFTBL[[Field]:[TRACT]]</definedName>
    <definedName name="FIELDTBL">FFTBL[[Field]:[TRACT]]</definedName>
    <definedName name="FORAGE" localSheetId="0">DATA!$B$153:$B$157</definedName>
    <definedName name="FORAGE">DATA!$B$158:$B$160</definedName>
    <definedName name="FORAGEOP">DATA!$B$229:$B$247</definedName>
    <definedName name="FORAGESPRAY">DATA!$B$421:$B$426</definedName>
    <definedName name="HDFARMS">DATA!$D$79:$D$95</definedName>
    <definedName name="INSURANCE">DATA!$B$205:$B$206</definedName>
    <definedName name="KBFARMS">DATA!$D$41:$D$65</definedName>
    <definedName name="LAFARMS">DATA!$D$16:$D$78</definedName>
    <definedName name="LAND">DATA!$B$265</definedName>
    <definedName name="LOCATION" localSheetId="0">DATA!$B$264:$B$266</definedName>
    <definedName name="LOCATION">DATA!$B$275:$B$277</definedName>
    <definedName name="LOCATIONS" localSheetId="0">LOCATIONTBL[[#All],[LOCATIONS]]</definedName>
    <definedName name="LOCATIONS" localSheetId="2">LOCATIONTBL[[#All],[LOCATIONS]]</definedName>
    <definedName name="LOCATIONS" localSheetId="8">LOCATIONTBL[[#All],[LOCATIONS]]</definedName>
    <definedName name="LOCATIONS">LOCATIONTBL[[#All],[LOCATIONS]]</definedName>
    <definedName name="LOCS" localSheetId="0">LOCATIONTBL[DESTINATIONS]</definedName>
    <definedName name="LOCS" localSheetId="2">LOCATIONTBL[DESTINATIONS]</definedName>
    <definedName name="LOCS" localSheetId="8">LOCATIONTBL[DESTINATIONS]</definedName>
    <definedName name="LOCS">LOCATIONTBL[DESTINATIONS]</definedName>
    <definedName name="MEFARMS">DATA!$D$97:$D$109</definedName>
    <definedName name="MILOSPRAY">DATA!$B$414:$B$420</definedName>
    <definedName name="NONSELECTIVE">#REF!</definedName>
    <definedName name="OPERATIONCOST">OPTBL[[OPERATION]:[$/UOM]]</definedName>
    <definedName name="OPERATIONCOST2024">OPTBL[[OPERATION]:[$/UOM]]</definedName>
    <definedName name="OPVLOOK" localSheetId="0">OPTBL[[OPERATION]:[$/UOM]]</definedName>
    <definedName name="OPVLOOK" localSheetId="2">OPTBL[[OPERATION]:[$/UOM]]</definedName>
    <definedName name="OPVLOOK" localSheetId="8">OPTBL[[OPERATION]:[$/UOM]]</definedName>
    <definedName name="OPVLOOK">OPTBL[[OPERATION]:[$/UOM]]</definedName>
    <definedName name="OUTBOUND">DATA!$B$282</definedName>
    <definedName name="PETERSON">DATA!$D$66:$D$77</definedName>
    <definedName name="PRODUCTNR" localSheetId="0">#REF!</definedName>
    <definedName name="PRODUCTNR" localSheetId="2">#REF!</definedName>
    <definedName name="PRODUCTNR" localSheetId="8">#REF!</definedName>
    <definedName name="PRODUCTNR">#REF!</definedName>
    <definedName name="RENT">DATA!$B$207:$B$208</definedName>
    <definedName name="ROTATIONCROPNR">ROTATIONTBL[[FIELD]:[2028 CROP]]</definedName>
    <definedName name="ROTATIONRG" localSheetId="0">#REF!</definedName>
    <definedName name="ROTATIONRG" localSheetId="2">FFTBL[[Field]:[COUNTY]]</definedName>
    <definedName name="ROTATIONRG" localSheetId="8">FFTBL[[Field]:[COUNTY]]</definedName>
    <definedName name="ROTATIONRG">FFTBL[[Field]:[COUNTY]]</definedName>
    <definedName name="SHARES" localSheetId="0">Table8[SHARES]</definedName>
    <definedName name="SHARES" localSheetId="8">Table8[SHARES]</definedName>
    <definedName name="SHARES">Table8[SHARES]</definedName>
    <definedName name="SORGHUMOP">DATA!$B$267:$B$268</definedName>
    <definedName name="SPLIT" localSheetId="0">DATA!$A$137:$A$139</definedName>
    <definedName name="SPLIT">DATA!$A$139:$A$141</definedName>
    <definedName name="SUPPLIER" localSheetId="0">#REF!</definedName>
    <definedName name="SUPPLIER" localSheetId="2">#REF!</definedName>
    <definedName name="SUPPLIER" localSheetId="8">#REF!</definedName>
    <definedName name="SUPPLIER">#REF!</definedName>
    <definedName name="Trucks" localSheetId="0">TRUCKTBL[TRUCKS]</definedName>
    <definedName name="Trucks" localSheetId="8">TRUCKTBL[TRUCKS]</definedName>
    <definedName name="Trucks">TRUCKTBL[TRUCKS]</definedName>
    <definedName name="TYPE" localSheetId="0">#REF!</definedName>
    <definedName name="TYPE" localSheetId="2">#REF!</definedName>
    <definedName name="TYPE" localSheetId="8">#REF!</definedName>
    <definedName name="TYPE">#REF!</definedName>
    <definedName name="UOM" localSheetId="0">#REF!</definedName>
    <definedName name="UOM" localSheetId="2">#REF!</definedName>
    <definedName name="UOM" localSheetId="8">#REF!</definedName>
    <definedName name="UOM">#REF!</definedName>
    <definedName name="WHEAT" localSheetId="0">DATA!$B$147:$B$148</definedName>
    <definedName name="WHEAT">DATA!$B$149:$B$152</definedName>
    <definedName name="WHEATOP">DATA!$B$186:$B$204</definedName>
    <definedName name="WHEATSPRAY">DATA!$B$404:$B$413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OTATIONTBL" name="ROTATIONTBL" connection="WorksheetConnection_2018 MCCENTLLCMASTER.xlsm!ROTATIONTBL"/>
          <x15:modelTable id="FFTBL" name="FFTBL" connection="WorksheetConnection_2018 MCCENTLLCMASTER.xlsm!FFTBL"/>
        </x15:modelTables>
        <x15:modelRelationships>
          <x15:modelRelationship fromTable="FFTBL" fromColumn="FSA FARM" toTable="ROTATIONTBL" toColumn="FIEL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21" l="1"/>
  <c r="E28" i="21"/>
  <c r="F28" i="21"/>
  <c r="G28" i="21"/>
  <c r="O28" i="21" s="1"/>
  <c r="J28" i="21"/>
  <c r="R28" i="21"/>
  <c r="S28" i="21"/>
  <c r="D25" i="21"/>
  <c r="E25" i="21"/>
  <c r="F25" i="21"/>
  <c r="G25" i="21"/>
  <c r="O25" i="21" s="1"/>
  <c r="J25" i="21"/>
  <c r="K25" i="21" s="1"/>
  <c r="R25" i="21"/>
  <c r="S25" i="21"/>
  <c r="D26" i="21"/>
  <c r="E26" i="21"/>
  <c r="F26" i="21"/>
  <c r="G26" i="21"/>
  <c r="M26" i="21" s="1"/>
  <c r="J26" i="21"/>
  <c r="R26" i="21"/>
  <c r="S26" i="21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O146" i="13"/>
  <c r="T146" i="13"/>
  <c r="W146" i="13"/>
  <c r="O145" i="13"/>
  <c r="T145" i="13"/>
  <c r="W145" i="13"/>
  <c r="O111" i="13"/>
  <c r="T111" i="13"/>
  <c r="W111" i="13"/>
  <c r="O110" i="13"/>
  <c r="T110" i="13"/>
  <c r="W110" i="13"/>
  <c r="O109" i="13"/>
  <c r="T109" i="13"/>
  <c r="W109" i="13"/>
  <c r="E61" i="7"/>
  <c r="D61" i="7"/>
  <c r="E74" i="1"/>
  <c r="E73" i="1"/>
  <c r="G85" i="13"/>
  <c r="G86" i="13"/>
  <c r="G87" i="13"/>
  <c r="G88" i="13"/>
  <c r="G89" i="13"/>
  <c r="G90" i="13"/>
  <c r="G91" i="13"/>
  <c r="E96" i="1"/>
  <c r="D81" i="13" s="1"/>
  <c r="J81" i="13" s="1"/>
  <c r="E81" i="13"/>
  <c r="F81" i="13"/>
  <c r="G81" i="13"/>
  <c r="H81" i="13"/>
  <c r="K81" i="13"/>
  <c r="L81" i="13"/>
  <c r="M81" i="13"/>
  <c r="N81" i="13"/>
  <c r="O81" i="13"/>
  <c r="Q81" i="13"/>
  <c r="R81" i="13" s="1"/>
  <c r="S81" i="13"/>
  <c r="U81" i="13"/>
  <c r="L44" i="13"/>
  <c r="Q44" i="13"/>
  <c r="T44" i="13"/>
  <c r="B87" i="22"/>
  <c r="I11" i="22"/>
  <c r="J11" i="22"/>
  <c r="L11" i="22"/>
  <c r="K63" i="22"/>
  <c r="I49" i="22"/>
  <c r="J49" i="22"/>
  <c r="I50" i="22"/>
  <c r="I51" i="22"/>
  <c r="I52" i="22"/>
  <c r="J52" i="22"/>
  <c r="I53" i="22"/>
  <c r="J53" i="22"/>
  <c r="I54" i="22"/>
  <c r="J54" i="22"/>
  <c r="I55" i="22"/>
  <c r="J55" i="22"/>
  <c r="I56" i="22"/>
  <c r="J56" i="22"/>
  <c r="I57" i="22"/>
  <c r="J57" i="22"/>
  <c r="J50" i="22"/>
  <c r="J51" i="22"/>
  <c r="L49" i="22"/>
  <c r="L50" i="22"/>
  <c r="L51" i="22"/>
  <c r="L52" i="22"/>
  <c r="L53" i="22"/>
  <c r="L54" i="22"/>
  <c r="L55" i="22"/>
  <c r="L56" i="22"/>
  <c r="L57" i="22"/>
  <c r="I29" i="22"/>
  <c r="J29" i="22"/>
  <c r="I31" i="22"/>
  <c r="I35" i="22"/>
  <c r="I36" i="22"/>
  <c r="J36" i="22"/>
  <c r="I37" i="22"/>
  <c r="J37" i="22"/>
  <c r="I38" i="22"/>
  <c r="J38" i="22"/>
  <c r="I39" i="22"/>
  <c r="J39" i="22"/>
  <c r="I40" i="22"/>
  <c r="J40" i="22"/>
  <c r="I41" i="22"/>
  <c r="J41" i="22"/>
  <c r="I42" i="22"/>
  <c r="J42" i="22"/>
  <c r="I43" i="22"/>
  <c r="J43" i="22"/>
  <c r="I44" i="22"/>
  <c r="J44" i="22"/>
  <c r="I45" i="22"/>
  <c r="J45" i="22"/>
  <c r="J31" i="22"/>
  <c r="J35" i="22"/>
  <c r="L29" i="22"/>
  <c r="L31" i="22"/>
  <c r="L35" i="22"/>
  <c r="L36" i="22"/>
  <c r="L37" i="22"/>
  <c r="L38" i="22"/>
  <c r="L39" i="22"/>
  <c r="L40" i="22"/>
  <c r="L41" i="22"/>
  <c r="L42" i="22"/>
  <c r="L43" i="22"/>
  <c r="L44" i="22"/>
  <c r="L45" i="22"/>
  <c r="O174" i="13"/>
  <c r="T174" i="13"/>
  <c r="W174" i="13"/>
  <c r="O175" i="13"/>
  <c r="T175" i="13"/>
  <c r="W175" i="13"/>
  <c r="O176" i="13"/>
  <c r="T176" i="13"/>
  <c r="W176" i="13"/>
  <c r="O177" i="13"/>
  <c r="T177" i="13"/>
  <c r="W177" i="13"/>
  <c r="O178" i="13"/>
  <c r="T178" i="13"/>
  <c r="W178" i="13"/>
  <c r="O179" i="13"/>
  <c r="T179" i="13"/>
  <c r="W179" i="13"/>
  <c r="O171" i="13"/>
  <c r="T171" i="13"/>
  <c r="W171" i="13"/>
  <c r="O172" i="13"/>
  <c r="T172" i="13"/>
  <c r="W172" i="13"/>
  <c r="O17" i="14"/>
  <c r="O4" i="14"/>
  <c r="O5" i="14"/>
  <c r="O6" i="14"/>
  <c r="O7" i="14"/>
  <c r="O8" i="14"/>
  <c r="O9" i="14"/>
  <c r="O10" i="14"/>
  <c r="O11" i="14"/>
  <c r="O12" i="14"/>
  <c r="O13" i="14"/>
  <c r="O14" i="14"/>
  <c r="O15" i="14"/>
  <c r="O16" i="14"/>
  <c r="N17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J18" i="24"/>
  <c r="K8" i="24"/>
  <c r="O8" i="24"/>
  <c r="K9" i="24"/>
  <c r="O9" i="24"/>
  <c r="K10" i="24"/>
  <c r="O10" i="24"/>
  <c r="K11" i="24"/>
  <c r="O11" i="24"/>
  <c r="K12" i="24"/>
  <c r="O12" i="24"/>
  <c r="K13" i="24"/>
  <c r="O13" i="24"/>
  <c r="K14" i="24"/>
  <c r="O14" i="24"/>
  <c r="K15" i="24"/>
  <c r="O15" i="24"/>
  <c r="K16" i="24"/>
  <c r="O16" i="24"/>
  <c r="K17" i="24"/>
  <c r="O17" i="24"/>
  <c r="K4" i="14"/>
  <c r="K5" i="14"/>
  <c r="K6" i="14"/>
  <c r="K7" i="14"/>
  <c r="K17" i="14"/>
  <c r="K8" i="14"/>
  <c r="K9" i="14"/>
  <c r="K10" i="14"/>
  <c r="K11" i="14"/>
  <c r="K12" i="14"/>
  <c r="K13" i="14"/>
  <c r="K14" i="14"/>
  <c r="K15" i="14"/>
  <c r="K16" i="14"/>
  <c r="J17" i="14"/>
  <c r="D22" i="21"/>
  <c r="D23" i="21"/>
  <c r="D24" i="21"/>
  <c r="D27" i="21"/>
  <c r="D29" i="21"/>
  <c r="D30" i="21"/>
  <c r="E22" i="21"/>
  <c r="E23" i="21"/>
  <c r="E24" i="21"/>
  <c r="E27" i="21"/>
  <c r="E29" i="21"/>
  <c r="E30" i="21"/>
  <c r="F22" i="21"/>
  <c r="F23" i="21"/>
  <c r="F24" i="21"/>
  <c r="F27" i="21"/>
  <c r="F29" i="21"/>
  <c r="F30" i="21"/>
  <c r="J22" i="21"/>
  <c r="J23" i="21"/>
  <c r="J24" i="21"/>
  <c r="J27" i="21"/>
  <c r="J29" i="21"/>
  <c r="J30" i="21"/>
  <c r="R22" i="21"/>
  <c r="R23" i="21"/>
  <c r="R24" i="21"/>
  <c r="R27" i="21"/>
  <c r="R29" i="21"/>
  <c r="R30" i="21"/>
  <c r="S22" i="21"/>
  <c r="S23" i="21"/>
  <c r="S24" i="21"/>
  <c r="S27" i="21"/>
  <c r="S29" i="21"/>
  <c r="S30" i="21"/>
  <c r="D5" i="21"/>
  <c r="D6" i="21"/>
  <c r="D7" i="21"/>
  <c r="D8" i="21"/>
  <c r="D9" i="21"/>
  <c r="E5" i="21"/>
  <c r="E6" i="21"/>
  <c r="E7" i="21"/>
  <c r="E8" i="21"/>
  <c r="E9" i="21"/>
  <c r="F5" i="21"/>
  <c r="F6" i="21"/>
  <c r="F7" i="21"/>
  <c r="F8" i="21"/>
  <c r="F9" i="21"/>
  <c r="M5" i="21"/>
  <c r="M6" i="21"/>
  <c r="M7" i="21"/>
  <c r="M8" i="21"/>
  <c r="M9" i="21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P345" i="13" s="1"/>
  <c r="J346" i="13"/>
  <c r="P346" i="13" s="1"/>
  <c r="J347" i="13"/>
  <c r="J348" i="13"/>
  <c r="J349" i="13"/>
  <c r="P349" i="13" s="1"/>
  <c r="J350" i="13"/>
  <c r="P350" i="13" s="1"/>
  <c r="J351" i="13"/>
  <c r="J352" i="13"/>
  <c r="J353" i="13"/>
  <c r="P353" i="13" s="1"/>
  <c r="J354" i="13"/>
  <c r="P354" i="13" s="1"/>
  <c r="J355" i="13"/>
  <c r="J356" i="13"/>
  <c r="J357" i="13"/>
  <c r="J358" i="13"/>
  <c r="J359" i="13"/>
  <c r="J360" i="13"/>
  <c r="J361" i="13"/>
  <c r="J362" i="13"/>
  <c r="J363" i="13"/>
  <c r="J364" i="13"/>
  <c r="J365" i="13"/>
  <c r="E284" i="13"/>
  <c r="E285" i="13"/>
  <c r="E286" i="13"/>
  <c r="I286" i="13"/>
  <c r="J286" i="13"/>
  <c r="E287" i="13"/>
  <c r="E288" i="13"/>
  <c r="E289" i="13"/>
  <c r="E290" i="13"/>
  <c r="I290" i="13"/>
  <c r="J290" i="13"/>
  <c r="E291" i="13"/>
  <c r="E292" i="13"/>
  <c r="E293" i="13"/>
  <c r="E294" i="13"/>
  <c r="I294" i="13"/>
  <c r="J294" i="13"/>
  <c r="E295" i="13"/>
  <c r="E245" i="13"/>
  <c r="E246" i="13"/>
  <c r="E247" i="13"/>
  <c r="K247" i="13" s="1"/>
  <c r="I247" i="13"/>
  <c r="J247" i="13"/>
  <c r="E248" i="13"/>
  <c r="E249" i="13"/>
  <c r="E250" i="13"/>
  <c r="E251" i="13"/>
  <c r="E252" i="13"/>
  <c r="K252" i="13" s="1"/>
  <c r="P252" i="13" s="1"/>
  <c r="E253" i="13"/>
  <c r="E254" i="13"/>
  <c r="E255" i="13"/>
  <c r="E256" i="13"/>
  <c r="E257" i="13"/>
  <c r="E258" i="13"/>
  <c r="E259" i="13"/>
  <c r="E260" i="13"/>
  <c r="I260" i="13"/>
  <c r="J260" i="13"/>
  <c r="E261" i="13"/>
  <c r="E262" i="13"/>
  <c r="K262" i="13" s="1"/>
  <c r="P262" i="13" s="1"/>
  <c r="E263" i="13"/>
  <c r="I263" i="13"/>
  <c r="J263" i="13"/>
  <c r="E264" i="13"/>
  <c r="K264" i="13" s="1"/>
  <c r="P264" i="13" s="1"/>
  <c r="O264" i="13" s="1"/>
  <c r="E265" i="13"/>
  <c r="E266" i="13"/>
  <c r="E267" i="13"/>
  <c r="I267" i="13"/>
  <c r="J267" i="13"/>
  <c r="E268" i="13"/>
  <c r="E269" i="13"/>
  <c r="E270" i="13"/>
  <c r="E271" i="13"/>
  <c r="E272" i="13"/>
  <c r="I272" i="13"/>
  <c r="E273" i="13"/>
  <c r="K273" i="13" s="1"/>
  <c r="P273" i="13" s="1"/>
  <c r="O273" i="13" s="1"/>
  <c r="E274" i="13"/>
  <c r="E275" i="13"/>
  <c r="E276" i="13"/>
  <c r="E277" i="13"/>
  <c r="K277" i="13" s="1"/>
  <c r="P277" i="13" s="1"/>
  <c r="E278" i="13"/>
  <c r="E279" i="13"/>
  <c r="E280" i="13"/>
  <c r="E281" i="13"/>
  <c r="K281" i="13" s="1"/>
  <c r="P281" i="13" s="1"/>
  <c r="E282" i="13"/>
  <c r="E283" i="13"/>
  <c r="E296" i="13"/>
  <c r="E297" i="13"/>
  <c r="K297" i="13" s="1"/>
  <c r="P297" i="13" s="1"/>
  <c r="E298" i="13"/>
  <c r="E299" i="13"/>
  <c r="E300" i="13"/>
  <c r="I300" i="13"/>
  <c r="E301" i="13"/>
  <c r="E302" i="13"/>
  <c r="E303" i="13"/>
  <c r="I303" i="13"/>
  <c r="J303" i="13"/>
  <c r="E304" i="13"/>
  <c r="E305" i="13"/>
  <c r="E306" i="13"/>
  <c r="E307" i="13"/>
  <c r="K307" i="13" s="1"/>
  <c r="I307" i="13"/>
  <c r="J307" i="13"/>
  <c r="E308" i="13"/>
  <c r="K308" i="13" s="1"/>
  <c r="P308" i="13" s="1"/>
  <c r="N308" i="13" s="1"/>
  <c r="E309" i="13"/>
  <c r="E310" i="13"/>
  <c r="E311" i="13"/>
  <c r="E312" i="13"/>
  <c r="I312" i="13"/>
  <c r="J312" i="13"/>
  <c r="E313" i="13"/>
  <c r="E314" i="13"/>
  <c r="E315" i="13"/>
  <c r="E316" i="13"/>
  <c r="E317" i="13"/>
  <c r="E318" i="13"/>
  <c r="I318" i="13"/>
  <c r="J318" i="13"/>
  <c r="E319" i="13"/>
  <c r="E320" i="13"/>
  <c r="K320" i="13" s="1"/>
  <c r="P320" i="13" s="1"/>
  <c r="E321" i="13"/>
  <c r="E322" i="13"/>
  <c r="E323" i="13"/>
  <c r="E324" i="13"/>
  <c r="I324" i="13"/>
  <c r="J324" i="13"/>
  <c r="E325" i="13"/>
  <c r="E326" i="13"/>
  <c r="K326" i="13" s="1"/>
  <c r="P326" i="13" s="1"/>
  <c r="N326" i="13" s="1"/>
  <c r="E327" i="13"/>
  <c r="K327" i="13" s="1"/>
  <c r="I327" i="13"/>
  <c r="E328" i="13"/>
  <c r="E329" i="13"/>
  <c r="K329" i="13" s="1"/>
  <c r="P329" i="13" s="1"/>
  <c r="E330" i="13"/>
  <c r="E331" i="13"/>
  <c r="I331" i="13"/>
  <c r="E332" i="13"/>
  <c r="E333" i="13"/>
  <c r="E334" i="13"/>
  <c r="E335" i="13"/>
  <c r="E336" i="13"/>
  <c r="I336" i="13"/>
  <c r="E337" i="13"/>
  <c r="E338" i="13"/>
  <c r="E339" i="13"/>
  <c r="I339" i="13"/>
  <c r="E340" i="13"/>
  <c r="E341" i="13"/>
  <c r="E342" i="13"/>
  <c r="E343" i="13"/>
  <c r="E344" i="13"/>
  <c r="E345" i="13"/>
  <c r="E346" i="13"/>
  <c r="E347" i="13"/>
  <c r="E348" i="13"/>
  <c r="E349" i="13"/>
  <c r="E350" i="13"/>
  <c r="E351" i="13"/>
  <c r="E352" i="13"/>
  <c r="E353" i="13"/>
  <c r="E354" i="13"/>
  <c r="E355" i="13"/>
  <c r="E356" i="13"/>
  <c r="E357" i="13"/>
  <c r="E358" i="13"/>
  <c r="E359" i="13"/>
  <c r="E360" i="13"/>
  <c r="E361" i="13"/>
  <c r="E362" i="13"/>
  <c r="E363" i="13"/>
  <c r="E364" i="13"/>
  <c r="E365" i="13"/>
  <c r="E366" i="13"/>
  <c r="E367" i="13"/>
  <c r="K367" i="13" s="1"/>
  <c r="I367" i="13"/>
  <c r="E368" i="13"/>
  <c r="E369" i="13"/>
  <c r="K369" i="13" s="1"/>
  <c r="P369" i="13" s="1"/>
  <c r="E370" i="13"/>
  <c r="E371" i="13"/>
  <c r="E372" i="13"/>
  <c r="E373" i="13"/>
  <c r="K373" i="13" s="1"/>
  <c r="P373" i="13" s="1"/>
  <c r="E374" i="13"/>
  <c r="E375" i="13"/>
  <c r="E376" i="13"/>
  <c r="E377" i="13"/>
  <c r="E378" i="13"/>
  <c r="E379" i="13"/>
  <c r="I379" i="13"/>
  <c r="J379" i="13"/>
  <c r="E380" i="13"/>
  <c r="E381" i="13"/>
  <c r="E382" i="13"/>
  <c r="E383" i="13"/>
  <c r="K383" i="13" s="1"/>
  <c r="P383" i="13" s="1"/>
  <c r="N383" i="13" s="1"/>
  <c r="E384" i="13"/>
  <c r="E385" i="13"/>
  <c r="E386" i="13"/>
  <c r="E387" i="13"/>
  <c r="I387" i="13"/>
  <c r="J387" i="13"/>
  <c r="E388" i="13"/>
  <c r="E389" i="13"/>
  <c r="K389" i="13" s="1"/>
  <c r="P389" i="13" s="1"/>
  <c r="O389" i="13" s="1"/>
  <c r="E390" i="13"/>
  <c r="E391" i="13"/>
  <c r="I391" i="13"/>
  <c r="J391" i="13"/>
  <c r="E392" i="13"/>
  <c r="E393" i="13"/>
  <c r="E394" i="13"/>
  <c r="E395" i="13"/>
  <c r="E396" i="13"/>
  <c r="E397" i="13"/>
  <c r="E398" i="13"/>
  <c r="E399" i="13"/>
  <c r="E400" i="13"/>
  <c r="E401" i="13"/>
  <c r="E402" i="13"/>
  <c r="E403" i="13"/>
  <c r="E404" i="13"/>
  <c r="E405" i="13"/>
  <c r="E406" i="13"/>
  <c r="E407" i="13"/>
  <c r="E408" i="13"/>
  <c r="E409" i="13"/>
  <c r="E410" i="13"/>
  <c r="E411" i="13"/>
  <c r="E412" i="13"/>
  <c r="E413" i="13"/>
  <c r="E414" i="13"/>
  <c r="E415" i="13"/>
  <c r="E416" i="13"/>
  <c r="E417" i="13"/>
  <c r="E418" i="13"/>
  <c r="E419" i="13"/>
  <c r="E420" i="13"/>
  <c r="E421" i="13"/>
  <c r="E422" i="13"/>
  <c r="E423" i="13"/>
  <c r="E424" i="13"/>
  <c r="E425" i="13"/>
  <c r="O228" i="13"/>
  <c r="J246" i="13"/>
  <c r="P246" i="13" s="1"/>
  <c r="J248" i="13"/>
  <c r="P248" i="13"/>
  <c r="J249" i="13"/>
  <c r="P249" i="13" s="1"/>
  <c r="J250" i="13"/>
  <c r="J251" i="13"/>
  <c r="P251" i="13" s="1"/>
  <c r="J252" i="13"/>
  <c r="J253" i="13"/>
  <c r="P253" i="13" s="1"/>
  <c r="J254" i="13"/>
  <c r="J255" i="13"/>
  <c r="P255" i="13" s="1"/>
  <c r="J256" i="13"/>
  <c r="P256" i="13" s="1"/>
  <c r="N256" i="13" s="1"/>
  <c r="J257" i="13"/>
  <c r="J258" i="13"/>
  <c r="P258" i="13" s="1"/>
  <c r="J259" i="13"/>
  <c r="J261" i="13"/>
  <c r="J262" i="13"/>
  <c r="J264" i="13"/>
  <c r="J265" i="13"/>
  <c r="J266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7" i="13"/>
  <c r="J288" i="13"/>
  <c r="J289" i="13"/>
  <c r="J291" i="13"/>
  <c r="J292" i="13"/>
  <c r="J293" i="13"/>
  <c r="J295" i="13"/>
  <c r="J296" i="13"/>
  <c r="J297" i="13"/>
  <c r="J298" i="13"/>
  <c r="J299" i="13"/>
  <c r="J300" i="13"/>
  <c r="J301" i="13"/>
  <c r="J302" i="13"/>
  <c r="J304" i="13"/>
  <c r="J305" i="13"/>
  <c r="J306" i="13"/>
  <c r="J308" i="13"/>
  <c r="J309" i="13"/>
  <c r="J310" i="13"/>
  <c r="J311" i="13"/>
  <c r="J313" i="13"/>
  <c r="J314" i="13"/>
  <c r="J315" i="13"/>
  <c r="J316" i="13"/>
  <c r="J317" i="13"/>
  <c r="J319" i="13"/>
  <c r="J320" i="13"/>
  <c r="J321" i="13"/>
  <c r="J322" i="13"/>
  <c r="J323" i="13"/>
  <c r="J245" i="13"/>
  <c r="P245" i="13" s="1"/>
  <c r="J325" i="13"/>
  <c r="J326" i="13"/>
  <c r="J327" i="13"/>
  <c r="C92" i="13"/>
  <c r="L54" i="13"/>
  <c r="Q54" i="13"/>
  <c r="L55" i="13"/>
  <c r="Q55" i="13"/>
  <c r="S71" i="13"/>
  <c r="L56" i="13"/>
  <c r="Q56" i="13"/>
  <c r="L57" i="13"/>
  <c r="Q57" i="13"/>
  <c r="L58" i="13"/>
  <c r="Q58" i="13"/>
  <c r="L59" i="13"/>
  <c r="Q59" i="13"/>
  <c r="L60" i="13"/>
  <c r="Q60" i="13"/>
  <c r="L61" i="13"/>
  <c r="Q61" i="13"/>
  <c r="Y61" i="13"/>
  <c r="L62" i="13"/>
  <c r="Q62" i="13"/>
  <c r="X62" i="13"/>
  <c r="Y62" i="13"/>
  <c r="L63" i="13"/>
  <c r="Q63" i="13"/>
  <c r="L64" i="13"/>
  <c r="Q64" i="13"/>
  <c r="L53" i="13"/>
  <c r="Q53" i="13"/>
  <c r="X53" i="13"/>
  <c r="D228" i="13"/>
  <c r="J228" i="13" s="1"/>
  <c r="K228" i="13"/>
  <c r="E228" i="13"/>
  <c r="F228" i="13"/>
  <c r="G228" i="13"/>
  <c r="D227" i="13"/>
  <c r="J227" i="13" s="1"/>
  <c r="K227" i="13"/>
  <c r="E227" i="13"/>
  <c r="F227" i="13"/>
  <c r="G227" i="13"/>
  <c r="D229" i="13"/>
  <c r="J229" i="13" s="1"/>
  <c r="E229" i="13"/>
  <c r="F229" i="13"/>
  <c r="G229" i="13"/>
  <c r="K229" i="13"/>
  <c r="D230" i="13"/>
  <c r="E230" i="13"/>
  <c r="F230" i="13"/>
  <c r="G230" i="13"/>
  <c r="K230" i="13"/>
  <c r="D76" i="13"/>
  <c r="D77" i="13"/>
  <c r="D78" i="13"/>
  <c r="J78" i="13" s="1"/>
  <c r="D79" i="13"/>
  <c r="E76" i="13"/>
  <c r="E77" i="13"/>
  <c r="E78" i="13"/>
  <c r="E79" i="13"/>
  <c r="F76" i="13"/>
  <c r="F77" i="13"/>
  <c r="F78" i="13"/>
  <c r="F79" i="13"/>
  <c r="G76" i="13"/>
  <c r="G77" i="13"/>
  <c r="G78" i="13"/>
  <c r="G79" i="13"/>
  <c r="H76" i="13"/>
  <c r="H77" i="13"/>
  <c r="H78" i="13"/>
  <c r="H79" i="13"/>
  <c r="D80" i="13"/>
  <c r="E80" i="13"/>
  <c r="F80" i="13"/>
  <c r="G80" i="13"/>
  <c r="H80" i="13"/>
  <c r="D190" i="13"/>
  <c r="J190" i="13" s="1"/>
  <c r="E190" i="13"/>
  <c r="F190" i="13"/>
  <c r="G190" i="13"/>
  <c r="D192" i="13"/>
  <c r="E192" i="13"/>
  <c r="F192" i="13"/>
  <c r="G192" i="13"/>
  <c r="D193" i="13"/>
  <c r="E193" i="13"/>
  <c r="F193" i="13"/>
  <c r="G193" i="13"/>
  <c r="E189" i="13"/>
  <c r="E191" i="13"/>
  <c r="E194" i="13"/>
  <c r="E186" i="13"/>
  <c r="E187" i="13"/>
  <c r="E188" i="13"/>
  <c r="E195" i="13"/>
  <c r="E196" i="13"/>
  <c r="E197" i="13"/>
  <c r="E198" i="13"/>
  <c r="E199" i="13"/>
  <c r="I257" i="13"/>
  <c r="L257" i="13"/>
  <c r="M257" i="13"/>
  <c r="I252" i="13"/>
  <c r="L252" i="13"/>
  <c r="M252" i="13"/>
  <c r="I253" i="13"/>
  <c r="L253" i="13"/>
  <c r="M253" i="13"/>
  <c r="I254" i="13"/>
  <c r="L254" i="13"/>
  <c r="M254" i="13"/>
  <c r="I255" i="13"/>
  <c r="L255" i="13"/>
  <c r="M255" i="13"/>
  <c r="I249" i="13"/>
  <c r="L249" i="13"/>
  <c r="M249" i="13"/>
  <c r="I250" i="13"/>
  <c r="L250" i="13"/>
  <c r="M250" i="13"/>
  <c r="I246" i="13"/>
  <c r="L246" i="13"/>
  <c r="M246" i="13"/>
  <c r="L247" i="13"/>
  <c r="M247" i="13"/>
  <c r="L33" i="22"/>
  <c r="L5" i="22"/>
  <c r="L18" i="22"/>
  <c r="L12" i="22"/>
  <c r="L17" i="22"/>
  <c r="L6" i="22"/>
  <c r="L13" i="22"/>
  <c r="L15" i="22"/>
  <c r="L16" i="22"/>
  <c r="L20" i="22"/>
  <c r="L19" i="22"/>
  <c r="L7" i="22"/>
  <c r="L8" i="22"/>
  <c r="L32" i="22"/>
  <c r="L30" i="22"/>
  <c r="L10" i="22"/>
  <c r="L9" i="22"/>
  <c r="L34" i="22"/>
  <c r="L14" i="22"/>
  <c r="L21" i="22"/>
  <c r="L22" i="22"/>
  <c r="L28" i="22"/>
  <c r="L23" i="22"/>
  <c r="L47" i="22"/>
  <c r="L24" i="22"/>
  <c r="L25" i="22"/>
  <c r="L26" i="22"/>
  <c r="L58" i="22"/>
  <c r="L27" i="22"/>
  <c r="L46" i="22"/>
  <c r="L48" i="22"/>
  <c r="L59" i="22"/>
  <c r="L60" i="22"/>
  <c r="L61" i="22"/>
  <c r="L62" i="22"/>
  <c r="I33" i="22"/>
  <c r="J33" i="22"/>
  <c r="I5" i="22"/>
  <c r="J5" i="22"/>
  <c r="I18" i="22"/>
  <c r="J18" i="22"/>
  <c r="I12" i="22"/>
  <c r="J12" i="22"/>
  <c r="I17" i="22"/>
  <c r="J17" i="22"/>
  <c r="I6" i="22"/>
  <c r="J6" i="22"/>
  <c r="I13" i="22"/>
  <c r="J13" i="22"/>
  <c r="I15" i="22"/>
  <c r="J15" i="22"/>
  <c r="I16" i="22"/>
  <c r="J16" i="22"/>
  <c r="I20" i="22"/>
  <c r="J20" i="22"/>
  <c r="I19" i="22"/>
  <c r="J19" i="22"/>
  <c r="I7" i="22"/>
  <c r="J7" i="22"/>
  <c r="I8" i="22"/>
  <c r="J8" i="22"/>
  <c r="I32" i="22"/>
  <c r="J32" i="22"/>
  <c r="I30" i="22"/>
  <c r="J30" i="22"/>
  <c r="I10" i="22"/>
  <c r="J10" i="22"/>
  <c r="I9" i="22"/>
  <c r="J9" i="22"/>
  <c r="I34" i="22"/>
  <c r="J34" i="22"/>
  <c r="I14" i="22"/>
  <c r="J14" i="22"/>
  <c r="I21" i="22"/>
  <c r="J21" i="22"/>
  <c r="I22" i="22"/>
  <c r="J22" i="22"/>
  <c r="I28" i="22"/>
  <c r="J28" i="22"/>
  <c r="I23" i="22"/>
  <c r="J23" i="22"/>
  <c r="I47" i="22"/>
  <c r="J47" i="22"/>
  <c r="I24" i="22"/>
  <c r="J24" i="22"/>
  <c r="I25" i="22"/>
  <c r="J25" i="22"/>
  <c r="I26" i="22"/>
  <c r="J26" i="22"/>
  <c r="I58" i="22"/>
  <c r="J58" i="22"/>
  <c r="I27" i="22"/>
  <c r="J27" i="22"/>
  <c r="I46" i="22"/>
  <c r="J46" i="22"/>
  <c r="I48" i="22"/>
  <c r="J48" i="22"/>
  <c r="I59" i="22"/>
  <c r="J59" i="22"/>
  <c r="I60" i="22"/>
  <c r="J60" i="22"/>
  <c r="I61" i="22"/>
  <c r="J61" i="22"/>
  <c r="I62" i="22"/>
  <c r="J62" i="22"/>
  <c r="D63" i="22"/>
  <c r="I61" i="7"/>
  <c r="I45" i="7"/>
  <c r="I78" i="7"/>
  <c r="I80" i="7"/>
  <c r="I48" i="7"/>
  <c r="I49" i="7"/>
  <c r="G68" i="7"/>
  <c r="G61" i="7"/>
  <c r="F61" i="7"/>
  <c r="H61" i="7"/>
  <c r="I19" i="7"/>
  <c r="H19" i="7"/>
  <c r="I21" i="7"/>
  <c r="I18" i="7"/>
  <c r="G49" i="7"/>
  <c r="D49" i="7"/>
  <c r="E49" i="7"/>
  <c r="F49" i="7"/>
  <c r="H49" i="7"/>
  <c r="G39" i="7"/>
  <c r="G40" i="7"/>
  <c r="G36" i="7"/>
  <c r="G38" i="7"/>
  <c r="G24" i="7"/>
  <c r="G17" i="7"/>
  <c r="G6" i="7"/>
  <c r="G5" i="7"/>
  <c r="G37" i="7"/>
  <c r="G34" i="7"/>
  <c r="G32" i="7"/>
  <c r="G29" i="7"/>
  <c r="G25" i="7"/>
  <c r="G59" i="7"/>
  <c r="G56" i="7"/>
  <c r="G84" i="7"/>
  <c r="G76" i="7"/>
  <c r="G83" i="7"/>
  <c r="P103" i="7" s="1"/>
  <c r="G52" i="7"/>
  <c r="G51" i="7"/>
  <c r="G57" i="7"/>
  <c r="Q108" i="7" s="1"/>
  <c r="G42" i="7"/>
  <c r="G35" i="7"/>
  <c r="G47" i="7"/>
  <c r="G46" i="7"/>
  <c r="G43" i="7"/>
  <c r="G55" i="7"/>
  <c r="G54" i="7"/>
  <c r="G81" i="7"/>
  <c r="G80" i="7"/>
  <c r="G86" i="7"/>
  <c r="G88" i="7"/>
  <c r="G94" i="7"/>
  <c r="G91" i="7"/>
  <c r="G90" i="7"/>
  <c r="G75" i="7"/>
  <c r="G98" i="7"/>
  <c r="G74" i="7"/>
  <c r="G97" i="7"/>
  <c r="G95" i="7"/>
  <c r="G15" i="7"/>
  <c r="G58" i="7"/>
  <c r="G87" i="7"/>
  <c r="G77" i="7"/>
  <c r="U103" i="7" s="1"/>
  <c r="G65" i="7"/>
  <c r="G33" i="7"/>
  <c r="G72" i="7"/>
  <c r="G71" i="7"/>
  <c r="G69" i="7"/>
  <c r="G66" i="7"/>
  <c r="G78" i="7"/>
  <c r="G45" i="7"/>
  <c r="D45" i="7"/>
  <c r="E45" i="7"/>
  <c r="F45" i="7"/>
  <c r="H45" i="7"/>
  <c r="D78" i="7"/>
  <c r="E78" i="7"/>
  <c r="F78" i="7"/>
  <c r="H78" i="7"/>
  <c r="M80" i="1"/>
  <c r="I26" i="7"/>
  <c r="I44" i="7"/>
  <c r="I59" i="7"/>
  <c r="I60" i="7"/>
  <c r="I68" i="7"/>
  <c r="I37" i="7"/>
  <c r="I23" i="7"/>
  <c r="I22" i="7"/>
  <c r="F68" i="7"/>
  <c r="E68" i="7"/>
  <c r="D68" i="7"/>
  <c r="F60" i="7"/>
  <c r="E60" i="7"/>
  <c r="D60" i="7"/>
  <c r="H60" i="7"/>
  <c r="H68" i="7"/>
  <c r="D19" i="7"/>
  <c r="E19" i="7"/>
  <c r="F19" i="7"/>
  <c r="D21" i="7"/>
  <c r="E21" i="7"/>
  <c r="F21" i="7"/>
  <c r="D23" i="7"/>
  <c r="E23" i="7"/>
  <c r="F23" i="7"/>
  <c r="D22" i="7"/>
  <c r="E22" i="7"/>
  <c r="F22" i="7"/>
  <c r="H23" i="7"/>
  <c r="H22" i="7"/>
  <c r="H21" i="7"/>
  <c r="D44" i="7"/>
  <c r="E44" i="7"/>
  <c r="F44" i="7"/>
  <c r="H44" i="7"/>
  <c r="D26" i="7"/>
  <c r="E26" i="7"/>
  <c r="F26" i="7"/>
  <c r="H26" i="7"/>
  <c r="E16" i="13"/>
  <c r="H16" i="13" s="1"/>
  <c r="E17" i="13"/>
  <c r="H17" i="13" s="1"/>
  <c r="I17" i="13" s="1"/>
  <c r="E18" i="13"/>
  <c r="H18" i="13" s="1"/>
  <c r="D106" i="7"/>
  <c r="D108" i="7"/>
  <c r="D109" i="7"/>
  <c r="D111" i="7"/>
  <c r="D116" i="7"/>
  <c r="D117" i="7"/>
  <c r="D118" i="7"/>
  <c r="D119" i="7"/>
  <c r="D120" i="7"/>
  <c r="D121" i="7"/>
  <c r="D122" i="7"/>
  <c r="I86" i="7"/>
  <c r="I41" i="7"/>
  <c r="I65" i="7"/>
  <c r="I77" i="7"/>
  <c r="G41" i="7"/>
  <c r="G48" i="7"/>
  <c r="D114" i="7"/>
  <c r="D41" i="7"/>
  <c r="E41" i="7"/>
  <c r="F41" i="7"/>
  <c r="H41" i="7"/>
  <c r="D86" i="7"/>
  <c r="E86" i="7"/>
  <c r="F86" i="7"/>
  <c r="H86" i="7"/>
  <c r="D65" i="7"/>
  <c r="E65" i="7"/>
  <c r="F65" i="7"/>
  <c r="H65" i="7"/>
  <c r="D77" i="7"/>
  <c r="E77" i="7"/>
  <c r="F77" i="7"/>
  <c r="H77" i="7"/>
  <c r="D80" i="7"/>
  <c r="E80" i="7"/>
  <c r="F80" i="7"/>
  <c r="H80" i="7"/>
  <c r="D48" i="7"/>
  <c r="E48" i="7"/>
  <c r="F48" i="7"/>
  <c r="H48" i="7"/>
  <c r="O160" i="13"/>
  <c r="T160" i="13"/>
  <c r="W160" i="13"/>
  <c r="O161" i="13"/>
  <c r="T161" i="13"/>
  <c r="W161" i="13"/>
  <c r="O162" i="13"/>
  <c r="O163" i="13"/>
  <c r="T163" i="13"/>
  <c r="W163" i="13"/>
  <c r="O164" i="13"/>
  <c r="T164" i="13"/>
  <c r="W164" i="13"/>
  <c r="O165" i="13"/>
  <c r="T165" i="13"/>
  <c r="W165" i="13"/>
  <c r="O166" i="13"/>
  <c r="T166" i="13"/>
  <c r="W166" i="13"/>
  <c r="AA166" i="13"/>
  <c r="O167" i="13"/>
  <c r="T167" i="13"/>
  <c r="W167" i="13"/>
  <c r="O168" i="13"/>
  <c r="T168" i="13"/>
  <c r="W168" i="13"/>
  <c r="AA168" i="13"/>
  <c r="O169" i="13"/>
  <c r="T169" i="13"/>
  <c r="W169" i="13"/>
  <c r="AA169" i="13"/>
  <c r="O170" i="13"/>
  <c r="T170" i="13"/>
  <c r="W170" i="13"/>
  <c r="O173" i="13"/>
  <c r="T173" i="13"/>
  <c r="W173" i="13"/>
  <c r="O159" i="13"/>
  <c r="T159" i="13"/>
  <c r="W159" i="13"/>
  <c r="O158" i="13"/>
  <c r="T158" i="13"/>
  <c r="W158" i="13"/>
  <c r="O152" i="13"/>
  <c r="O153" i="13"/>
  <c r="T153" i="13"/>
  <c r="W153" i="13"/>
  <c r="AB153" i="13"/>
  <c r="O154" i="13"/>
  <c r="T154" i="13"/>
  <c r="W154" i="13"/>
  <c r="O155" i="13"/>
  <c r="T155" i="13"/>
  <c r="W155" i="13"/>
  <c r="O156" i="13"/>
  <c r="T156" i="13"/>
  <c r="W156" i="13"/>
  <c r="O157" i="13"/>
  <c r="T157" i="13"/>
  <c r="W157" i="13"/>
  <c r="O122" i="13"/>
  <c r="T122" i="13"/>
  <c r="W122" i="13"/>
  <c r="O123" i="13"/>
  <c r="T123" i="13"/>
  <c r="W123" i="13"/>
  <c r="O124" i="13"/>
  <c r="T124" i="13"/>
  <c r="W124" i="13"/>
  <c r="AB124" i="13"/>
  <c r="O121" i="13"/>
  <c r="T121" i="13"/>
  <c r="W121" i="13"/>
  <c r="AB121" i="13"/>
  <c r="O125" i="13"/>
  <c r="T125" i="13"/>
  <c r="W125" i="13"/>
  <c r="AA125" i="13"/>
  <c r="O126" i="13"/>
  <c r="T126" i="13"/>
  <c r="W126" i="13"/>
  <c r="O128" i="13"/>
  <c r="O129" i="13"/>
  <c r="T129" i="13"/>
  <c r="W129" i="13"/>
  <c r="AA129" i="13"/>
  <c r="O130" i="13"/>
  <c r="T130" i="13"/>
  <c r="W130" i="13"/>
  <c r="O131" i="13"/>
  <c r="T131" i="13"/>
  <c r="W131" i="13"/>
  <c r="AB131" i="13"/>
  <c r="O134" i="13"/>
  <c r="T134" i="13"/>
  <c r="W134" i="13"/>
  <c r="O133" i="13"/>
  <c r="T133" i="13"/>
  <c r="W133" i="13"/>
  <c r="O127" i="13"/>
  <c r="O132" i="13"/>
  <c r="T132" i="13"/>
  <c r="W132" i="13"/>
  <c r="O135" i="13"/>
  <c r="T135" i="13"/>
  <c r="W135" i="13"/>
  <c r="AB135" i="13"/>
  <c r="O137" i="13"/>
  <c r="T137" i="13"/>
  <c r="W137" i="13"/>
  <c r="O138" i="13"/>
  <c r="O139" i="13"/>
  <c r="T139" i="13"/>
  <c r="W139" i="13"/>
  <c r="AB139" i="13"/>
  <c r="O140" i="13"/>
  <c r="T140" i="13"/>
  <c r="W140" i="13"/>
  <c r="O141" i="13"/>
  <c r="T141" i="13"/>
  <c r="W141" i="13"/>
  <c r="O142" i="13"/>
  <c r="T142" i="13"/>
  <c r="W142" i="13"/>
  <c r="AA142" i="13"/>
  <c r="O136" i="13"/>
  <c r="T136" i="13"/>
  <c r="W136" i="13"/>
  <c r="O120" i="13"/>
  <c r="T120" i="13"/>
  <c r="W120" i="13"/>
  <c r="O143" i="13"/>
  <c r="T143" i="13"/>
  <c r="W143" i="13"/>
  <c r="O144" i="13"/>
  <c r="T144" i="13"/>
  <c r="W144" i="13"/>
  <c r="AB144" i="13"/>
  <c r="O147" i="13"/>
  <c r="T147" i="13"/>
  <c r="W147" i="13"/>
  <c r="O148" i="13"/>
  <c r="T148" i="13"/>
  <c r="W148" i="13"/>
  <c r="O149" i="13"/>
  <c r="T149" i="13"/>
  <c r="W149" i="13"/>
  <c r="AB149" i="13"/>
  <c r="O150" i="13"/>
  <c r="T150" i="13"/>
  <c r="W150" i="13"/>
  <c r="O151" i="13"/>
  <c r="T151" i="13"/>
  <c r="W151" i="13"/>
  <c r="I216" i="13"/>
  <c r="I217" i="13"/>
  <c r="I214" i="13"/>
  <c r="I215" i="13"/>
  <c r="I218" i="13"/>
  <c r="O180" i="13"/>
  <c r="T180" i="13"/>
  <c r="W180" i="13"/>
  <c r="O119" i="13"/>
  <c r="T119" i="13"/>
  <c r="W119" i="13"/>
  <c r="O112" i="13"/>
  <c r="T112" i="13"/>
  <c r="W112" i="13"/>
  <c r="O113" i="13"/>
  <c r="T113" i="13"/>
  <c r="W113" i="13"/>
  <c r="O114" i="13"/>
  <c r="T114" i="13"/>
  <c r="W114" i="13"/>
  <c r="O115" i="13"/>
  <c r="T115" i="13"/>
  <c r="W115" i="13"/>
  <c r="O107" i="13"/>
  <c r="T107" i="13"/>
  <c r="W107" i="13"/>
  <c r="O108" i="13"/>
  <c r="T108" i="13"/>
  <c r="W108" i="13"/>
  <c r="AB108" i="13"/>
  <c r="O116" i="13"/>
  <c r="T116" i="13"/>
  <c r="W116" i="13"/>
  <c r="AB116" i="13"/>
  <c r="O117" i="13"/>
  <c r="O118" i="13"/>
  <c r="T118" i="13"/>
  <c r="W118" i="13"/>
  <c r="L194" i="13"/>
  <c r="O103" i="13"/>
  <c r="T103" i="13"/>
  <c r="W103" i="13"/>
  <c r="AB103" i="13"/>
  <c r="O104" i="13"/>
  <c r="T104" i="13"/>
  <c r="W104" i="13"/>
  <c r="AB104" i="13"/>
  <c r="O105" i="13"/>
  <c r="T105" i="13"/>
  <c r="W105" i="13"/>
  <c r="O106" i="13"/>
  <c r="T106" i="13"/>
  <c r="W106" i="13"/>
  <c r="AB106" i="13"/>
  <c r="L6" i="20"/>
  <c r="Q6" i="20"/>
  <c r="L7" i="20"/>
  <c r="Q7" i="20"/>
  <c r="L8" i="20"/>
  <c r="L9" i="20"/>
  <c r="Q9" i="20"/>
  <c r="L10" i="20"/>
  <c r="Q10" i="20"/>
  <c r="L11" i="20"/>
  <c r="L12" i="20"/>
  <c r="L13" i="20"/>
  <c r="Q13" i="20"/>
  <c r="L14" i="20"/>
  <c r="Q14" i="20"/>
  <c r="L15" i="20"/>
  <c r="Q15" i="20"/>
  <c r="L16" i="20"/>
  <c r="L17" i="20"/>
  <c r="Q17" i="20"/>
  <c r="L18" i="20"/>
  <c r="Q18" i="20"/>
  <c r="L19" i="20"/>
  <c r="L20" i="20"/>
  <c r="L21" i="20"/>
  <c r="Q21" i="20"/>
  <c r="Q8" i="20"/>
  <c r="S8" i="20"/>
  <c r="Q11" i="20"/>
  <c r="S11" i="20"/>
  <c r="T11" i="20"/>
  <c r="Q12" i="20"/>
  <c r="Q16" i="20"/>
  <c r="S16" i="20"/>
  <c r="Q19" i="20"/>
  <c r="S19" i="20"/>
  <c r="Q20" i="20"/>
  <c r="S20" i="20"/>
  <c r="T20" i="20"/>
  <c r="S12" i="20"/>
  <c r="T12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S22" i="20"/>
  <c r="S23" i="20"/>
  <c r="T23" i="20"/>
  <c r="X23" i="20"/>
  <c r="S24" i="20"/>
  <c r="S25" i="20"/>
  <c r="S26" i="20"/>
  <c r="T26" i="20"/>
  <c r="S27" i="20"/>
  <c r="T27" i="20"/>
  <c r="S28" i="20"/>
  <c r="S29" i="20"/>
  <c r="S30" i="20"/>
  <c r="T30" i="20"/>
  <c r="Y30" i="20"/>
  <c r="S31" i="20"/>
  <c r="T31" i="20"/>
  <c r="S32" i="20"/>
  <c r="S33" i="20"/>
  <c r="S34" i="20"/>
  <c r="S35" i="20"/>
  <c r="T35" i="20"/>
  <c r="S36" i="20"/>
  <c r="S37" i="20"/>
  <c r="T22" i="20"/>
  <c r="Y22" i="20"/>
  <c r="T34" i="20"/>
  <c r="X34" i="20"/>
  <c r="X22" i="20"/>
  <c r="I31" i="7"/>
  <c r="I62" i="7"/>
  <c r="I4" i="7"/>
  <c r="I87" i="7"/>
  <c r="I5" i="7"/>
  <c r="I11" i="7"/>
  <c r="I6" i="7"/>
  <c r="I58" i="7"/>
  <c r="I14" i="7"/>
  <c r="I42" i="7"/>
  <c r="I88" i="7"/>
  <c r="I17" i="7"/>
  <c r="I12" i="7"/>
  <c r="I13" i="7"/>
  <c r="I20" i="7"/>
  <c r="I15" i="7"/>
  <c r="I57" i="7"/>
  <c r="I81" i="7"/>
  <c r="I24" i="7"/>
  <c r="I16" i="7"/>
  <c r="I8" i="7"/>
  <c r="I9" i="7"/>
  <c r="I10" i="7"/>
  <c r="I28" i="7"/>
  <c r="I27" i="7"/>
  <c r="I7" i="7"/>
  <c r="I95" i="7"/>
  <c r="I97" i="7"/>
  <c r="I82" i="7"/>
  <c r="I51" i="7"/>
  <c r="I74" i="7"/>
  <c r="I85" i="7"/>
  <c r="I52" i="7"/>
  <c r="I38" i="7"/>
  <c r="I36" i="7"/>
  <c r="I89" i="7"/>
  <c r="I40" i="7"/>
  <c r="I39" i="7"/>
  <c r="I92" i="7"/>
  <c r="I54" i="7"/>
  <c r="O104" i="7"/>
  <c r="O106" i="7"/>
  <c r="O107" i="7"/>
  <c r="O109" i="7"/>
  <c r="P107" i="7"/>
  <c r="P109" i="7"/>
  <c r="Q109" i="7"/>
  <c r="S107" i="7"/>
  <c r="S109" i="7"/>
  <c r="T107" i="7"/>
  <c r="T109" i="7"/>
  <c r="U107" i="7"/>
  <c r="U109" i="7"/>
  <c r="V107" i="7"/>
  <c r="V109" i="7"/>
  <c r="E116" i="1"/>
  <c r="G89" i="7"/>
  <c r="G92" i="7"/>
  <c r="G82" i="7"/>
  <c r="G85" i="7"/>
  <c r="G14" i="7"/>
  <c r="G20" i="7"/>
  <c r="G8" i="7"/>
  <c r="G9" i="7"/>
  <c r="G10" i="7"/>
  <c r="G28" i="7"/>
  <c r="G27" i="7"/>
  <c r="G7" i="7"/>
  <c r="G16" i="7"/>
  <c r="G18" i="7"/>
  <c r="G13" i="7"/>
  <c r="G12" i="7"/>
  <c r="D14" i="7"/>
  <c r="D42" i="7"/>
  <c r="D88" i="7"/>
  <c r="D17" i="7"/>
  <c r="D12" i="7"/>
  <c r="D13" i="7"/>
  <c r="D20" i="7"/>
  <c r="D15" i="7"/>
  <c r="D57" i="7"/>
  <c r="D81" i="7"/>
  <c r="D24" i="7"/>
  <c r="D18" i="7"/>
  <c r="E14" i="7"/>
  <c r="E42" i="7"/>
  <c r="E88" i="7"/>
  <c r="E17" i="7"/>
  <c r="E12" i="7"/>
  <c r="E13" i="7"/>
  <c r="E20" i="7"/>
  <c r="E15" i="7"/>
  <c r="E57" i="7"/>
  <c r="E81" i="7"/>
  <c r="E24" i="7"/>
  <c r="E18" i="7"/>
  <c r="F14" i="7"/>
  <c r="F42" i="7"/>
  <c r="F88" i="7"/>
  <c r="F17" i="7"/>
  <c r="F12" i="7"/>
  <c r="F13" i="7"/>
  <c r="F20" i="7"/>
  <c r="F15" i="7"/>
  <c r="F57" i="7"/>
  <c r="F81" i="7"/>
  <c r="F24" i="7"/>
  <c r="F18" i="7"/>
  <c r="H14" i="7"/>
  <c r="H42" i="7"/>
  <c r="H88" i="7"/>
  <c r="H17" i="7"/>
  <c r="H12" i="7"/>
  <c r="H13" i="7"/>
  <c r="H20" i="7"/>
  <c r="H15" i="7"/>
  <c r="H57" i="7"/>
  <c r="H81" i="7"/>
  <c r="H24" i="7"/>
  <c r="H18" i="7"/>
  <c r="D16" i="7"/>
  <c r="E16" i="7"/>
  <c r="F16" i="7"/>
  <c r="H16" i="7"/>
  <c r="D8" i="7"/>
  <c r="E8" i="7"/>
  <c r="F8" i="7"/>
  <c r="H8" i="7"/>
  <c r="D9" i="7"/>
  <c r="E9" i="7"/>
  <c r="F9" i="7"/>
  <c r="H9" i="7"/>
  <c r="D10" i="7"/>
  <c r="E10" i="7"/>
  <c r="F10" i="7"/>
  <c r="H10" i="7"/>
  <c r="D28" i="7"/>
  <c r="E28" i="7"/>
  <c r="F28" i="7"/>
  <c r="H28" i="7"/>
  <c r="D27" i="7"/>
  <c r="E27" i="7"/>
  <c r="F27" i="7"/>
  <c r="H27" i="7"/>
  <c r="D7" i="7"/>
  <c r="E7" i="7"/>
  <c r="F7" i="7"/>
  <c r="H7" i="7"/>
  <c r="D95" i="7"/>
  <c r="E95" i="7"/>
  <c r="F95" i="7"/>
  <c r="H95" i="7"/>
  <c r="D97" i="7"/>
  <c r="E97" i="7"/>
  <c r="F97" i="7"/>
  <c r="H97" i="7"/>
  <c r="D82" i="7"/>
  <c r="E82" i="7"/>
  <c r="F82" i="7"/>
  <c r="H82" i="7"/>
  <c r="D51" i="7"/>
  <c r="D74" i="7"/>
  <c r="D85" i="7"/>
  <c r="D52" i="7"/>
  <c r="D38" i="7"/>
  <c r="D36" i="7"/>
  <c r="E51" i="7"/>
  <c r="E74" i="7"/>
  <c r="E85" i="7"/>
  <c r="E52" i="7"/>
  <c r="E38" i="7"/>
  <c r="E36" i="7"/>
  <c r="F51" i="7"/>
  <c r="F74" i="7"/>
  <c r="F85" i="7"/>
  <c r="F52" i="7"/>
  <c r="F38" i="7"/>
  <c r="F36" i="7"/>
  <c r="H51" i="7"/>
  <c r="H74" i="7"/>
  <c r="H85" i="7"/>
  <c r="H52" i="7"/>
  <c r="H38" i="7"/>
  <c r="H36" i="7"/>
  <c r="D89" i="7"/>
  <c r="D40" i="7"/>
  <c r="D39" i="7"/>
  <c r="E89" i="7"/>
  <c r="E40" i="7"/>
  <c r="E39" i="7"/>
  <c r="F89" i="7"/>
  <c r="F40" i="7"/>
  <c r="F39" i="7"/>
  <c r="H89" i="7"/>
  <c r="H40" i="7"/>
  <c r="H39" i="7"/>
  <c r="D92" i="7"/>
  <c r="E92" i="7"/>
  <c r="F92" i="7"/>
  <c r="H92" i="7"/>
  <c r="D54" i="7"/>
  <c r="E54" i="7"/>
  <c r="F54" i="7"/>
  <c r="H54" i="7"/>
  <c r="L67" i="13"/>
  <c r="Q67" i="13"/>
  <c r="L52" i="13"/>
  <c r="Q52" i="13"/>
  <c r="L65" i="13"/>
  <c r="Q65" i="13"/>
  <c r="L66" i="13"/>
  <c r="Q66" i="13"/>
  <c r="L68" i="13"/>
  <c r="Q68" i="13"/>
  <c r="X68" i="13"/>
  <c r="Y68" i="13"/>
  <c r="D58" i="7"/>
  <c r="E58" i="7"/>
  <c r="F58" i="7"/>
  <c r="H58" i="7"/>
  <c r="K202" i="13"/>
  <c r="K207" i="13"/>
  <c r="I56" i="7"/>
  <c r="D188" i="13"/>
  <c r="D189" i="13"/>
  <c r="J189" i="13" s="1"/>
  <c r="D191" i="13"/>
  <c r="F188" i="13"/>
  <c r="F189" i="13"/>
  <c r="F191" i="13"/>
  <c r="G188" i="13"/>
  <c r="G189" i="13"/>
  <c r="G191" i="13"/>
  <c r="O189" i="13"/>
  <c r="P189" i="13" s="1"/>
  <c r="D194" i="13"/>
  <c r="D195" i="13"/>
  <c r="D196" i="13"/>
  <c r="D197" i="13"/>
  <c r="J197" i="13" s="1"/>
  <c r="F194" i="13"/>
  <c r="F195" i="13"/>
  <c r="F196" i="13"/>
  <c r="F197" i="13"/>
  <c r="G194" i="13"/>
  <c r="G195" i="13"/>
  <c r="G196" i="13"/>
  <c r="G197" i="13"/>
  <c r="K196" i="13"/>
  <c r="K197" i="13"/>
  <c r="L196" i="13"/>
  <c r="N196" i="13"/>
  <c r="L197" i="13"/>
  <c r="N197" i="13"/>
  <c r="O197" i="13"/>
  <c r="P197" i="13" s="1"/>
  <c r="Q197" i="13"/>
  <c r="R197" i="13" s="1"/>
  <c r="S197" i="13"/>
  <c r="D198" i="13"/>
  <c r="D199" i="13"/>
  <c r="J199" i="13" s="1"/>
  <c r="F198" i="13"/>
  <c r="F199" i="13"/>
  <c r="G198" i="13"/>
  <c r="G199" i="13"/>
  <c r="K199" i="13"/>
  <c r="L199" i="13"/>
  <c r="N199" i="13"/>
  <c r="O199" i="13"/>
  <c r="Q198" i="13"/>
  <c r="S199" i="13"/>
  <c r="D56" i="7"/>
  <c r="E56" i="7"/>
  <c r="F56" i="7"/>
  <c r="H56" i="7"/>
  <c r="A65" i="14"/>
  <c r="B65" i="14"/>
  <c r="C65" i="14"/>
  <c r="A66" i="14"/>
  <c r="B66" i="14"/>
  <c r="C66" i="14"/>
  <c r="A67" i="14"/>
  <c r="B67" i="14"/>
  <c r="C67" i="14"/>
  <c r="D67" i="14"/>
  <c r="J67" i="14" s="1"/>
  <c r="A68" i="14"/>
  <c r="B68" i="14"/>
  <c r="C68" i="14"/>
  <c r="D68" i="14"/>
  <c r="J68" i="14" s="1"/>
  <c r="A69" i="14"/>
  <c r="B69" i="14"/>
  <c r="C69" i="14"/>
  <c r="G69" i="14"/>
  <c r="A70" i="14"/>
  <c r="B70" i="14"/>
  <c r="C70" i="14"/>
  <c r="A71" i="14"/>
  <c r="B71" i="14"/>
  <c r="C71" i="14"/>
  <c r="D71" i="14"/>
  <c r="A72" i="14"/>
  <c r="B72" i="14"/>
  <c r="C72" i="14"/>
  <c r="F72" i="14"/>
  <c r="A73" i="14"/>
  <c r="B73" i="14"/>
  <c r="C73" i="14"/>
  <c r="D73" i="14"/>
  <c r="J73" i="14" s="1"/>
  <c r="A74" i="14"/>
  <c r="B74" i="14"/>
  <c r="C74" i="14"/>
  <c r="A75" i="14"/>
  <c r="B75" i="14"/>
  <c r="C75" i="14"/>
  <c r="A76" i="14"/>
  <c r="B76" i="14"/>
  <c r="C76" i="14"/>
  <c r="E76" i="14"/>
  <c r="B64" i="14"/>
  <c r="C64" i="14"/>
  <c r="A64" i="14"/>
  <c r="O186" i="13"/>
  <c r="P186" i="13" s="1"/>
  <c r="O187" i="13"/>
  <c r="S186" i="13"/>
  <c r="T186" i="13" s="1"/>
  <c r="Q186" i="13"/>
  <c r="E102" i="21"/>
  <c r="E103" i="21"/>
  <c r="E104" i="21"/>
  <c r="E105" i="21"/>
  <c r="E106" i="21"/>
  <c r="E107" i="21"/>
  <c r="D60" i="21"/>
  <c r="D61" i="21"/>
  <c r="D62" i="21"/>
  <c r="D63" i="21"/>
  <c r="E60" i="21"/>
  <c r="E61" i="21"/>
  <c r="E62" i="21"/>
  <c r="E63" i="21"/>
  <c r="F60" i="21"/>
  <c r="F61" i="21"/>
  <c r="F62" i="21"/>
  <c r="F63" i="21"/>
  <c r="M60" i="21"/>
  <c r="M61" i="21"/>
  <c r="M62" i="21"/>
  <c r="M63" i="21"/>
  <c r="D82" i="21"/>
  <c r="E82" i="21"/>
  <c r="F82" i="21"/>
  <c r="J82" i="21" a="1"/>
  <c r="J82" i="21" s="1"/>
  <c r="L82" i="21"/>
  <c r="M82" i="21" s="1"/>
  <c r="N82" i="21" s="1" a="1"/>
  <c r="N82" i="21" s="1"/>
  <c r="R82" i="21"/>
  <c r="S82" i="21"/>
  <c r="D83" i="21"/>
  <c r="E83" i="21"/>
  <c r="F83" i="21"/>
  <c r="J83" i="21" a="1"/>
  <c r="J83" i="21" s="1"/>
  <c r="L83" i="21"/>
  <c r="M83" i="21" s="1"/>
  <c r="N83" i="21" s="1" a="1"/>
  <c r="N83" i="21" s="1"/>
  <c r="R83" i="21"/>
  <c r="S83" i="21"/>
  <c r="L76" i="21"/>
  <c r="M76" i="21" s="1"/>
  <c r="N76" i="21" s="1" a="1"/>
  <c r="N76" i="21" s="1"/>
  <c r="L77" i="21"/>
  <c r="M77" i="21" s="1"/>
  <c r="N77" i="21" s="1" a="1"/>
  <c r="N77" i="21" s="1"/>
  <c r="L78" i="21"/>
  <c r="M78" i="21" s="1"/>
  <c r="N78" i="21" s="1" a="1"/>
  <c r="N78" i="21" s="1"/>
  <c r="L79" i="21"/>
  <c r="M79" i="21" s="1"/>
  <c r="N79" i="21" s="1" a="1"/>
  <c r="N79" i="21" s="1"/>
  <c r="L80" i="21"/>
  <c r="M80" i="21" s="1"/>
  <c r="N80" i="21" s="1" a="1"/>
  <c r="N80" i="21" s="1"/>
  <c r="L81" i="21"/>
  <c r="M81" i="21" s="1"/>
  <c r="N81" i="21" s="1" a="1"/>
  <c r="N81" i="21" s="1"/>
  <c r="L75" i="21"/>
  <c r="M75" i="21" s="1"/>
  <c r="N75" i="21" s="1" a="1"/>
  <c r="N75" i="21" s="1"/>
  <c r="Q43" i="21"/>
  <c r="Q44" i="21"/>
  <c r="Q45" i="21"/>
  <c r="Q46" i="21"/>
  <c r="Q47" i="21"/>
  <c r="Q48" i="21"/>
  <c r="Q42" i="21"/>
  <c r="L36" i="21"/>
  <c r="H75" i="13"/>
  <c r="L324" i="13"/>
  <c r="M324" i="13"/>
  <c r="I277" i="13"/>
  <c r="L277" i="13"/>
  <c r="M277" i="13"/>
  <c r="E15" i="13"/>
  <c r="H15" i="13" s="1"/>
  <c r="E5" i="13"/>
  <c r="H5" i="13" s="1"/>
  <c r="I5" i="13" s="1"/>
  <c r="J5" i="13" s="1"/>
  <c r="E6" i="13"/>
  <c r="H6" i="13" s="1"/>
  <c r="E7" i="13"/>
  <c r="H7" i="13" s="1"/>
  <c r="E8" i="13"/>
  <c r="H8" i="13" s="1"/>
  <c r="E9" i="13"/>
  <c r="H9" i="13" s="1"/>
  <c r="I9" i="13" s="1"/>
  <c r="J9" i="13" s="1"/>
  <c r="E10" i="13"/>
  <c r="H10" i="13" s="1"/>
  <c r="E11" i="13"/>
  <c r="H11" i="13" s="1"/>
  <c r="I11" i="13" s="1"/>
  <c r="E12" i="13"/>
  <c r="H12" i="13"/>
  <c r="E13" i="13"/>
  <c r="H13" i="13" s="1"/>
  <c r="I13" i="13" s="1"/>
  <c r="E14" i="13"/>
  <c r="H14" i="13" s="1"/>
  <c r="I14" i="13" s="1"/>
  <c r="J14" i="13" s="1"/>
  <c r="E4" i="13"/>
  <c r="H4" i="13" s="1"/>
  <c r="I4" i="13" s="1"/>
  <c r="L334" i="13"/>
  <c r="M334" i="13"/>
  <c r="I204" i="13"/>
  <c r="I205" i="13"/>
  <c r="I206" i="13"/>
  <c r="I207" i="13"/>
  <c r="I208" i="13"/>
  <c r="I209" i="13"/>
  <c r="I210" i="13"/>
  <c r="I211" i="13"/>
  <c r="I212" i="13"/>
  <c r="I213" i="13"/>
  <c r="K420" i="13"/>
  <c r="P420" i="13" s="1"/>
  <c r="O420" i="13" s="1"/>
  <c r="L420" i="13"/>
  <c r="M420" i="13"/>
  <c r="K421" i="13"/>
  <c r="P421" i="13" s="1"/>
  <c r="L421" i="13"/>
  <c r="M421" i="13"/>
  <c r="K422" i="13"/>
  <c r="P422" i="13" s="1"/>
  <c r="L422" i="13"/>
  <c r="M422" i="13"/>
  <c r="K423" i="13"/>
  <c r="P423" i="13" s="1"/>
  <c r="N423" i="13" s="1"/>
  <c r="L423" i="13"/>
  <c r="M423" i="13"/>
  <c r="K424" i="13"/>
  <c r="P424" i="13" s="1"/>
  <c r="O424" i="13" s="1"/>
  <c r="L424" i="13"/>
  <c r="M424" i="13"/>
  <c r="K425" i="13"/>
  <c r="P425" i="13" s="1"/>
  <c r="L425" i="13"/>
  <c r="M425" i="13"/>
  <c r="W26" i="13" a="1"/>
  <c r="W26" i="13"/>
  <c r="W27" i="13" a="1"/>
  <c r="W27" i="13"/>
  <c r="W28" i="13" a="1"/>
  <c r="W28" i="13"/>
  <c r="W29" i="13" a="1"/>
  <c r="W29" i="13"/>
  <c r="W30" i="13" a="1"/>
  <c r="W30" i="13"/>
  <c r="W33" i="13" a="1"/>
  <c r="W33" i="13"/>
  <c r="W34" i="13" a="1"/>
  <c r="W34" i="13"/>
  <c r="W35" i="13" a="1"/>
  <c r="W35" i="13"/>
  <c r="W36" i="13" a="1"/>
  <c r="W36" i="13"/>
  <c r="W37" i="13" a="1"/>
  <c r="W37" i="13"/>
  <c r="W38" i="13" a="1"/>
  <c r="W38" i="13"/>
  <c r="W39" i="13" a="1"/>
  <c r="W39" i="13"/>
  <c r="W40" i="13" a="1"/>
  <c r="W40" i="13"/>
  <c r="W41" i="13" a="1"/>
  <c r="W41" i="13"/>
  <c r="W42" i="13" a="1"/>
  <c r="W42" i="13"/>
  <c r="W43" i="13" a="1"/>
  <c r="W43" i="13"/>
  <c r="W44" i="13" a="1"/>
  <c r="W44" i="13"/>
  <c r="W45" i="13" a="1"/>
  <c r="W45" i="13"/>
  <c r="W46" i="13" a="1"/>
  <c r="W46" i="13"/>
  <c r="W47" i="13" a="1"/>
  <c r="W47" i="13"/>
  <c r="W48" i="13" a="1"/>
  <c r="W48" i="13"/>
  <c r="W25" i="13" a="1"/>
  <c r="W25" i="13"/>
  <c r="V46" i="13" a="1"/>
  <c r="V46" i="13"/>
  <c r="V47" i="13" a="1"/>
  <c r="V47" i="13"/>
  <c r="V48" i="13" a="1"/>
  <c r="V48" i="13"/>
  <c r="X51" i="13"/>
  <c r="V25" i="13" a="1"/>
  <c r="V25" i="13"/>
  <c r="V26" i="13" a="1"/>
  <c r="V26" i="13"/>
  <c r="V27" i="13" a="1"/>
  <c r="V27" i="13"/>
  <c r="V28" i="13" a="1"/>
  <c r="V28" i="13"/>
  <c r="V29" i="13" a="1"/>
  <c r="V29" i="13"/>
  <c r="V30" i="13" a="1"/>
  <c r="V30" i="13"/>
  <c r="V33" i="13" a="1"/>
  <c r="V33" i="13"/>
  <c r="V34" i="13" a="1"/>
  <c r="V34" i="13"/>
  <c r="V35" i="13" a="1"/>
  <c r="V35" i="13"/>
  <c r="V36" i="13" a="1"/>
  <c r="V36" i="13"/>
  <c r="V37" i="13" a="1"/>
  <c r="V37" i="13"/>
  <c r="V38" i="13" a="1"/>
  <c r="V38" i="13"/>
  <c r="V39" i="13" a="1"/>
  <c r="V39" i="13"/>
  <c r="V40" i="13" a="1"/>
  <c r="V40" i="13"/>
  <c r="V41" i="13" a="1"/>
  <c r="V41" i="13"/>
  <c r="V42" i="13" a="1"/>
  <c r="V42" i="13"/>
  <c r="V43" i="13" a="1"/>
  <c r="V43" i="13"/>
  <c r="V44" i="13" a="1"/>
  <c r="V44" i="13"/>
  <c r="V45" i="13" a="1"/>
  <c r="V45" i="13"/>
  <c r="I256" i="13"/>
  <c r="L256" i="13"/>
  <c r="M256" i="13"/>
  <c r="I258" i="13"/>
  <c r="L258" i="13"/>
  <c r="M258" i="13"/>
  <c r="I259" i="13"/>
  <c r="L259" i="13"/>
  <c r="M259" i="13"/>
  <c r="L260" i="13"/>
  <c r="M260" i="13"/>
  <c r="I261" i="13"/>
  <c r="L261" i="13"/>
  <c r="M261" i="13"/>
  <c r="I262" i="13"/>
  <c r="L262" i="13"/>
  <c r="M262" i="13"/>
  <c r="L263" i="13"/>
  <c r="M263" i="13"/>
  <c r="I264" i="13"/>
  <c r="L264" i="13"/>
  <c r="M264" i="13"/>
  <c r="E101" i="21"/>
  <c r="D102" i="21"/>
  <c r="D103" i="21"/>
  <c r="D104" i="21"/>
  <c r="D105" i="21"/>
  <c r="D106" i="21"/>
  <c r="D107" i="21"/>
  <c r="D101" i="21"/>
  <c r="F107" i="21"/>
  <c r="F106" i="21"/>
  <c r="F105" i="21"/>
  <c r="F104" i="21"/>
  <c r="F103" i="21"/>
  <c r="F102" i="21"/>
  <c r="F101" i="21"/>
  <c r="J21" i="21"/>
  <c r="J31" i="21"/>
  <c r="J32" i="21"/>
  <c r="J33" i="21"/>
  <c r="J34" i="21"/>
  <c r="J35" i="21"/>
  <c r="D10" i="21"/>
  <c r="E10" i="21"/>
  <c r="F10" i="21"/>
  <c r="M10" i="21"/>
  <c r="D31" i="21"/>
  <c r="E31" i="21"/>
  <c r="F31" i="21"/>
  <c r="R31" i="21"/>
  <c r="S31" i="21"/>
  <c r="I91" i="7"/>
  <c r="N37" i="7"/>
  <c r="M37" i="7"/>
  <c r="L37" i="7"/>
  <c r="L104" i="7" s="1"/>
  <c r="K37" i="7"/>
  <c r="N91" i="7"/>
  <c r="M91" i="7"/>
  <c r="L91" i="7"/>
  <c r="K91" i="7"/>
  <c r="K104" i="7" s="1"/>
  <c r="J37" i="7"/>
  <c r="J91" i="7"/>
  <c r="I34" i="7"/>
  <c r="D34" i="7"/>
  <c r="E34" i="7"/>
  <c r="F34" i="7"/>
  <c r="H34" i="7"/>
  <c r="D6" i="7"/>
  <c r="E6" i="7"/>
  <c r="F6" i="7"/>
  <c r="H6" i="7"/>
  <c r="I83" i="7"/>
  <c r="I84" i="7"/>
  <c r="I30" i="7"/>
  <c r="I90" i="7"/>
  <c r="I64" i="7"/>
  <c r="I29" i="7"/>
  <c r="I94" i="7"/>
  <c r="I73" i="7"/>
  <c r="G30" i="7"/>
  <c r="G31" i="7"/>
  <c r="G64" i="7"/>
  <c r="G73" i="7"/>
  <c r="G11" i="7"/>
  <c r="D84" i="7"/>
  <c r="D37" i="7"/>
  <c r="D30" i="7"/>
  <c r="D31" i="7"/>
  <c r="D90" i="7"/>
  <c r="E84" i="7"/>
  <c r="E37" i="7"/>
  <c r="E30" i="7"/>
  <c r="E31" i="7"/>
  <c r="E90" i="7"/>
  <c r="F84" i="7"/>
  <c r="F37" i="7"/>
  <c r="F30" i="7"/>
  <c r="F31" i="7"/>
  <c r="F90" i="7"/>
  <c r="H84" i="7"/>
  <c r="H37" i="7"/>
  <c r="H30" i="7"/>
  <c r="H31" i="7"/>
  <c r="H90" i="7"/>
  <c r="D64" i="7"/>
  <c r="D91" i="7"/>
  <c r="D29" i="7"/>
  <c r="E64" i="7"/>
  <c r="E91" i="7"/>
  <c r="E29" i="7"/>
  <c r="F64" i="7"/>
  <c r="F91" i="7"/>
  <c r="F29" i="7"/>
  <c r="H64" i="7"/>
  <c r="H91" i="7"/>
  <c r="H29" i="7"/>
  <c r="I98" i="7"/>
  <c r="I96" i="7"/>
  <c r="I75" i="7"/>
  <c r="I55" i="7"/>
  <c r="I50" i="7"/>
  <c r="I43" i="7"/>
  <c r="I25" i="7"/>
  <c r="I53" i="7"/>
  <c r="I66" i="7"/>
  <c r="I71" i="7"/>
  <c r="I32" i="7"/>
  <c r="I72" i="7"/>
  <c r="I33" i="7"/>
  <c r="I35" i="7"/>
  <c r="I63" i="7"/>
  <c r="I79" i="7"/>
  <c r="I76" i="7"/>
  <c r="I46" i="7"/>
  <c r="I67" i="7"/>
  <c r="I69" i="7"/>
  <c r="I47" i="7"/>
  <c r="I70" i="7"/>
  <c r="I93" i="7"/>
  <c r="H93" i="7"/>
  <c r="H98" i="7"/>
  <c r="H96" i="7"/>
  <c r="H75" i="7"/>
  <c r="H55" i="7"/>
  <c r="H59" i="7"/>
  <c r="H50" i="7"/>
  <c r="H43" i="7"/>
  <c r="H25" i="7"/>
  <c r="H53" i="7"/>
  <c r="H66" i="7"/>
  <c r="H71" i="7"/>
  <c r="H32" i="7"/>
  <c r="H72" i="7"/>
  <c r="H33" i="7"/>
  <c r="H35" i="7"/>
  <c r="H63" i="7"/>
  <c r="H79" i="7"/>
  <c r="H76" i="7"/>
  <c r="H62" i="7"/>
  <c r="H4" i="7"/>
  <c r="H46" i="7"/>
  <c r="H67" i="7"/>
  <c r="H69" i="7"/>
  <c r="H47" i="7"/>
  <c r="H70" i="7"/>
  <c r="H87" i="7"/>
  <c r="H5" i="7"/>
  <c r="H83" i="7"/>
  <c r="H94" i="7"/>
  <c r="H73" i="7"/>
  <c r="H11" i="7"/>
  <c r="Q91" i="21"/>
  <c r="Q92" i="21"/>
  <c r="Q93" i="21"/>
  <c r="Q94" i="21"/>
  <c r="Q95" i="21"/>
  <c r="Q96" i="21"/>
  <c r="Q90" i="21"/>
  <c r="H70" i="21"/>
  <c r="E93" i="21"/>
  <c r="K93" i="21" s="1"/>
  <c r="E94" i="21"/>
  <c r="K94" i="21" s="1"/>
  <c r="E95" i="21"/>
  <c r="D93" i="21"/>
  <c r="J93" i="21" s="1"/>
  <c r="D94" i="21"/>
  <c r="D95" i="21"/>
  <c r="J95" i="21" s="1"/>
  <c r="D79" i="21"/>
  <c r="E79" i="21"/>
  <c r="F79" i="21"/>
  <c r="J79" i="21" a="1"/>
  <c r="J79" i="21" s="1"/>
  <c r="R79" i="21"/>
  <c r="S79" i="21"/>
  <c r="D68" i="21"/>
  <c r="E68" i="21"/>
  <c r="F68" i="21"/>
  <c r="M68" i="21"/>
  <c r="G187" i="13"/>
  <c r="F187" i="13"/>
  <c r="G186" i="13"/>
  <c r="F186" i="13"/>
  <c r="D186" i="13"/>
  <c r="J186" i="13" s="1"/>
  <c r="Q84" i="21"/>
  <c r="N89" i="21" s="1"/>
  <c r="S81" i="21"/>
  <c r="R81" i="21"/>
  <c r="J81" i="21" a="1"/>
  <c r="J81" i="21" s="1"/>
  <c r="F81" i="21"/>
  <c r="E81" i="21"/>
  <c r="D81" i="21"/>
  <c r="S80" i="21"/>
  <c r="R80" i="21"/>
  <c r="J80" i="21" a="1"/>
  <c r="J80" i="21" s="1"/>
  <c r="F80" i="21"/>
  <c r="E80" i="21"/>
  <c r="D80" i="21"/>
  <c r="S78" i="21"/>
  <c r="R78" i="21"/>
  <c r="J78" i="21" a="1"/>
  <c r="J78" i="21"/>
  <c r="F78" i="21"/>
  <c r="E78" i="21"/>
  <c r="D78" i="21"/>
  <c r="S77" i="21"/>
  <c r="R77" i="21"/>
  <c r="J77" i="21" a="1"/>
  <c r="J77" i="21" s="1"/>
  <c r="F77" i="21"/>
  <c r="E77" i="21"/>
  <c r="D77" i="21"/>
  <c r="H93" i="21"/>
  <c r="S76" i="21"/>
  <c r="R76" i="21"/>
  <c r="R84" i="21" s="1"/>
  <c r="J76" i="21" a="1"/>
  <c r="J76" i="21" s="1"/>
  <c r="F76" i="21"/>
  <c r="E76" i="21"/>
  <c r="D76" i="21"/>
  <c r="S75" i="21"/>
  <c r="R75" i="21"/>
  <c r="J75" i="21" a="1"/>
  <c r="J75" i="21"/>
  <c r="F75" i="21"/>
  <c r="E75" i="21"/>
  <c r="D75" i="21"/>
  <c r="M69" i="21"/>
  <c r="F69" i="21"/>
  <c r="E69" i="21"/>
  <c r="D69" i="21"/>
  <c r="M67" i="21"/>
  <c r="F67" i="21"/>
  <c r="E67" i="21"/>
  <c r="D67" i="21"/>
  <c r="M66" i="21"/>
  <c r="F66" i="21"/>
  <c r="E66" i="21"/>
  <c r="D66" i="21"/>
  <c r="M65" i="21"/>
  <c r="F65" i="21"/>
  <c r="E65" i="21"/>
  <c r="D65" i="21"/>
  <c r="M64" i="21"/>
  <c r="F64" i="21"/>
  <c r="E64" i="21"/>
  <c r="D64" i="21"/>
  <c r="M59" i="21"/>
  <c r="F59" i="21"/>
  <c r="E59" i="21"/>
  <c r="D59" i="21"/>
  <c r="E21" i="21"/>
  <c r="E32" i="21"/>
  <c r="E33" i="21"/>
  <c r="E34" i="21"/>
  <c r="E35" i="21"/>
  <c r="E4" i="21"/>
  <c r="D21" i="21"/>
  <c r="D32" i="21"/>
  <c r="D33" i="21"/>
  <c r="G46" i="21" s="1"/>
  <c r="R32" i="21"/>
  <c r="R33" i="21"/>
  <c r="D34" i="21"/>
  <c r="I45" i="21"/>
  <c r="D35" i="21"/>
  <c r="D4" i="21"/>
  <c r="F4" i="21"/>
  <c r="M4" i="21"/>
  <c r="S21" i="21"/>
  <c r="S32" i="21"/>
  <c r="S33" i="21"/>
  <c r="S34" i="21"/>
  <c r="S35" i="21"/>
  <c r="R21" i="21"/>
  <c r="R34" i="21"/>
  <c r="R35" i="21"/>
  <c r="M11" i="21"/>
  <c r="M12" i="21"/>
  <c r="M13" i="21"/>
  <c r="M14" i="21"/>
  <c r="M15" i="21"/>
  <c r="F11" i="21"/>
  <c r="F12" i="21"/>
  <c r="F13" i="21"/>
  <c r="F14" i="21"/>
  <c r="F15" i="21"/>
  <c r="E11" i="21"/>
  <c r="E12" i="21"/>
  <c r="E13" i="21"/>
  <c r="E14" i="21"/>
  <c r="E15" i="21"/>
  <c r="D12" i="21"/>
  <c r="D13" i="21"/>
  <c r="E45" i="21"/>
  <c r="K45" i="21" s="1"/>
  <c r="D14" i="21"/>
  <c r="D15" i="21"/>
  <c r="D11" i="21"/>
  <c r="D42" i="21"/>
  <c r="Q36" i="21"/>
  <c r="N41" i="21"/>
  <c r="F21" i="21"/>
  <c r="F32" i="21"/>
  <c r="K32" i="21" s="1"/>
  <c r="F33" i="21"/>
  <c r="K33" i="21" s="1"/>
  <c r="F34" i="21"/>
  <c r="F35" i="21"/>
  <c r="D94" i="7"/>
  <c r="E94" i="7"/>
  <c r="F94" i="7"/>
  <c r="D73" i="7"/>
  <c r="E73" i="7"/>
  <c r="F73" i="7"/>
  <c r="D83" i="7"/>
  <c r="E83" i="7"/>
  <c r="F83" i="7"/>
  <c r="D11" i="7"/>
  <c r="E11" i="7"/>
  <c r="F11" i="7"/>
  <c r="M419" i="20"/>
  <c r="L419" i="20"/>
  <c r="J419" i="20"/>
  <c r="P419" i="20" s="1"/>
  <c r="I419" i="20"/>
  <c r="E419" i="20"/>
  <c r="M418" i="20"/>
  <c r="L418" i="20"/>
  <c r="J418" i="20"/>
  <c r="I418" i="20"/>
  <c r="K418" i="20" s="1"/>
  <c r="E418" i="20"/>
  <c r="M417" i="20"/>
  <c r="L417" i="20"/>
  <c r="J417" i="20"/>
  <c r="I417" i="20"/>
  <c r="E417" i="20"/>
  <c r="M416" i="20"/>
  <c r="L416" i="20"/>
  <c r="J416" i="20"/>
  <c r="I416" i="20"/>
  <c r="K416" i="20" s="1"/>
  <c r="E416" i="20"/>
  <c r="M415" i="20"/>
  <c r="L415" i="20"/>
  <c r="J415" i="20"/>
  <c r="I415" i="20"/>
  <c r="K415" i="20" s="1"/>
  <c r="P415" i="20" s="1"/>
  <c r="O415" i="20" s="1"/>
  <c r="E415" i="20"/>
  <c r="M414" i="20"/>
  <c r="L414" i="20"/>
  <c r="J414" i="20"/>
  <c r="I414" i="20"/>
  <c r="K414" i="20" s="1"/>
  <c r="E414" i="20"/>
  <c r="M413" i="20"/>
  <c r="L413" i="20"/>
  <c r="J413" i="20"/>
  <c r="I413" i="20"/>
  <c r="K413" i="20" s="1"/>
  <c r="P413" i="20" s="1"/>
  <c r="E413" i="20"/>
  <c r="M412" i="20"/>
  <c r="L412" i="20"/>
  <c r="J412" i="20"/>
  <c r="I412" i="20"/>
  <c r="K412" i="20" s="1"/>
  <c r="E412" i="20"/>
  <c r="M411" i="20"/>
  <c r="L411" i="20"/>
  <c r="J411" i="20"/>
  <c r="I411" i="20"/>
  <c r="K411" i="20" s="1"/>
  <c r="P411" i="20" s="1"/>
  <c r="E411" i="20"/>
  <c r="M410" i="20"/>
  <c r="L410" i="20"/>
  <c r="J410" i="20"/>
  <c r="I410" i="20"/>
  <c r="K410" i="20" s="1"/>
  <c r="E410" i="20"/>
  <c r="M409" i="20"/>
  <c r="L409" i="20"/>
  <c r="J409" i="20"/>
  <c r="I409" i="20"/>
  <c r="K409" i="20"/>
  <c r="E409" i="20"/>
  <c r="M408" i="20"/>
  <c r="L408" i="20"/>
  <c r="J408" i="20"/>
  <c r="I408" i="20"/>
  <c r="K408" i="20" s="1"/>
  <c r="E408" i="20"/>
  <c r="M407" i="20"/>
  <c r="L407" i="20"/>
  <c r="J407" i="20"/>
  <c r="I407" i="20"/>
  <c r="K407" i="20" s="1"/>
  <c r="P407" i="20" s="1"/>
  <c r="O407" i="20" s="1"/>
  <c r="E407" i="20"/>
  <c r="M406" i="20"/>
  <c r="L406" i="20"/>
  <c r="J406" i="20"/>
  <c r="I406" i="20"/>
  <c r="K406" i="20" s="1"/>
  <c r="E406" i="20"/>
  <c r="M405" i="20"/>
  <c r="L405" i="20"/>
  <c r="J405" i="20"/>
  <c r="I405" i="20"/>
  <c r="K405" i="20" s="1"/>
  <c r="P405" i="20" s="1"/>
  <c r="E405" i="20"/>
  <c r="M404" i="20"/>
  <c r="L404" i="20"/>
  <c r="J404" i="20"/>
  <c r="I404" i="20"/>
  <c r="K404" i="20" s="1"/>
  <c r="E404" i="20"/>
  <c r="M403" i="20"/>
  <c r="L403" i="20"/>
  <c r="J403" i="20"/>
  <c r="I403" i="20"/>
  <c r="K403" i="20" s="1"/>
  <c r="P403" i="20" s="1"/>
  <c r="O403" i="20" s="1"/>
  <c r="E403" i="20"/>
  <c r="M402" i="20"/>
  <c r="L402" i="20"/>
  <c r="J402" i="20"/>
  <c r="I402" i="20"/>
  <c r="K402" i="20" s="1"/>
  <c r="E402" i="20"/>
  <c r="M401" i="20"/>
  <c r="L401" i="20"/>
  <c r="J401" i="20"/>
  <c r="I401" i="20"/>
  <c r="K401" i="20"/>
  <c r="E401" i="20"/>
  <c r="M400" i="20"/>
  <c r="L400" i="20"/>
  <c r="J400" i="20"/>
  <c r="I400" i="20"/>
  <c r="K400" i="20" s="1"/>
  <c r="E400" i="20"/>
  <c r="M399" i="20"/>
  <c r="L399" i="20"/>
  <c r="J399" i="20"/>
  <c r="I399" i="20"/>
  <c r="K399" i="20" s="1"/>
  <c r="P399" i="20" s="1"/>
  <c r="E399" i="20"/>
  <c r="M398" i="20"/>
  <c r="L398" i="20"/>
  <c r="J398" i="20"/>
  <c r="I398" i="20"/>
  <c r="K398" i="20" s="1"/>
  <c r="E398" i="20"/>
  <c r="M397" i="20"/>
  <c r="L397" i="20"/>
  <c r="J397" i="20"/>
  <c r="I397" i="20"/>
  <c r="K397" i="20" s="1"/>
  <c r="P397" i="20" s="1"/>
  <c r="O397" i="20" s="1"/>
  <c r="E397" i="20"/>
  <c r="M396" i="20"/>
  <c r="L396" i="20"/>
  <c r="J396" i="20"/>
  <c r="I396" i="20"/>
  <c r="K396" i="20" s="1"/>
  <c r="E396" i="20"/>
  <c r="M395" i="20"/>
  <c r="L395" i="20"/>
  <c r="J395" i="20"/>
  <c r="I395" i="20"/>
  <c r="K395" i="20" s="1"/>
  <c r="P395" i="20" s="1"/>
  <c r="N395" i="20" s="1"/>
  <c r="E395" i="20"/>
  <c r="M394" i="20"/>
  <c r="L394" i="20"/>
  <c r="J394" i="20"/>
  <c r="I394" i="20"/>
  <c r="K394" i="20" s="1"/>
  <c r="E394" i="20"/>
  <c r="M393" i="20"/>
  <c r="L393" i="20"/>
  <c r="J393" i="20"/>
  <c r="I393" i="20"/>
  <c r="K393" i="20"/>
  <c r="P393" i="20" s="1"/>
  <c r="N393" i="20" s="1"/>
  <c r="E393" i="20"/>
  <c r="M392" i="20"/>
  <c r="L392" i="20"/>
  <c r="J392" i="20"/>
  <c r="I392" i="20"/>
  <c r="K392" i="20" s="1"/>
  <c r="E392" i="20"/>
  <c r="M391" i="20"/>
  <c r="L391" i="20"/>
  <c r="J391" i="20"/>
  <c r="I391" i="20"/>
  <c r="K391" i="20" s="1"/>
  <c r="E391" i="20"/>
  <c r="M390" i="20"/>
  <c r="L390" i="20"/>
  <c r="J390" i="20"/>
  <c r="I390" i="20"/>
  <c r="K390" i="20" s="1"/>
  <c r="E390" i="20"/>
  <c r="M389" i="20"/>
  <c r="L389" i="20"/>
  <c r="J389" i="20"/>
  <c r="I389" i="20"/>
  <c r="K389" i="20"/>
  <c r="E389" i="20"/>
  <c r="M388" i="20"/>
  <c r="L388" i="20"/>
  <c r="J388" i="20"/>
  <c r="I388" i="20"/>
  <c r="K388" i="20" s="1"/>
  <c r="E388" i="20"/>
  <c r="M387" i="20"/>
  <c r="L387" i="20"/>
  <c r="J387" i="20"/>
  <c r="I387" i="20"/>
  <c r="K387" i="20" s="1"/>
  <c r="P387" i="20" s="1"/>
  <c r="E387" i="20"/>
  <c r="M386" i="20"/>
  <c r="L386" i="20"/>
  <c r="J386" i="20"/>
  <c r="I386" i="20"/>
  <c r="K386" i="20" s="1"/>
  <c r="E386" i="20"/>
  <c r="M385" i="20"/>
  <c r="L385" i="20"/>
  <c r="J385" i="20"/>
  <c r="I385" i="20"/>
  <c r="K385" i="20"/>
  <c r="E385" i="20"/>
  <c r="M384" i="20"/>
  <c r="L384" i="20"/>
  <c r="J384" i="20"/>
  <c r="I384" i="20"/>
  <c r="K384" i="20" s="1"/>
  <c r="E384" i="20"/>
  <c r="M383" i="20"/>
  <c r="L383" i="20"/>
  <c r="J383" i="20"/>
  <c r="I383" i="20"/>
  <c r="K383" i="20" s="1"/>
  <c r="P383" i="20" s="1"/>
  <c r="N383" i="20" s="1"/>
  <c r="E383" i="20"/>
  <c r="M382" i="20"/>
  <c r="L382" i="20"/>
  <c r="J382" i="20"/>
  <c r="I382" i="20"/>
  <c r="K382" i="20" s="1"/>
  <c r="E382" i="20"/>
  <c r="M381" i="20"/>
  <c r="L381" i="20"/>
  <c r="J381" i="20"/>
  <c r="I381" i="20"/>
  <c r="K381" i="20"/>
  <c r="P381" i="20" s="1"/>
  <c r="E381" i="20"/>
  <c r="M380" i="20"/>
  <c r="L380" i="20"/>
  <c r="J380" i="20"/>
  <c r="I380" i="20"/>
  <c r="K380" i="20" s="1"/>
  <c r="E380" i="20"/>
  <c r="M379" i="20"/>
  <c r="L379" i="20"/>
  <c r="J379" i="20"/>
  <c r="I379" i="20"/>
  <c r="K379" i="20" s="1"/>
  <c r="P379" i="20" s="1"/>
  <c r="O379" i="20" s="1"/>
  <c r="E379" i="20"/>
  <c r="M378" i="20"/>
  <c r="L378" i="20"/>
  <c r="J378" i="20"/>
  <c r="I378" i="20"/>
  <c r="K378" i="20" s="1"/>
  <c r="E378" i="20"/>
  <c r="M377" i="20"/>
  <c r="L377" i="20"/>
  <c r="J377" i="20"/>
  <c r="I377" i="20"/>
  <c r="K377" i="20"/>
  <c r="E377" i="20"/>
  <c r="M376" i="20"/>
  <c r="L376" i="20"/>
  <c r="J376" i="20"/>
  <c r="I376" i="20"/>
  <c r="K376" i="20" s="1"/>
  <c r="E376" i="20"/>
  <c r="M375" i="20"/>
  <c r="L375" i="20"/>
  <c r="J375" i="20"/>
  <c r="I375" i="20"/>
  <c r="K375" i="20" s="1"/>
  <c r="P375" i="20" s="1"/>
  <c r="E375" i="20"/>
  <c r="M374" i="20"/>
  <c r="L374" i="20"/>
  <c r="J374" i="20"/>
  <c r="I374" i="20"/>
  <c r="K374" i="20" s="1"/>
  <c r="E374" i="20"/>
  <c r="M373" i="20"/>
  <c r="L373" i="20"/>
  <c r="J373" i="20"/>
  <c r="I373" i="20"/>
  <c r="K373" i="20"/>
  <c r="E373" i="20"/>
  <c r="M372" i="20"/>
  <c r="L372" i="20"/>
  <c r="J372" i="20"/>
  <c r="I372" i="20"/>
  <c r="K372" i="20" s="1"/>
  <c r="E372" i="20"/>
  <c r="M371" i="20"/>
  <c r="L371" i="20"/>
  <c r="J371" i="20"/>
  <c r="I371" i="20"/>
  <c r="K371" i="20" s="1"/>
  <c r="E371" i="20"/>
  <c r="M370" i="20"/>
  <c r="L370" i="20"/>
  <c r="J370" i="20"/>
  <c r="I370" i="20"/>
  <c r="K370" i="20" s="1"/>
  <c r="E370" i="20"/>
  <c r="M369" i="20"/>
  <c r="L369" i="20"/>
  <c r="J369" i="20"/>
  <c r="I369" i="20"/>
  <c r="K369" i="20" s="1"/>
  <c r="E369" i="20"/>
  <c r="M368" i="20"/>
  <c r="L368" i="20"/>
  <c r="J368" i="20"/>
  <c r="I368" i="20"/>
  <c r="K368" i="20" s="1"/>
  <c r="P368" i="20" s="1"/>
  <c r="E368" i="20"/>
  <c r="M367" i="20"/>
  <c r="L367" i="20"/>
  <c r="J367" i="20"/>
  <c r="I367" i="20"/>
  <c r="K367" i="20" s="1"/>
  <c r="P367" i="20" s="1"/>
  <c r="N367" i="20" s="1"/>
  <c r="E367" i="20"/>
  <c r="M366" i="20"/>
  <c r="L366" i="20"/>
  <c r="J366" i="20"/>
  <c r="I366" i="20"/>
  <c r="K366" i="20"/>
  <c r="E366" i="20"/>
  <c r="M365" i="20"/>
  <c r="L365" i="20"/>
  <c r="J365" i="20"/>
  <c r="I365" i="20"/>
  <c r="K365" i="20" s="1"/>
  <c r="E365" i="20"/>
  <c r="M364" i="20"/>
  <c r="L364" i="20"/>
  <c r="J364" i="20"/>
  <c r="I364" i="20"/>
  <c r="K364" i="20" s="1"/>
  <c r="P364" i="20" s="1"/>
  <c r="O364" i="20" s="1"/>
  <c r="E364" i="20"/>
  <c r="M363" i="20"/>
  <c r="L363" i="20"/>
  <c r="J363" i="20"/>
  <c r="I363" i="20"/>
  <c r="K363" i="20" s="1"/>
  <c r="E363" i="20"/>
  <c r="M362" i="20"/>
  <c r="L362" i="20"/>
  <c r="J362" i="20"/>
  <c r="I362" i="20"/>
  <c r="K362" i="20" s="1"/>
  <c r="P362" i="20" s="1"/>
  <c r="E362" i="20"/>
  <c r="M361" i="20"/>
  <c r="L361" i="20"/>
  <c r="J361" i="20"/>
  <c r="I361" i="20"/>
  <c r="K361" i="20" s="1"/>
  <c r="P361" i="20" s="1"/>
  <c r="E361" i="20"/>
  <c r="M360" i="20"/>
  <c r="L360" i="20"/>
  <c r="J360" i="20"/>
  <c r="I360" i="20"/>
  <c r="K360" i="20" s="1"/>
  <c r="P360" i="20" s="1"/>
  <c r="O360" i="20" s="1"/>
  <c r="E360" i="20"/>
  <c r="M359" i="20"/>
  <c r="L359" i="20"/>
  <c r="J359" i="20"/>
  <c r="I359" i="20"/>
  <c r="K359" i="20" s="1"/>
  <c r="P359" i="20" s="1"/>
  <c r="O359" i="20" s="1"/>
  <c r="E359" i="20"/>
  <c r="M358" i="20"/>
  <c r="L358" i="20"/>
  <c r="J358" i="20"/>
  <c r="I358" i="20"/>
  <c r="K358" i="20"/>
  <c r="E358" i="20"/>
  <c r="M357" i="20"/>
  <c r="L357" i="20"/>
  <c r="J357" i="20"/>
  <c r="I357" i="20"/>
  <c r="K357" i="20" s="1"/>
  <c r="E357" i="20"/>
  <c r="M356" i="20"/>
  <c r="L356" i="20"/>
  <c r="J356" i="20"/>
  <c r="I356" i="20"/>
  <c r="K356" i="20" s="1"/>
  <c r="P356" i="20" s="1"/>
  <c r="O356" i="20" s="1"/>
  <c r="E356" i="20"/>
  <c r="M355" i="20"/>
  <c r="L355" i="20"/>
  <c r="J355" i="20"/>
  <c r="I355" i="20"/>
  <c r="K355" i="20" s="1"/>
  <c r="E355" i="20"/>
  <c r="M354" i="20"/>
  <c r="L354" i="20"/>
  <c r="J354" i="20"/>
  <c r="I354" i="20"/>
  <c r="K354" i="20" s="1"/>
  <c r="P354" i="20" s="1"/>
  <c r="E354" i="20"/>
  <c r="M353" i="20"/>
  <c r="L353" i="20"/>
  <c r="J353" i="20"/>
  <c r="I353" i="20"/>
  <c r="K353" i="20" s="1"/>
  <c r="P353" i="20" s="1"/>
  <c r="E353" i="20"/>
  <c r="M352" i="20"/>
  <c r="L352" i="20"/>
  <c r="J352" i="20"/>
  <c r="I352" i="20"/>
  <c r="K352" i="20" s="1"/>
  <c r="P352" i="20" s="1"/>
  <c r="E352" i="20"/>
  <c r="M351" i="20"/>
  <c r="L351" i="20"/>
  <c r="J351" i="20"/>
  <c r="I351" i="20"/>
  <c r="K351" i="20" s="1"/>
  <c r="P351" i="20" s="1"/>
  <c r="O351" i="20" s="1"/>
  <c r="E351" i="20"/>
  <c r="M350" i="20"/>
  <c r="L350" i="20"/>
  <c r="J350" i="20"/>
  <c r="I350" i="20"/>
  <c r="K350" i="20"/>
  <c r="P350" i="20" s="1"/>
  <c r="N350" i="20" s="1"/>
  <c r="E350" i="20"/>
  <c r="M349" i="20"/>
  <c r="L349" i="20"/>
  <c r="J349" i="20"/>
  <c r="I349" i="20"/>
  <c r="K349" i="20" s="1"/>
  <c r="E349" i="20"/>
  <c r="M348" i="20"/>
  <c r="L348" i="20"/>
  <c r="J348" i="20"/>
  <c r="I348" i="20"/>
  <c r="K348" i="20" s="1"/>
  <c r="P348" i="20" s="1"/>
  <c r="O348" i="20" s="1"/>
  <c r="E348" i="20"/>
  <c r="M347" i="20"/>
  <c r="L347" i="20"/>
  <c r="J347" i="20"/>
  <c r="I347" i="20"/>
  <c r="K347" i="20" s="1"/>
  <c r="E347" i="20"/>
  <c r="M346" i="20"/>
  <c r="L346" i="20"/>
  <c r="J346" i="20"/>
  <c r="I346" i="20"/>
  <c r="K346" i="20" s="1"/>
  <c r="P346" i="20" s="1"/>
  <c r="E346" i="20"/>
  <c r="M345" i="20"/>
  <c r="L345" i="20"/>
  <c r="J345" i="20"/>
  <c r="I345" i="20"/>
  <c r="K345" i="20" s="1"/>
  <c r="P345" i="20" s="1"/>
  <c r="O345" i="20" s="1"/>
  <c r="E345" i="20"/>
  <c r="M344" i="20"/>
  <c r="L344" i="20"/>
  <c r="J344" i="20"/>
  <c r="I344" i="20"/>
  <c r="K344" i="20" s="1"/>
  <c r="P344" i="20" s="1"/>
  <c r="E344" i="20"/>
  <c r="M343" i="20"/>
  <c r="L343" i="20"/>
  <c r="J343" i="20"/>
  <c r="I343" i="20"/>
  <c r="K343" i="20" s="1"/>
  <c r="E343" i="20"/>
  <c r="M342" i="20"/>
  <c r="L342" i="20"/>
  <c r="J342" i="20"/>
  <c r="I342" i="20"/>
  <c r="K342" i="20"/>
  <c r="E342" i="20"/>
  <c r="M341" i="20"/>
  <c r="L341" i="20"/>
  <c r="J341" i="20"/>
  <c r="I341" i="20"/>
  <c r="K341" i="20" s="1"/>
  <c r="P341" i="20" s="1"/>
  <c r="O341" i="20" s="1"/>
  <c r="E341" i="20"/>
  <c r="M340" i="20"/>
  <c r="L340" i="20"/>
  <c r="J340" i="20"/>
  <c r="I340" i="20"/>
  <c r="K340" i="20" s="1"/>
  <c r="P340" i="20" s="1"/>
  <c r="E340" i="20"/>
  <c r="M339" i="20"/>
  <c r="L339" i="20"/>
  <c r="J339" i="20"/>
  <c r="I339" i="20"/>
  <c r="K339" i="20" s="1"/>
  <c r="E339" i="20"/>
  <c r="M338" i="20"/>
  <c r="L338" i="20"/>
  <c r="J338" i="20"/>
  <c r="I338" i="20"/>
  <c r="K338" i="20" s="1"/>
  <c r="P338" i="20" s="1"/>
  <c r="E338" i="20"/>
  <c r="M337" i="20"/>
  <c r="L337" i="20"/>
  <c r="J337" i="20"/>
  <c r="I337" i="20"/>
  <c r="K337" i="20" s="1"/>
  <c r="P337" i="20" s="1"/>
  <c r="E337" i="20"/>
  <c r="M336" i="20"/>
  <c r="L336" i="20"/>
  <c r="J336" i="20"/>
  <c r="I336" i="20"/>
  <c r="K336" i="20" s="1"/>
  <c r="P336" i="20" s="1"/>
  <c r="N336" i="20" s="1"/>
  <c r="E336" i="20"/>
  <c r="M335" i="20"/>
  <c r="L335" i="20"/>
  <c r="J335" i="20"/>
  <c r="I335" i="20"/>
  <c r="K335" i="20" s="1"/>
  <c r="E335" i="20"/>
  <c r="M334" i="20"/>
  <c r="L334" i="20"/>
  <c r="J334" i="20"/>
  <c r="I334" i="20"/>
  <c r="K334" i="20"/>
  <c r="P334" i="20" s="1"/>
  <c r="O334" i="20" s="1"/>
  <c r="E334" i="20"/>
  <c r="M333" i="20"/>
  <c r="L333" i="20"/>
  <c r="J333" i="20"/>
  <c r="I333" i="20"/>
  <c r="K333" i="20" s="1"/>
  <c r="E333" i="20"/>
  <c r="M332" i="20"/>
  <c r="L332" i="20"/>
  <c r="J332" i="20"/>
  <c r="I332" i="20"/>
  <c r="K332" i="20" s="1"/>
  <c r="P332" i="20" s="1"/>
  <c r="N332" i="20" s="1"/>
  <c r="E332" i="20"/>
  <c r="M331" i="20"/>
  <c r="L331" i="20"/>
  <c r="J331" i="20"/>
  <c r="I331" i="20"/>
  <c r="K331" i="20" s="1"/>
  <c r="E331" i="20"/>
  <c r="M330" i="20"/>
  <c r="L330" i="20"/>
  <c r="J330" i="20"/>
  <c r="I330" i="20"/>
  <c r="K330" i="20" s="1"/>
  <c r="P330" i="20" s="1"/>
  <c r="E330" i="20"/>
  <c r="M329" i="20"/>
  <c r="L329" i="20"/>
  <c r="J329" i="20"/>
  <c r="I329" i="20"/>
  <c r="K329" i="20" s="1"/>
  <c r="E329" i="20"/>
  <c r="M328" i="20"/>
  <c r="L328" i="20"/>
  <c r="J328" i="20"/>
  <c r="I328" i="20"/>
  <c r="K328" i="20" s="1"/>
  <c r="P328" i="20" s="1"/>
  <c r="E328" i="20"/>
  <c r="M327" i="20"/>
  <c r="L327" i="20"/>
  <c r="J327" i="20"/>
  <c r="I327" i="20"/>
  <c r="K327" i="20" s="1"/>
  <c r="E327" i="20"/>
  <c r="M326" i="20"/>
  <c r="L326" i="20"/>
  <c r="J326" i="20"/>
  <c r="I326" i="20"/>
  <c r="K326" i="20"/>
  <c r="E326" i="20"/>
  <c r="M325" i="20"/>
  <c r="L325" i="20"/>
  <c r="J325" i="20"/>
  <c r="I325" i="20"/>
  <c r="K325" i="20" s="1"/>
  <c r="P325" i="20" s="1"/>
  <c r="N325" i="20" s="1"/>
  <c r="E325" i="20"/>
  <c r="M324" i="20"/>
  <c r="L324" i="20"/>
  <c r="J324" i="20"/>
  <c r="I324" i="20"/>
  <c r="K324" i="20" s="1"/>
  <c r="P324" i="20" s="1"/>
  <c r="N324" i="20" s="1"/>
  <c r="E324" i="20"/>
  <c r="M323" i="20"/>
  <c r="L323" i="20"/>
  <c r="J323" i="20"/>
  <c r="I323" i="20"/>
  <c r="K323" i="20" s="1"/>
  <c r="P323" i="20" s="1"/>
  <c r="N323" i="20" s="1"/>
  <c r="E323" i="20"/>
  <c r="M322" i="20"/>
  <c r="L322" i="20"/>
  <c r="J322" i="20"/>
  <c r="I322" i="20"/>
  <c r="K322" i="20" s="1"/>
  <c r="P322" i="20" s="1"/>
  <c r="O322" i="20" s="1"/>
  <c r="E322" i="20"/>
  <c r="M321" i="20"/>
  <c r="L321" i="20"/>
  <c r="J321" i="20"/>
  <c r="I321" i="20"/>
  <c r="K321" i="20" s="1"/>
  <c r="E321" i="20"/>
  <c r="M320" i="20"/>
  <c r="L320" i="20"/>
  <c r="J320" i="20"/>
  <c r="I320" i="20"/>
  <c r="K320" i="20" s="1"/>
  <c r="P320" i="20" s="1"/>
  <c r="E320" i="20"/>
  <c r="M319" i="20"/>
  <c r="L319" i="20"/>
  <c r="J319" i="20"/>
  <c r="I319" i="20"/>
  <c r="K319" i="20" s="1"/>
  <c r="P319" i="20" s="1"/>
  <c r="E319" i="20"/>
  <c r="M318" i="20"/>
  <c r="L318" i="20"/>
  <c r="J318" i="20"/>
  <c r="I318" i="20"/>
  <c r="K318" i="20"/>
  <c r="P318" i="20" s="1"/>
  <c r="N318" i="20" s="1"/>
  <c r="E318" i="20"/>
  <c r="M317" i="20"/>
  <c r="L317" i="20"/>
  <c r="J317" i="20"/>
  <c r="I317" i="20"/>
  <c r="K317" i="20" s="1"/>
  <c r="P317" i="20" s="1"/>
  <c r="N317" i="20" s="1"/>
  <c r="E317" i="20"/>
  <c r="M316" i="20"/>
  <c r="L316" i="20"/>
  <c r="J316" i="20"/>
  <c r="I316" i="20"/>
  <c r="K316" i="20" s="1"/>
  <c r="P316" i="20" s="1"/>
  <c r="E316" i="20"/>
  <c r="M315" i="20"/>
  <c r="L315" i="20"/>
  <c r="J315" i="20"/>
  <c r="I315" i="20"/>
  <c r="K315" i="20" s="1"/>
  <c r="P315" i="20" s="1"/>
  <c r="E315" i="20"/>
  <c r="M314" i="20"/>
  <c r="L314" i="20"/>
  <c r="J314" i="20"/>
  <c r="I314" i="20"/>
  <c r="K314" i="20" s="1"/>
  <c r="P314" i="20" s="1"/>
  <c r="E314" i="20"/>
  <c r="M313" i="20"/>
  <c r="L313" i="20"/>
  <c r="J313" i="20"/>
  <c r="I313" i="20"/>
  <c r="K313" i="20" s="1"/>
  <c r="P313" i="20" s="1"/>
  <c r="N313" i="20" s="1"/>
  <c r="E313" i="20"/>
  <c r="M312" i="20"/>
  <c r="L312" i="20"/>
  <c r="J312" i="20"/>
  <c r="I312" i="20"/>
  <c r="K312" i="20" s="1"/>
  <c r="P312" i="20" s="1"/>
  <c r="N312" i="20" s="1"/>
  <c r="E312" i="20"/>
  <c r="M311" i="20"/>
  <c r="L311" i="20"/>
  <c r="J311" i="20"/>
  <c r="I311" i="20"/>
  <c r="K311" i="20" s="1"/>
  <c r="E311" i="20"/>
  <c r="M310" i="20"/>
  <c r="L310" i="20"/>
  <c r="J310" i="20"/>
  <c r="I310" i="20"/>
  <c r="K310" i="20"/>
  <c r="E310" i="20"/>
  <c r="M309" i="20"/>
  <c r="L309" i="20"/>
  <c r="J309" i="20"/>
  <c r="I309" i="20"/>
  <c r="K309" i="20" s="1"/>
  <c r="E309" i="20"/>
  <c r="M308" i="20"/>
  <c r="L308" i="20"/>
  <c r="J308" i="20"/>
  <c r="I308" i="20"/>
  <c r="K308" i="20" s="1"/>
  <c r="P308" i="20" s="1"/>
  <c r="E308" i="20"/>
  <c r="M307" i="20"/>
  <c r="L307" i="20"/>
  <c r="J307" i="20"/>
  <c r="I307" i="20"/>
  <c r="K307" i="20" s="1"/>
  <c r="E307" i="20"/>
  <c r="M306" i="20"/>
  <c r="L306" i="20"/>
  <c r="J306" i="20"/>
  <c r="I306" i="20"/>
  <c r="K306" i="20" s="1"/>
  <c r="P306" i="20" s="1"/>
  <c r="E306" i="20"/>
  <c r="M305" i="20"/>
  <c r="L305" i="20"/>
  <c r="J305" i="20"/>
  <c r="I305" i="20"/>
  <c r="K305" i="20" s="1"/>
  <c r="P305" i="20" s="1"/>
  <c r="N305" i="20" s="1"/>
  <c r="E305" i="20"/>
  <c r="M304" i="20"/>
  <c r="L304" i="20"/>
  <c r="J304" i="20"/>
  <c r="I304" i="20"/>
  <c r="K304" i="20" s="1"/>
  <c r="P304" i="20" s="1"/>
  <c r="E304" i="20"/>
  <c r="M303" i="20"/>
  <c r="L303" i="20"/>
  <c r="J303" i="20"/>
  <c r="I303" i="20"/>
  <c r="K303" i="20" s="1"/>
  <c r="E303" i="20"/>
  <c r="M302" i="20"/>
  <c r="L302" i="20"/>
  <c r="J302" i="20"/>
  <c r="I302" i="20"/>
  <c r="K302" i="20"/>
  <c r="P302" i="20" s="1"/>
  <c r="N302" i="20" s="1"/>
  <c r="E302" i="20"/>
  <c r="M301" i="20"/>
  <c r="L301" i="20"/>
  <c r="J301" i="20"/>
  <c r="I301" i="20"/>
  <c r="K301" i="20" s="1"/>
  <c r="E301" i="20"/>
  <c r="M300" i="20"/>
  <c r="L300" i="20"/>
  <c r="J300" i="20"/>
  <c r="I300" i="20"/>
  <c r="K300" i="20" s="1"/>
  <c r="P300" i="20" s="1"/>
  <c r="E300" i="20"/>
  <c r="M299" i="20"/>
  <c r="L299" i="20"/>
  <c r="J299" i="20"/>
  <c r="I299" i="20"/>
  <c r="K299" i="20" s="1"/>
  <c r="P299" i="20" s="1"/>
  <c r="E299" i="20"/>
  <c r="M298" i="20"/>
  <c r="L298" i="20"/>
  <c r="J298" i="20"/>
  <c r="I298" i="20"/>
  <c r="K298" i="20" s="1"/>
  <c r="P298" i="20" s="1"/>
  <c r="O298" i="20" s="1"/>
  <c r="E298" i="20"/>
  <c r="M297" i="20"/>
  <c r="L297" i="20"/>
  <c r="J297" i="20"/>
  <c r="I297" i="20"/>
  <c r="K297" i="20" s="1"/>
  <c r="E297" i="20"/>
  <c r="M296" i="20"/>
  <c r="L296" i="20"/>
  <c r="J296" i="20"/>
  <c r="I296" i="20"/>
  <c r="K296" i="20" s="1"/>
  <c r="P296" i="20" s="1"/>
  <c r="N296" i="20" s="1"/>
  <c r="E296" i="20"/>
  <c r="M295" i="20"/>
  <c r="L295" i="20"/>
  <c r="J295" i="20"/>
  <c r="I295" i="20"/>
  <c r="K295" i="20" s="1"/>
  <c r="P295" i="20" s="1"/>
  <c r="E295" i="20"/>
  <c r="M294" i="20"/>
  <c r="L294" i="20"/>
  <c r="J294" i="20"/>
  <c r="I294" i="20"/>
  <c r="K294" i="20"/>
  <c r="E294" i="20"/>
  <c r="M293" i="20"/>
  <c r="L293" i="20"/>
  <c r="J293" i="20"/>
  <c r="I293" i="20"/>
  <c r="K293" i="20" s="1"/>
  <c r="P293" i="20" s="1"/>
  <c r="E293" i="20"/>
  <c r="M292" i="20"/>
  <c r="L292" i="20"/>
  <c r="J292" i="20"/>
  <c r="I292" i="20"/>
  <c r="K292" i="20" s="1"/>
  <c r="P292" i="20" s="1"/>
  <c r="E292" i="20"/>
  <c r="M291" i="20"/>
  <c r="L291" i="20"/>
  <c r="J291" i="20"/>
  <c r="I291" i="20"/>
  <c r="K291" i="20" s="1"/>
  <c r="P291" i="20" s="1"/>
  <c r="O291" i="20" s="1"/>
  <c r="E291" i="20"/>
  <c r="M290" i="20"/>
  <c r="L290" i="20"/>
  <c r="J290" i="20"/>
  <c r="I290" i="20"/>
  <c r="K290" i="20" s="1"/>
  <c r="P290" i="20" s="1"/>
  <c r="E290" i="20"/>
  <c r="M289" i="20"/>
  <c r="L289" i="20"/>
  <c r="J289" i="20"/>
  <c r="I289" i="20"/>
  <c r="K289" i="20" s="1"/>
  <c r="E289" i="20"/>
  <c r="M288" i="20"/>
  <c r="L288" i="20"/>
  <c r="J288" i="20"/>
  <c r="I288" i="20"/>
  <c r="K288" i="20" s="1"/>
  <c r="P288" i="20" s="1"/>
  <c r="N288" i="20" s="1"/>
  <c r="E288" i="20"/>
  <c r="M287" i="20"/>
  <c r="L287" i="20"/>
  <c r="J287" i="20"/>
  <c r="I287" i="20"/>
  <c r="K287" i="20" s="1"/>
  <c r="P287" i="20" s="1"/>
  <c r="E287" i="20"/>
  <c r="M286" i="20"/>
  <c r="L286" i="20"/>
  <c r="J286" i="20"/>
  <c r="I286" i="20"/>
  <c r="K286" i="20"/>
  <c r="P286" i="20" s="1"/>
  <c r="E286" i="20"/>
  <c r="M285" i="20"/>
  <c r="L285" i="20"/>
  <c r="J285" i="20"/>
  <c r="I285" i="20"/>
  <c r="K285" i="20" s="1"/>
  <c r="P285" i="20" s="1"/>
  <c r="N285" i="20" s="1"/>
  <c r="E285" i="20"/>
  <c r="M284" i="20"/>
  <c r="L284" i="20"/>
  <c r="J284" i="20"/>
  <c r="I284" i="20"/>
  <c r="E284" i="20"/>
  <c r="M283" i="20"/>
  <c r="L283" i="20"/>
  <c r="J283" i="20"/>
  <c r="I283" i="20"/>
  <c r="E283" i="20"/>
  <c r="K283" i="20" s="1"/>
  <c r="P283" i="20" s="1"/>
  <c r="M282" i="20"/>
  <c r="L282" i="20"/>
  <c r="J282" i="20"/>
  <c r="I282" i="20"/>
  <c r="M281" i="20"/>
  <c r="L281" i="20"/>
  <c r="J281" i="20"/>
  <c r="I281" i="20"/>
  <c r="E281" i="20"/>
  <c r="K281" i="20" s="1"/>
  <c r="P281" i="20" s="1"/>
  <c r="M280" i="20"/>
  <c r="L280" i="20"/>
  <c r="J280" i="20"/>
  <c r="P280" i="20" s="1"/>
  <c r="N280" i="20" s="1"/>
  <c r="I280" i="20"/>
  <c r="E280" i="20"/>
  <c r="M279" i="20"/>
  <c r="L279" i="20"/>
  <c r="J279" i="20"/>
  <c r="P279" i="20" s="1"/>
  <c r="I279" i="20"/>
  <c r="E279" i="20"/>
  <c r="M278" i="20"/>
  <c r="L278" i="20"/>
  <c r="J278" i="20"/>
  <c r="I278" i="20"/>
  <c r="E278" i="20"/>
  <c r="M277" i="20"/>
  <c r="L277" i="20"/>
  <c r="J277" i="20"/>
  <c r="I277" i="20"/>
  <c r="E277" i="20"/>
  <c r="M276" i="20"/>
  <c r="L276" i="20"/>
  <c r="J276" i="20"/>
  <c r="I276" i="20"/>
  <c r="E276" i="20"/>
  <c r="M275" i="20"/>
  <c r="L275" i="20"/>
  <c r="J275" i="20"/>
  <c r="I275" i="20"/>
  <c r="E275" i="20"/>
  <c r="M274" i="20"/>
  <c r="L274" i="20"/>
  <c r="J274" i="20"/>
  <c r="I274" i="20"/>
  <c r="E274" i="20"/>
  <c r="M273" i="20"/>
  <c r="L273" i="20"/>
  <c r="J273" i="20"/>
  <c r="P273" i="20" s="1"/>
  <c r="I273" i="20"/>
  <c r="E273" i="20"/>
  <c r="M272" i="20"/>
  <c r="L272" i="20"/>
  <c r="J272" i="20"/>
  <c r="I272" i="20"/>
  <c r="E272" i="20"/>
  <c r="M271" i="20"/>
  <c r="L271" i="20"/>
  <c r="J271" i="20"/>
  <c r="I271" i="20"/>
  <c r="E271" i="20"/>
  <c r="M270" i="20"/>
  <c r="L270" i="20"/>
  <c r="J270" i="20"/>
  <c r="P270" i="20" s="1"/>
  <c r="I270" i="20"/>
  <c r="E270" i="20"/>
  <c r="M269" i="20"/>
  <c r="L269" i="20"/>
  <c r="J269" i="20"/>
  <c r="I269" i="20"/>
  <c r="E269" i="20"/>
  <c r="M268" i="20"/>
  <c r="L268" i="20"/>
  <c r="J268" i="20"/>
  <c r="I268" i="20"/>
  <c r="E268" i="20"/>
  <c r="M267" i="20"/>
  <c r="L267" i="20"/>
  <c r="J267" i="20"/>
  <c r="I267" i="20"/>
  <c r="E267" i="20"/>
  <c r="M266" i="20"/>
  <c r="L266" i="20"/>
  <c r="J266" i="20"/>
  <c r="I266" i="20"/>
  <c r="E266" i="20"/>
  <c r="M265" i="20"/>
  <c r="L265" i="20"/>
  <c r="J265" i="20"/>
  <c r="P265" i="20" s="1"/>
  <c r="I265" i="20"/>
  <c r="M264" i="20"/>
  <c r="L264" i="20"/>
  <c r="J264" i="20"/>
  <c r="I264" i="20"/>
  <c r="M263" i="20"/>
  <c r="L263" i="20"/>
  <c r="J263" i="20"/>
  <c r="I263" i="20"/>
  <c r="M262" i="20"/>
  <c r="L262" i="20"/>
  <c r="J262" i="20"/>
  <c r="P262" i="20" s="1"/>
  <c r="I262" i="20"/>
  <c r="M261" i="20"/>
  <c r="L261" i="20"/>
  <c r="J261" i="20"/>
  <c r="I261" i="20"/>
  <c r="M260" i="20"/>
  <c r="L260" i="20"/>
  <c r="J260" i="20"/>
  <c r="I260" i="20"/>
  <c r="M259" i="20"/>
  <c r="L259" i="20"/>
  <c r="J259" i="20"/>
  <c r="I259" i="20"/>
  <c r="M258" i="20"/>
  <c r="L258" i="20"/>
  <c r="J258" i="20"/>
  <c r="I258" i="20"/>
  <c r="M257" i="20"/>
  <c r="L257" i="20"/>
  <c r="J257" i="20"/>
  <c r="P257" i="20" s="1"/>
  <c r="I257" i="20"/>
  <c r="E257" i="20"/>
  <c r="M256" i="20"/>
  <c r="L256" i="20"/>
  <c r="J256" i="20"/>
  <c r="I256" i="20"/>
  <c r="E256" i="20"/>
  <c r="M255" i="20"/>
  <c r="L255" i="20"/>
  <c r="J255" i="20"/>
  <c r="I255" i="20"/>
  <c r="E255" i="20"/>
  <c r="M254" i="20"/>
  <c r="L254" i="20"/>
  <c r="J254" i="20"/>
  <c r="P254" i="20" s="1"/>
  <c r="N254" i="20" s="1"/>
  <c r="I254" i="20"/>
  <c r="E254" i="20"/>
  <c r="M253" i="20"/>
  <c r="L253" i="20"/>
  <c r="J253" i="20"/>
  <c r="I253" i="20"/>
  <c r="E253" i="20"/>
  <c r="M252" i="20"/>
  <c r="L252" i="20"/>
  <c r="J252" i="20"/>
  <c r="I252" i="20"/>
  <c r="E252" i="20"/>
  <c r="M251" i="20"/>
  <c r="L251" i="20"/>
  <c r="J251" i="20"/>
  <c r="I251" i="20"/>
  <c r="E251" i="20"/>
  <c r="M250" i="20"/>
  <c r="L250" i="20"/>
  <c r="J250" i="20"/>
  <c r="I250" i="20"/>
  <c r="E250" i="20"/>
  <c r="K250" i="20" s="1"/>
  <c r="P250" i="20" s="1"/>
  <c r="O250" i="20" s="1"/>
  <c r="M249" i="20"/>
  <c r="L249" i="20"/>
  <c r="J249" i="20"/>
  <c r="P249" i="20" s="1"/>
  <c r="N249" i="20" s="1"/>
  <c r="I249" i="20"/>
  <c r="E249" i="20"/>
  <c r="M248" i="20"/>
  <c r="L248" i="20"/>
  <c r="J248" i="20"/>
  <c r="I248" i="20"/>
  <c r="E248" i="20"/>
  <c r="K248" i="20" s="1"/>
  <c r="M247" i="20"/>
  <c r="L247" i="20"/>
  <c r="J247" i="20"/>
  <c r="I247" i="20"/>
  <c r="E247" i="20"/>
  <c r="M246" i="20"/>
  <c r="L246" i="20"/>
  <c r="J246" i="20"/>
  <c r="P246" i="20" s="1"/>
  <c r="I246" i="20"/>
  <c r="E246" i="20"/>
  <c r="M245" i="20"/>
  <c r="L245" i="20"/>
  <c r="J245" i="20"/>
  <c r="I245" i="20"/>
  <c r="E245" i="20"/>
  <c r="M244" i="20"/>
  <c r="L244" i="20"/>
  <c r="J244" i="20"/>
  <c r="I244" i="20"/>
  <c r="E244" i="20"/>
  <c r="M243" i="20"/>
  <c r="L243" i="20"/>
  <c r="J243" i="20"/>
  <c r="I243" i="20"/>
  <c r="E243" i="20"/>
  <c r="M242" i="20"/>
  <c r="L242" i="20"/>
  <c r="J242" i="20"/>
  <c r="I242" i="20"/>
  <c r="E242" i="20"/>
  <c r="M241" i="20"/>
  <c r="L241" i="20"/>
  <c r="J241" i="20"/>
  <c r="I241" i="20"/>
  <c r="E241" i="20"/>
  <c r="M240" i="20"/>
  <c r="L240" i="20"/>
  <c r="J240" i="20"/>
  <c r="I240" i="20"/>
  <c r="K240" i="20" s="1"/>
  <c r="E240" i="20"/>
  <c r="M239" i="20"/>
  <c r="L239" i="20"/>
  <c r="J239" i="20"/>
  <c r="I239" i="20"/>
  <c r="E239" i="20"/>
  <c r="M238" i="20"/>
  <c r="L238" i="20"/>
  <c r="J238" i="20"/>
  <c r="I238" i="20"/>
  <c r="E238" i="20"/>
  <c r="M237" i="20"/>
  <c r="L237" i="20"/>
  <c r="J237" i="20"/>
  <c r="I237" i="20"/>
  <c r="E237" i="20"/>
  <c r="K237" i="20" s="1"/>
  <c r="P237" i="20" s="1"/>
  <c r="N237" i="20" s="1"/>
  <c r="M236" i="20"/>
  <c r="L236" i="20"/>
  <c r="J236" i="20"/>
  <c r="I236" i="20"/>
  <c r="E236" i="20"/>
  <c r="K236" i="20" s="1"/>
  <c r="M235" i="20"/>
  <c r="L235" i="20"/>
  <c r="J235" i="20"/>
  <c r="I235" i="20"/>
  <c r="E235" i="20"/>
  <c r="M234" i="20"/>
  <c r="L234" i="20"/>
  <c r="J234" i="20"/>
  <c r="I234" i="20"/>
  <c r="E234" i="20"/>
  <c r="M233" i="20"/>
  <c r="L233" i="20"/>
  <c r="J233" i="20"/>
  <c r="I233" i="20"/>
  <c r="E233" i="20"/>
  <c r="K233" i="20" s="1"/>
  <c r="P233" i="20" s="1"/>
  <c r="M232" i="20"/>
  <c r="L232" i="20"/>
  <c r="J232" i="20"/>
  <c r="I232" i="20"/>
  <c r="E232" i="20"/>
  <c r="K232" i="20" s="1"/>
  <c r="M231" i="20"/>
  <c r="L231" i="20"/>
  <c r="J231" i="20"/>
  <c r="I231" i="20"/>
  <c r="E231" i="20"/>
  <c r="M230" i="20"/>
  <c r="L230" i="20"/>
  <c r="J230" i="20"/>
  <c r="I230" i="20"/>
  <c r="E230" i="20"/>
  <c r="M229" i="20"/>
  <c r="L229" i="20"/>
  <c r="J229" i="20"/>
  <c r="I229" i="20"/>
  <c r="E229" i="20"/>
  <c r="K229" i="20" s="1"/>
  <c r="P229" i="20" s="1"/>
  <c r="N229" i="20" s="1"/>
  <c r="M228" i="20"/>
  <c r="L228" i="20"/>
  <c r="J228" i="20"/>
  <c r="P228" i="20" s="1"/>
  <c r="I228" i="20"/>
  <c r="E228" i="20"/>
  <c r="M227" i="20"/>
  <c r="L227" i="20"/>
  <c r="J227" i="20"/>
  <c r="I227" i="20"/>
  <c r="E227" i="20"/>
  <c r="M226" i="20"/>
  <c r="L226" i="20"/>
  <c r="J226" i="20"/>
  <c r="I226" i="20"/>
  <c r="E226" i="20"/>
  <c r="K226" i="20" s="1"/>
  <c r="P226" i="20" s="1"/>
  <c r="N226" i="20" s="1"/>
  <c r="M225" i="20"/>
  <c r="L225" i="20"/>
  <c r="J225" i="20"/>
  <c r="I225" i="20"/>
  <c r="E225" i="20"/>
  <c r="M224" i="20"/>
  <c r="L224" i="20"/>
  <c r="J224" i="20"/>
  <c r="I224" i="20"/>
  <c r="E224" i="20"/>
  <c r="M223" i="20"/>
  <c r="L223" i="20"/>
  <c r="J223" i="20"/>
  <c r="I223" i="20"/>
  <c r="E223" i="20"/>
  <c r="M222" i="20"/>
  <c r="L222" i="20"/>
  <c r="J222" i="20"/>
  <c r="I222" i="20"/>
  <c r="E222" i="20"/>
  <c r="K222" i="20" s="1"/>
  <c r="P222" i="20" s="1"/>
  <c r="M221" i="20"/>
  <c r="L221" i="20"/>
  <c r="J221" i="20"/>
  <c r="I221" i="20"/>
  <c r="E221" i="20"/>
  <c r="M220" i="20"/>
  <c r="L220" i="20"/>
  <c r="J220" i="20"/>
  <c r="I220" i="20"/>
  <c r="E220" i="20"/>
  <c r="M219" i="20"/>
  <c r="L219" i="20"/>
  <c r="J219" i="20"/>
  <c r="I219" i="20"/>
  <c r="E219" i="20"/>
  <c r="M218" i="20"/>
  <c r="L218" i="20"/>
  <c r="J218" i="20"/>
  <c r="I218" i="20"/>
  <c r="E218" i="20"/>
  <c r="K218" i="20" s="1"/>
  <c r="P218" i="20" s="1"/>
  <c r="O218" i="20" s="1"/>
  <c r="M217" i="20"/>
  <c r="L217" i="20"/>
  <c r="J217" i="20"/>
  <c r="I217" i="20"/>
  <c r="E217" i="20"/>
  <c r="M216" i="20"/>
  <c r="L216" i="20"/>
  <c r="J216" i="20"/>
  <c r="I216" i="20"/>
  <c r="E216" i="20"/>
  <c r="M215" i="20"/>
  <c r="L215" i="20"/>
  <c r="J215" i="20"/>
  <c r="I215" i="20"/>
  <c r="E215" i="20"/>
  <c r="M214" i="20"/>
  <c r="L214" i="20"/>
  <c r="J214" i="20"/>
  <c r="I214" i="20"/>
  <c r="E214" i="20"/>
  <c r="K214" i="20" s="1"/>
  <c r="P214" i="20" s="1"/>
  <c r="O214" i="20" s="1"/>
  <c r="M213" i="20"/>
  <c r="L213" i="20"/>
  <c r="J213" i="20"/>
  <c r="I213" i="20"/>
  <c r="E213" i="20"/>
  <c r="M212" i="20"/>
  <c r="L212" i="20"/>
  <c r="J212" i="20"/>
  <c r="I212" i="20"/>
  <c r="E212" i="20"/>
  <c r="M211" i="20"/>
  <c r="L211" i="20"/>
  <c r="J211" i="20"/>
  <c r="I211" i="20"/>
  <c r="E211" i="20"/>
  <c r="M210" i="20"/>
  <c r="L210" i="20"/>
  <c r="J210" i="20"/>
  <c r="I210" i="20"/>
  <c r="E210" i="20"/>
  <c r="K210" i="20" s="1"/>
  <c r="P210" i="20" s="1"/>
  <c r="M209" i="20"/>
  <c r="L209" i="20"/>
  <c r="J209" i="20"/>
  <c r="I209" i="20"/>
  <c r="E209" i="20"/>
  <c r="M208" i="20"/>
  <c r="L208" i="20"/>
  <c r="J208" i="20"/>
  <c r="I208" i="20"/>
  <c r="E208" i="20"/>
  <c r="M207" i="20"/>
  <c r="L207" i="20"/>
  <c r="J207" i="20"/>
  <c r="I207" i="20"/>
  <c r="E207" i="20"/>
  <c r="M206" i="20"/>
  <c r="L206" i="20"/>
  <c r="J206" i="20"/>
  <c r="I206" i="20"/>
  <c r="E206" i="20"/>
  <c r="K206" i="20" s="1"/>
  <c r="P206" i="20" s="1"/>
  <c r="O206" i="20" s="1"/>
  <c r="M205" i="20"/>
  <c r="L205" i="20"/>
  <c r="J205" i="20"/>
  <c r="I205" i="20"/>
  <c r="E205" i="20"/>
  <c r="M204" i="20"/>
  <c r="L204" i="20"/>
  <c r="J204" i="20"/>
  <c r="I204" i="20"/>
  <c r="E204" i="20"/>
  <c r="M203" i="20"/>
  <c r="L203" i="20"/>
  <c r="J203" i="20"/>
  <c r="I203" i="20"/>
  <c r="E203" i="20"/>
  <c r="M202" i="20"/>
  <c r="L202" i="20"/>
  <c r="J202" i="20"/>
  <c r="I202" i="20"/>
  <c r="E202" i="20"/>
  <c r="K202" i="20" s="1"/>
  <c r="P202" i="20" s="1"/>
  <c r="N202" i="20" s="1"/>
  <c r="M201" i="20"/>
  <c r="L201" i="20"/>
  <c r="J201" i="20"/>
  <c r="I201" i="20"/>
  <c r="E201" i="20"/>
  <c r="M200" i="20"/>
  <c r="L200" i="20"/>
  <c r="J200" i="20"/>
  <c r="P200" i="20" s="1"/>
  <c r="I200" i="20"/>
  <c r="E200" i="20"/>
  <c r="M199" i="20"/>
  <c r="S149" i="20"/>
  <c r="L199" i="20"/>
  <c r="Q149" i="20"/>
  <c r="J199" i="20"/>
  <c r="P199" i="20" s="1"/>
  <c r="N199" i="20" s="1"/>
  <c r="I199" i="20"/>
  <c r="E199" i="20"/>
  <c r="M198" i="20"/>
  <c r="L198" i="20"/>
  <c r="J198" i="20"/>
  <c r="P198" i="20" s="1"/>
  <c r="I198" i="20"/>
  <c r="E198" i="20"/>
  <c r="M197" i="20"/>
  <c r="L197" i="20"/>
  <c r="J197" i="20"/>
  <c r="P197" i="20" s="1"/>
  <c r="N197" i="20" s="1"/>
  <c r="I197" i="20"/>
  <c r="E197" i="20"/>
  <c r="M196" i="20"/>
  <c r="L196" i="20"/>
  <c r="J196" i="20"/>
  <c r="P196" i="20"/>
  <c r="I196" i="20"/>
  <c r="E196" i="20"/>
  <c r="M195" i="20"/>
  <c r="L195" i="20"/>
  <c r="J195" i="20"/>
  <c r="P195" i="20" s="1"/>
  <c r="N195" i="20" s="1"/>
  <c r="I195" i="20"/>
  <c r="E195" i="20"/>
  <c r="M194" i="20"/>
  <c r="L194" i="20"/>
  <c r="J194" i="20"/>
  <c r="P194" i="20" s="1"/>
  <c r="N194" i="20" s="1"/>
  <c r="I194" i="20"/>
  <c r="E194" i="20"/>
  <c r="M193" i="20"/>
  <c r="L193" i="20"/>
  <c r="J193" i="20"/>
  <c r="P193" i="20" s="1"/>
  <c r="I193" i="20"/>
  <c r="E193" i="20"/>
  <c r="M192" i="20"/>
  <c r="L192" i="20"/>
  <c r="J192" i="20"/>
  <c r="P192" i="20" s="1"/>
  <c r="O192" i="20" s="1"/>
  <c r="I192" i="20"/>
  <c r="E192" i="20"/>
  <c r="M191" i="20"/>
  <c r="L191" i="20"/>
  <c r="J191" i="20"/>
  <c r="P191" i="20"/>
  <c r="N191" i="20" s="1"/>
  <c r="I191" i="20"/>
  <c r="E191" i="20"/>
  <c r="E187" i="20"/>
  <c r="F186" i="20"/>
  <c r="G186" i="20"/>
  <c r="F185" i="20"/>
  <c r="G185" i="20"/>
  <c r="F184" i="20"/>
  <c r="G184" i="20"/>
  <c r="F183" i="20"/>
  <c r="G183" i="20"/>
  <c r="N178" i="20"/>
  <c r="M178" i="20"/>
  <c r="K178" i="20"/>
  <c r="J178" i="20"/>
  <c r="G178" i="20"/>
  <c r="F178" i="20"/>
  <c r="E178" i="20"/>
  <c r="L177" i="20"/>
  <c r="M177" i="20"/>
  <c r="K177" i="20"/>
  <c r="G177" i="20"/>
  <c r="F177" i="20"/>
  <c r="E177" i="20"/>
  <c r="D177" i="20"/>
  <c r="J177" i="20" s="1"/>
  <c r="L176" i="20"/>
  <c r="K176" i="20"/>
  <c r="G176" i="20"/>
  <c r="F176" i="20"/>
  <c r="E176" i="20"/>
  <c r="D176" i="20"/>
  <c r="J176" i="20" s="1"/>
  <c r="L175" i="20"/>
  <c r="K175" i="20"/>
  <c r="G175" i="20"/>
  <c r="F175" i="20"/>
  <c r="E175" i="20"/>
  <c r="D175" i="20"/>
  <c r="J175" i="20" s="1"/>
  <c r="L174" i="20"/>
  <c r="N174" i="20"/>
  <c r="K174" i="20"/>
  <c r="G174" i="20"/>
  <c r="F174" i="20"/>
  <c r="E174" i="20"/>
  <c r="D174" i="20"/>
  <c r="J174" i="20" s="1"/>
  <c r="L173" i="20"/>
  <c r="N173" i="20"/>
  <c r="K173" i="20"/>
  <c r="G173" i="20"/>
  <c r="F173" i="20"/>
  <c r="E173" i="20"/>
  <c r="D173" i="20"/>
  <c r="J173" i="20" s="1"/>
  <c r="L172" i="20"/>
  <c r="K172" i="20"/>
  <c r="G172" i="20"/>
  <c r="F172" i="20"/>
  <c r="E172" i="20"/>
  <c r="D172" i="20"/>
  <c r="J172" i="20" s="1"/>
  <c r="N171" i="20"/>
  <c r="M171" i="20"/>
  <c r="K171" i="20"/>
  <c r="G171" i="20"/>
  <c r="F171" i="20"/>
  <c r="E171" i="20"/>
  <c r="D171" i="20"/>
  <c r="J171" i="20" s="1"/>
  <c r="H185" i="20" s="1"/>
  <c r="I165" i="20"/>
  <c r="F165" i="20"/>
  <c r="E165" i="20"/>
  <c r="R154" i="20"/>
  <c r="C165" i="20"/>
  <c r="B165" i="20"/>
  <c r="K152" i="20"/>
  <c r="F164" i="20"/>
  <c r="I164" i="20"/>
  <c r="N157" i="20"/>
  <c r="M157" i="20"/>
  <c r="L157" i="20"/>
  <c r="AB150" i="20"/>
  <c r="D150" i="20"/>
  <c r="M160" i="20" s="1"/>
  <c r="N150" i="20"/>
  <c r="N154" i="20"/>
  <c r="L149" i="20"/>
  <c r="N149" i="20"/>
  <c r="K149" i="20"/>
  <c r="G149" i="20"/>
  <c r="F149" i="20"/>
  <c r="E149" i="20"/>
  <c r="D149" i="20"/>
  <c r="J149" i="20" s="1"/>
  <c r="AB148" i="20"/>
  <c r="S148" i="20"/>
  <c r="Q148" i="20"/>
  <c r="O148" i="20"/>
  <c r="P148" i="20" s="1"/>
  <c r="L148" i="20"/>
  <c r="J148" i="20"/>
  <c r="K148" i="20"/>
  <c r="S147" i="20"/>
  <c r="Q147" i="20"/>
  <c r="O147" i="20"/>
  <c r="P147" i="20" s="1"/>
  <c r="L147" i="20"/>
  <c r="N147" i="20"/>
  <c r="T147" i="20"/>
  <c r="K147" i="20"/>
  <c r="G147" i="20"/>
  <c r="F147" i="20"/>
  <c r="E147" i="20"/>
  <c r="D147" i="20"/>
  <c r="J147" i="20" s="1"/>
  <c r="AB146" i="20"/>
  <c r="S146" i="20"/>
  <c r="Q146" i="20"/>
  <c r="O146" i="20"/>
  <c r="P146" i="20" s="1"/>
  <c r="L146" i="20"/>
  <c r="N146" i="20"/>
  <c r="T146" i="20"/>
  <c r="K146" i="20"/>
  <c r="AB145" i="20"/>
  <c r="S145" i="20"/>
  <c r="Q145" i="20"/>
  <c r="O145" i="20"/>
  <c r="P145" i="20" s="1"/>
  <c r="L145" i="20"/>
  <c r="M145" i="20"/>
  <c r="R145" i="20"/>
  <c r="K145" i="20"/>
  <c r="AB144" i="20"/>
  <c r="S144" i="20"/>
  <c r="Q144" i="20"/>
  <c r="O144" i="20"/>
  <c r="P144" i="20" s="1"/>
  <c r="L144" i="20"/>
  <c r="K144" i="20"/>
  <c r="S143" i="20"/>
  <c r="Q143" i="20"/>
  <c r="O143" i="20"/>
  <c r="P143" i="20" s="1"/>
  <c r="L143" i="20"/>
  <c r="M143" i="20"/>
  <c r="R143" i="20"/>
  <c r="K143" i="20"/>
  <c r="S142" i="20"/>
  <c r="Q142" i="20"/>
  <c r="O142" i="20"/>
  <c r="P142" i="20" s="1"/>
  <c r="L142" i="20"/>
  <c r="N142" i="20"/>
  <c r="T142" i="20"/>
  <c r="K142" i="20"/>
  <c r="L141" i="20"/>
  <c r="K141" i="20"/>
  <c r="G141" i="20"/>
  <c r="F141" i="20"/>
  <c r="E141" i="20"/>
  <c r="D141" i="20"/>
  <c r="J141" i="20" s="1"/>
  <c r="S140" i="20"/>
  <c r="Q140" i="20"/>
  <c r="O140" i="20"/>
  <c r="P140" i="20" s="1"/>
  <c r="L140" i="20"/>
  <c r="N140" i="20"/>
  <c r="T140" i="20"/>
  <c r="M140" i="20"/>
  <c r="K140" i="20"/>
  <c r="G140" i="20"/>
  <c r="F140" i="20"/>
  <c r="E140" i="20"/>
  <c r="D140" i="20"/>
  <c r="J140" i="20" s="1"/>
  <c r="S139" i="20"/>
  <c r="Q139" i="20"/>
  <c r="O139" i="20"/>
  <c r="P139" i="20" s="1"/>
  <c r="L139" i="20"/>
  <c r="M139" i="20"/>
  <c r="R139" i="20"/>
  <c r="K139" i="20"/>
  <c r="G139" i="20"/>
  <c r="F139" i="20"/>
  <c r="E139" i="20"/>
  <c r="D139" i="20"/>
  <c r="J139" i="20" s="1"/>
  <c r="S138" i="20"/>
  <c r="Q138" i="20"/>
  <c r="O138" i="20"/>
  <c r="P138" i="20" s="1"/>
  <c r="L138" i="20"/>
  <c r="M138" i="20"/>
  <c r="K138" i="20"/>
  <c r="G138" i="20"/>
  <c r="F138" i="20"/>
  <c r="E138" i="20"/>
  <c r="D138" i="20"/>
  <c r="J138" i="20" s="1"/>
  <c r="S137" i="20"/>
  <c r="Q137" i="20"/>
  <c r="O137" i="20"/>
  <c r="P137" i="20" s="1"/>
  <c r="L137" i="20"/>
  <c r="K137" i="20"/>
  <c r="G137" i="20"/>
  <c r="F137" i="20"/>
  <c r="E137" i="20"/>
  <c r="D137" i="20"/>
  <c r="J137" i="20" s="1"/>
  <c r="S136" i="20"/>
  <c r="Q136" i="20"/>
  <c r="O136" i="20"/>
  <c r="P136" i="20" s="1"/>
  <c r="L136" i="20"/>
  <c r="M136" i="20"/>
  <c r="R136" i="20"/>
  <c r="K136" i="20"/>
  <c r="U131" i="20"/>
  <c r="O130" i="20"/>
  <c r="T130" i="20"/>
  <c r="W130" i="20"/>
  <c r="O129" i="20"/>
  <c r="T129" i="20"/>
  <c r="W129" i="20"/>
  <c r="O128" i="20"/>
  <c r="T128" i="20"/>
  <c r="W128" i="20"/>
  <c r="O127" i="20"/>
  <c r="T127" i="20"/>
  <c r="W127" i="20"/>
  <c r="O126" i="20"/>
  <c r="T126" i="20"/>
  <c r="W126" i="20"/>
  <c r="O125" i="20"/>
  <c r="T125" i="20"/>
  <c r="W125" i="20"/>
  <c r="O124" i="20"/>
  <c r="T124" i="20"/>
  <c r="W124" i="20"/>
  <c r="O123" i="20"/>
  <c r="T123" i="20"/>
  <c r="W123" i="20"/>
  <c r="O122" i="20"/>
  <c r="T122" i="20"/>
  <c r="W122" i="20"/>
  <c r="O121" i="20"/>
  <c r="T121" i="20"/>
  <c r="W121" i="20"/>
  <c r="O120" i="20"/>
  <c r="T120" i="20"/>
  <c r="W120" i="20"/>
  <c r="O119" i="20"/>
  <c r="T119" i="20"/>
  <c r="W119" i="20"/>
  <c r="O118" i="20"/>
  <c r="T118" i="20"/>
  <c r="W118" i="20"/>
  <c r="O117" i="20"/>
  <c r="T117" i="20"/>
  <c r="W117" i="20"/>
  <c r="O116" i="20"/>
  <c r="T116" i="20"/>
  <c r="W116" i="20"/>
  <c r="O115" i="20"/>
  <c r="T115" i="20"/>
  <c r="W115" i="20"/>
  <c r="O114" i="20"/>
  <c r="T114" i="20"/>
  <c r="W114" i="20"/>
  <c r="O113" i="20"/>
  <c r="T113" i="20"/>
  <c r="W113" i="20"/>
  <c r="O112" i="20"/>
  <c r="T112" i="20"/>
  <c r="W112" i="20"/>
  <c r="AB112" i="20"/>
  <c r="O111" i="20"/>
  <c r="T111" i="20"/>
  <c r="W111" i="20"/>
  <c r="O110" i="20"/>
  <c r="T110" i="20"/>
  <c r="W110" i="20"/>
  <c r="AB110" i="20"/>
  <c r="O109" i="20"/>
  <c r="T109" i="20"/>
  <c r="W109" i="20"/>
  <c r="O108" i="20"/>
  <c r="T108" i="20"/>
  <c r="W108" i="20"/>
  <c r="AB108" i="20"/>
  <c r="O107" i="20"/>
  <c r="T107" i="20"/>
  <c r="W107" i="20"/>
  <c r="O106" i="20"/>
  <c r="T106" i="20"/>
  <c r="W106" i="20"/>
  <c r="AB106" i="20"/>
  <c r="AA106" i="20"/>
  <c r="O105" i="20"/>
  <c r="T105" i="20"/>
  <c r="W105" i="20"/>
  <c r="O104" i="20"/>
  <c r="T104" i="20"/>
  <c r="W104" i="20"/>
  <c r="O103" i="20"/>
  <c r="T103" i="20"/>
  <c r="W103" i="20"/>
  <c r="O102" i="20"/>
  <c r="T102" i="20"/>
  <c r="W102" i="20"/>
  <c r="O101" i="20"/>
  <c r="T101" i="20"/>
  <c r="W101" i="20"/>
  <c r="AB101" i="20"/>
  <c r="O100" i="20"/>
  <c r="T100" i="20"/>
  <c r="W100" i="20"/>
  <c r="AA100" i="20"/>
  <c r="O99" i="20"/>
  <c r="T99" i="20"/>
  <c r="W99" i="20"/>
  <c r="O98" i="20"/>
  <c r="T98" i="20"/>
  <c r="W98" i="20"/>
  <c r="O97" i="20"/>
  <c r="T97" i="20"/>
  <c r="W97" i="20"/>
  <c r="AA97" i="20"/>
  <c r="O96" i="20"/>
  <c r="T96" i="20"/>
  <c r="W96" i="20"/>
  <c r="O95" i="20"/>
  <c r="T95" i="20"/>
  <c r="W95" i="20"/>
  <c r="O94" i="20"/>
  <c r="T94" i="20"/>
  <c r="W94" i="20"/>
  <c r="O93" i="20"/>
  <c r="T93" i="20"/>
  <c r="W93" i="20"/>
  <c r="AA93" i="20"/>
  <c r="O92" i="20"/>
  <c r="T92" i="20"/>
  <c r="W92" i="20"/>
  <c r="O131" i="20"/>
  <c r="F88" i="20"/>
  <c r="E88" i="20"/>
  <c r="D88" i="20"/>
  <c r="C88" i="20"/>
  <c r="B88" i="20"/>
  <c r="G87" i="20"/>
  <c r="G86" i="20"/>
  <c r="N85" i="20"/>
  <c r="M85" i="20"/>
  <c r="L85" i="20"/>
  <c r="K85" i="20"/>
  <c r="G85" i="20"/>
  <c r="G84" i="20"/>
  <c r="G83" i="20"/>
  <c r="G82" i="20"/>
  <c r="G81" i="20"/>
  <c r="G88" i="20"/>
  <c r="G77" i="20"/>
  <c r="F77" i="20"/>
  <c r="E77" i="20"/>
  <c r="D77" i="20"/>
  <c r="J77" i="20" s="1"/>
  <c r="L77" i="20"/>
  <c r="G76" i="20"/>
  <c r="F76" i="20"/>
  <c r="E76" i="20"/>
  <c r="D76" i="20"/>
  <c r="J76" i="20" s="1"/>
  <c r="L76" i="20"/>
  <c r="G75" i="20"/>
  <c r="F75" i="20"/>
  <c r="E75" i="20"/>
  <c r="D75" i="20"/>
  <c r="L75" i="20"/>
  <c r="G74" i="20"/>
  <c r="F74" i="20"/>
  <c r="E74" i="20"/>
  <c r="D74" i="20"/>
  <c r="J74" i="20" s="1"/>
  <c r="L74" i="20"/>
  <c r="G73" i="20"/>
  <c r="F73" i="20"/>
  <c r="E73" i="20"/>
  <c r="G72" i="20"/>
  <c r="F72" i="20"/>
  <c r="E72" i="20"/>
  <c r="D72" i="20"/>
  <c r="J72" i="20" s="1"/>
  <c r="L72" i="20"/>
  <c r="P66" i="20"/>
  <c r="O66" i="20"/>
  <c r="Y65" i="20"/>
  <c r="X65" i="20"/>
  <c r="L65" i="20"/>
  <c r="Q65" i="20"/>
  <c r="S65" i="20"/>
  <c r="Y64" i="20"/>
  <c r="X64" i="20"/>
  <c r="L64" i="20"/>
  <c r="Q64" i="20"/>
  <c r="S64" i="20"/>
  <c r="Y63" i="20"/>
  <c r="X63" i="20"/>
  <c r="L63" i="20"/>
  <c r="Q63" i="20"/>
  <c r="S63" i="20"/>
  <c r="L62" i="20"/>
  <c r="Q62" i="20"/>
  <c r="L61" i="20"/>
  <c r="Q61" i="20"/>
  <c r="T61" i="20"/>
  <c r="L60" i="20"/>
  <c r="Q60" i="20"/>
  <c r="T60" i="20"/>
  <c r="L59" i="20"/>
  <c r="Q59" i="20"/>
  <c r="S59" i="20"/>
  <c r="T59" i="20"/>
  <c r="L58" i="20"/>
  <c r="Q58" i="20"/>
  <c r="S58" i="20"/>
  <c r="T58" i="20"/>
  <c r="L57" i="20"/>
  <c r="Q57" i="20"/>
  <c r="S57" i="20"/>
  <c r="Y56" i="20"/>
  <c r="X56" i="20"/>
  <c r="L56" i="20"/>
  <c r="Q56" i="20"/>
  <c r="S56" i="20"/>
  <c r="Y55" i="20"/>
  <c r="X55" i="20"/>
  <c r="L55" i="20"/>
  <c r="Q55" i="20"/>
  <c r="S55" i="20"/>
  <c r="Y54" i="20"/>
  <c r="X54" i="20"/>
  <c r="L54" i="20"/>
  <c r="Q54" i="20"/>
  <c r="S54" i="20"/>
  <c r="Y53" i="20"/>
  <c r="X53" i="20"/>
  <c r="L53" i="20"/>
  <c r="Q53" i="20"/>
  <c r="S53" i="20"/>
  <c r="Y52" i="20"/>
  <c r="X52" i="20"/>
  <c r="L52" i="20"/>
  <c r="Q52" i="20"/>
  <c r="S52" i="20"/>
  <c r="Y51" i="20"/>
  <c r="X51" i="20"/>
  <c r="L51" i="20"/>
  <c r="Q51" i="20"/>
  <c r="S51" i="20"/>
  <c r="Y50" i="20"/>
  <c r="X50" i="20"/>
  <c r="L50" i="20"/>
  <c r="Q50" i="20"/>
  <c r="S50" i="20"/>
  <c r="L49" i="20"/>
  <c r="Q49" i="20"/>
  <c r="T49" i="20"/>
  <c r="X49" i="20"/>
  <c r="L48" i="20"/>
  <c r="Q48" i="20"/>
  <c r="T48" i="20"/>
  <c r="Y48" i="20"/>
  <c r="L47" i="20"/>
  <c r="Q47" i="20"/>
  <c r="T47" i="20"/>
  <c r="L46" i="20"/>
  <c r="Q46" i="20"/>
  <c r="T46" i="20"/>
  <c r="Y46" i="20"/>
  <c r="L45" i="20"/>
  <c r="Q45" i="20"/>
  <c r="T45" i="20"/>
  <c r="Y44" i="20"/>
  <c r="X44" i="20"/>
  <c r="L44" i="20"/>
  <c r="Q44" i="20"/>
  <c r="Y43" i="20"/>
  <c r="X43" i="20"/>
  <c r="L43" i="20"/>
  <c r="Q43" i="20"/>
  <c r="S43" i="20"/>
  <c r="Y42" i="20"/>
  <c r="X42" i="20"/>
  <c r="L42" i="20"/>
  <c r="Q42" i="20"/>
  <c r="S42" i="20"/>
  <c r="Y41" i="20"/>
  <c r="X41" i="20"/>
  <c r="L41" i="20"/>
  <c r="Q41" i="20"/>
  <c r="S41" i="20"/>
  <c r="Y40" i="20"/>
  <c r="X40" i="20"/>
  <c r="L40" i="20"/>
  <c r="Q40" i="20"/>
  <c r="S40" i="20"/>
  <c r="L39" i="20"/>
  <c r="Q39" i="20"/>
  <c r="S39" i="20"/>
  <c r="L38" i="20"/>
  <c r="Q38" i="20"/>
  <c r="T38" i="20"/>
  <c r="Y5" i="20"/>
  <c r="X5" i="20"/>
  <c r="L5" i="20"/>
  <c r="Q5" i="20"/>
  <c r="Q66" i="20"/>
  <c r="L419" i="13"/>
  <c r="M419" i="13"/>
  <c r="J417" i="13"/>
  <c r="L417" i="13"/>
  <c r="M417" i="13"/>
  <c r="G75" i="13"/>
  <c r="F75" i="13"/>
  <c r="E75" i="13"/>
  <c r="D75" i="13"/>
  <c r="L47" i="13"/>
  <c r="Q47" i="13"/>
  <c r="T47" i="13"/>
  <c r="L45" i="13"/>
  <c r="Q45" i="13"/>
  <c r="T45" i="13"/>
  <c r="L31" i="13"/>
  <c r="Q31" i="13"/>
  <c r="T31" i="13"/>
  <c r="Y31" i="13"/>
  <c r="L26" i="13"/>
  <c r="L27" i="13"/>
  <c r="G62" i="7"/>
  <c r="F62" i="7"/>
  <c r="E62" i="7"/>
  <c r="D62" i="7"/>
  <c r="D35" i="7"/>
  <c r="D226" i="13"/>
  <c r="J226" i="13" s="1"/>
  <c r="E226" i="13"/>
  <c r="F226" i="13"/>
  <c r="G226" i="13"/>
  <c r="D231" i="13"/>
  <c r="J231" i="13" s="1"/>
  <c r="E231" i="13"/>
  <c r="F231" i="13"/>
  <c r="G231" i="13"/>
  <c r="D232" i="13"/>
  <c r="J232" i="13" s="1"/>
  <c r="E232" i="13"/>
  <c r="F232" i="13"/>
  <c r="G232" i="13"/>
  <c r="I219" i="13"/>
  <c r="L77" i="14"/>
  <c r="N77" i="14"/>
  <c r="K77" i="14"/>
  <c r="G77" i="14"/>
  <c r="F77" i="14"/>
  <c r="E77" i="14"/>
  <c r="D77" i="14"/>
  <c r="J77" i="14" s="1"/>
  <c r="U62" i="14"/>
  <c r="O61" i="14"/>
  <c r="T61" i="14"/>
  <c r="W61" i="14"/>
  <c r="O60" i="14"/>
  <c r="T60" i="14"/>
  <c r="W60" i="14"/>
  <c r="O59" i="14"/>
  <c r="T59" i="14"/>
  <c r="W59" i="14"/>
  <c r="O58" i="14"/>
  <c r="T58" i="14"/>
  <c r="W58" i="14"/>
  <c r="O57" i="14"/>
  <c r="T57" i="14"/>
  <c r="W57" i="14"/>
  <c r="O56" i="14"/>
  <c r="T56" i="14"/>
  <c r="W56" i="14"/>
  <c r="O55" i="14"/>
  <c r="T55" i="14"/>
  <c r="W55" i="14"/>
  <c r="O54" i="14"/>
  <c r="T54" i="14"/>
  <c r="W54" i="14"/>
  <c r="O53" i="14"/>
  <c r="T53" i="14"/>
  <c r="W53" i="14"/>
  <c r="O52" i="14"/>
  <c r="T52" i="14"/>
  <c r="W52" i="14"/>
  <c r="O51" i="14"/>
  <c r="T51" i="14"/>
  <c r="W51" i="14"/>
  <c r="O50" i="14"/>
  <c r="T50" i="14"/>
  <c r="W50" i="14"/>
  <c r="O49" i="14"/>
  <c r="T49" i="14"/>
  <c r="W49" i="14"/>
  <c r="O48" i="14"/>
  <c r="T48" i="14"/>
  <c r="W48" i="14"/>
  <c r="O47" i="14"/>
  <c r="T47" i="14"/>
  <c r="W47" i="14"/>
  <c r="O46" i="14"/>
  <c r="T46" i="14"/>
  <c r="W46" i="14"/>
  <c r="O45" i="14"/>
  <c r="T45" i="14"/>
  <c r="W45" i="14"/>
  <c r="O44" i="14"/>
  <c r="T44" i="14"/>
  <c r="W44" i="14"/>
  <c r="O43" i="14"/>
  <c r="T43" i="14"/>
  <c r="W43" i="14"/>
  <c r="O42" i="14"/>
  <c r="T42" i="14"/>
  <c r="W42" i="14"/>
  <c r="O41" i="14"/>
  <c r="T41" i="14"/>
  <c r="W41" i="14"/>
  <c r="O40" i="14"/>
  <c r="T40" i="14"/>
  <c r="W40" i="14"/>
  <c r="O39" i="14"/>
  <c r="T39" i="14"/>
  <c r="W39" i="14"/>
  <c r="O38" i="14"/>
  <c r="T38" i="14"/>
  <c r="W38" i="14"/>
  <c r="O37" i="14"/>
  <c r="T37" i="14"/>
  <c r="W37" i="14"/>
  <c r="O36" i="14"/>
  <c r="O35" i="14"/>
  <c r="T35" i="14"/>
  <c r="W35" i="14"/>
  <c r="O34" i="14"/>
  <c r="T34" i="14"/>
  <c r="W34" i="14"/>
  <c r="O33" i="14"/>
  <c r="T33" i="14"/>
  <c r="W33" i="14"/>
  <c r="O32" i="14"/>
  <c r="T32" i="14"/>
  <c r="W32" i="14"/>
  <c r="O31" i="14"/>
  <c r="T31" i="14"/>
  <c r="W31" i="14"/>
  <c r="O30" i="14"/>
  <c r="T30" i="14"/>
  <c r="W30" i="14"/>
  <c r="O29" i="14"/>
  <c r="T29" i="14"/>
  <c r="W29" i="14"/>
  <c r="O28" i="14"/>
  <c r="T28" i="14"/>
  <c r="W28" i="14"/>
  <c r="O27" i="14"/>
  <c r="T27" i="14"/>
  <c r="W27" i="14"/>
  <c r="O26" i="14"/>
  <c r="T26" i="14"/>
  <c r="W26" i="14"/>
  <c r="O25" i="14"/>
  <c r="T25" i="14"/>
  <c r="W25" i="14"/>
  <c r="O24" i="14"/>
  <c r="T24" i="14"/>
  <c r="W24" i="14"/>
  <c r="O23" i="14"/>
  <c r="T23" i="14"/>
  <c r="W23" i="14"/>
  <c r="AB200" i="13"/>
  <c r="O98" i="13"/>
  <c r="T98" i="13"/>
  <c r="W98" i="13"/>
  <c r="O99" i="13"/>
  <c r="O100" i="13"/>
  <c r="T100" i="13"/>
  <c r="W100" i="13"/>
  <c r="AB100" i="13"/>
  <c r="O101" i="13"/>
  <c r="T101" i="13"/>
  <c r="W101" i="13"/>
  <c r="O102" i="13"/>
  <c r="T102" i="13"/>
  <c r="W102" i="13"/>
  <c r="T36" i="14"/>
  <c r="W36" i="14"/>
  <c r="M77" i="14"/>
  <c r="G70" i="7"/>
  <c r="O102" i="7"/>
  <c r="D70" i="7"/>
  <c r="E70" i="7"/>
  <c r="F70" i="7"/>
  <c r="G79" i="7"/>
  <c r="D115" i="7" s="1"/>
  <c r="D87" i="7"/>
  <c r="E87" i="7"/>
  <c r="F87" i="7"/>
  <c r="I333" i="13"/>
  <c r="I334" i="13"/>
  <c r="K334" i="13" s="1"/>
  <c r="P334" i="13" s="1"/>
  <c r="N334" i="13" s="1"/>
  <c r="I335" i="13"/>
  <c r="I337" i="13"/>
  <c r="I338" i="13"/>
  <c r="I340" i="13"/>
  <c r="L331" i="13"/>
  <c r="L333" i="13"/>
  <c r="L335" i="13"/>
  <c r="L336" i="13"/>
  <c r="L337" i="13"/>
  <c r="L338" i="13"/>
  <c r="L339" i="13"/>
  <c r="L340" i="13"/>
  <c r="M331" i="13"/>
  <c r="M333" i="13"/>
  <c r="M335" i="13"/>
  <c r="M336" i="13"/>
  <c r="M337" i="13"/>
  <c r="M338" i="13"/>
  <c r="M339" i="13"/>
  <c r="M340" i="13"/>
  <c r="I341" i="13"/>
  <c r="I342" i="13"/>
  <c r="I343" i="13"/>
  <c r="I344" i="13"/>
  <c r="I345" i="13"/>
  <c r="I346" i="13"/>
  <c r="I347" i="13"/>
  <c r="I348" i="13"/>
  <c r="I349" i="13"/>
  <c r="I350" i="13"/>
  <c r="I351" i="13"/>
  <c r="L341" i="13"/>
  <c r="L342" i="13"/>
  <c r="L343" i="13"/>
  <c r="L344" i="13"/>
  <c r="L345" i="13"/>
  <c r="L346" i="13"/>
  <c r="N346" i="13" s="1"/>
  <c r="L347" i="13"/>
  <c r="L348" i="13"/>
  <c r="L349" i="13"/>
  <c r="L350" i="13"/>
  <c r="L351" i="13"/>
  <c r="M341" i="13"/>
  <c r="M342" i="13"/>
  <c r="M343" i="13"/>
  <c r="M344" i="13"/>
  <c r="M345" i="13"/>
  <c r="M346" i="13"/>
  <c r="M347" i="13"/>
  <c r="M348" i="13"/>
  <c r="M349" i="13"/>
  <c r="O349" i="13"/>
  <c r="M350" i="13"/>
  <c r="M351" i="13"/>
  <c r="I352" i="13"/>
  <c r="I353" i="13"/>
  <c r="I354" i="13"/>
  <c r="I355" i="13"/>
  <c r="I356" i="13"/>
  <c r="I357" i="13"/>
  <c r="I275" i="13"/>
  <c r="K275" i="13" s="1"/>
  <c r="P275" i="13" s="1"/>
  <c r="I359" i="13"/>
  <c r="I360" i="13"/>
  <c r="I361" i="13"/>
  <c r="I362" i="13"/>
  <c r="L352" i="13"/>
  <c r="L353" i="13"/>
  <c r="L354" i="13"/>
  <c r="N354" i="13"/>
  <c r="L355" i="13"/>
  <c r="L356" i="13"/>
  <c r="L357" i="13"/>
  <c r="L275" i="13"/>
  <c r="L359" i="13"/>
  <c r="L360" i="13"/>
  <c r="L361" i="13"/>
  <c r="L362" i="13"/>
  <c r="M352" i="13"/>
  <c r="M353" i="13"/>
  <c r="M354" i="13"/>
  <c r="O354" i="13" s="1"/>
  <c r="M355" i="13"/>
  <c r="M356" i="13"/>
  <c r="M357" i="13"/>
  <c r="M275" i="13"/>
  <c r="M359" i="13"/>
  <c r="M360" i="13"/>
  <c r="M361" i="13"/>
  <c r="M362" i="13"/>
  <c r="I363" i="13"/>
  <c r="I364" i="13"/>
  <c r="I365" i="13"/>
  <c r="I366" i="13"/>
  <c r="K366" i="13" s="1"/>
  <c r="P366" i="13" s="1"/>
  <c r="N366" i="13" s="1"/>
  <c r="I368" i="13"/>
  <c r="I369" i="13"/>
  <c r="I370" i="13"/>
  <c r="I371" i="13"/>
  <c r="K371" i="13" s="1"/>
  <c r="I372" i="13"/>
  <c r="I373" i="13"/>
  <c r="J366" i="13"/>
  <c r="J367" i="13"/>
  <c r="J368" i="13"/>
  <c r="J369" i="13"/>
  <c r="J370" i="13"/>
  <c r="J371" i="13"/>
  <c r="J372" i="13"/>
  <c r="J373" i="13"/>
  <c r="L363" i="13"/>
  <c r="L364" i="13"/>
  <c r="L365" i="13"/>
  <c r="L366" i="13"/>
  <c r="L367" i="13"/>
  <c r="L368" i="13"/>
  <c r="L369" i="13"/>
  <c r="L370" i="13"/>
  <c r="L371" i="13"/>
  <c r="L372" i="13"/>
  <c r="L373" i="13"/>
  <c r="M363" i="13"/>
  <c r="M364" i="13"/>
  <c r="M365" i="13"/>
  <c r="M366" i="13"/>
  <c r="M367" i="13"/>
  <c r="M368" i="13"/>
  <c r="M369" i="13"/>
  <c r="M370" i="13"/>
  <c r="M371" i="13"/>
  <c r="M372" i="13"/>
  <c r="M373" i="13"/>
  <c r="I374" i="13"/>
  <c r="I375" i="13"/>
  <c r="I376" i="13"/>
  <c r="I377" i="13"/>
  <c r="K377" i="13" s="1"/>
  <c r="I378" i="13"/>
  <c r="I380" i="13"/>
  <c r="I381" i="13"/>
  <c r="I382" i="13"/>
  <c r="I383" i="13"/>
  <c r="I384" i="13"/>
  <c r="J374" i="13"/>
  <c r="J375" i="13"/>
  <c r="J376" i="13"/>
  <c r="J377" i="13"/>
  <c r="J378" i="13"/>
  <c r="J380" i="13"/>
  <c r="J381" i="13"/>
  <c r="J382" i="13"/>
  <c r="J383" i="13"/>
  <c r="J384" i="13"/>
  <c r="L374" i="13"/>
  <c r="L375" i="13"/>
  <c r="L376" i="13"/>
  <c r="L377" i="13"/>
  <c r="L378" i="13"/>
  <c r="L379" i="13"/>
  <c r="L380" i="13"/>
  <c r="L381" i="13"/>
  <c r="L382" i="13"/>
  <c r="L383" i="13"/>
  <c r="L384" i="13"/>
  <c r="M374" i="13"/>
  <c r="M375" i="13"/>
  <c r="M376" i="13"/>
  <c r="M377" i="13"/>
  <c r="M378" i="13"/>
  <c r="M379" i="13"/>
  <c r="M380" i="13"/>
  <c r="M381" i="13"/>
  <c r="M382" i="13"/>
  <c r="M383" i="13"/>
  <c r="M384" i="13"/>
  <c r="I385" i="13"/>
  <c r="I386" i="13"/>
  <c r="I388" i="13"/>
  <c r="I389" i="13"/>
  <c r="I390" i="13"/>
  <c r="I392" i="13"/>
  <c r="I393" i="13"/>
  <c r="I394" i="13"/>
  <c r="I395" i="13"/>
  <c r="K395" i="13" s="1"/>
  <c r="J395" i="13"/>
  <c r="J385" i="13"/>
  <c r="J386" i="13"/>
  <c r="J388" i="13"/>
  <c r="J389" i="13"/>
  <c r="J390" i="13"/>
  <c r="J392" i="13"/>
  <c r="J393" i="13"/>
  <c r="J394" i="13"/>
  <c r="L385" i="13"/>
  <c r="L386" i="13"/>
  <c r="L387" i="13"/>
  <c r="L388" i="13"/>
  <c r="L389" i="13"/>
  <c r="L390" i="13"/>
  <c r="L391" i="13"/>
  <c r="L392" i="13"/>
  <c r="L393" i="13"/>
  <c r="L394" i="13"/>
  <c r="L395" i="13"/>
  <c r="M385" i="13"/>
  <c r="M386" i="13"/>
  <c r="M387" i="13"/>
  <c r="M388" i="13"/>
  <c r="M389" i="13"/>
  <c r="M390" i="13"/>
  <c r="M391" i="13"/>
  <c r="M392" i="13"/>
  <c r="M393" i="13"/>
  <c r="M394" i="13"/>
  <c r="M395" i="13"/>
  <c r="I396" i="13"/>
  <c r="K396" i="13" s="1"/>
  <c r="I397" i="13"/>
  <c r="K397" i="13" s="1"/>
  <c r="P397" i="13" s="1"/>
  <c r="N397" i="13" s="1"/>
  <c r="I398" i="13"/>
  <c r="K398" i="13" s="1"/>
  <c r="I399" i="13"/>
  <c r="K399" i="13" s="1"/>
  <c r="I400" i="13"/>
  <c r="K400" i="13" s="1"/>
  <c r="I401" i="13"/>
  <c r="K401" i="13" s="1"/>
  <c r="P401" i="13" s="1"/>
  <c r="N401" i="13" s="1"/>
  <c r="I402" i="13"/>
  <c r="K402" i="13" s="1"/>
  <c r="I403" i="13"/>
  <c r="K403" i="13" s="1"/>
  <c r="I404" i="13"/>
  <c r="K404" i="13" s="1"/>
  <c r="I405" i="13"/>
  <c r="K405" i="13" s="1"/>
  <c r="P405" i="13" s="1"/>
  <c r="N405" i="13" s="1"/>
  <c r="I406" i="13"/>
  <c r="K406" i="13" s="1"/>
  <c r="J396" i="13"/>
  <c r="J397" i="13"/>
  <c r="J398" i="13"/>
  <c r="J399" i="13"/>
  <c r="J400" i="13"/>
  <c r="J401" i="13"/>
  <c r="J402" i="13"/>
  <c r="J403" i="13"/>
  <c r="J404" i="13"/>
  <c r="J405" i="13"/>
  <c r="J406" i="13"/>
  <c r="L396" i="13"/>
  <c r="L397" i="13"/>
  <c r="L398" i="13"/>
  <c r="L399" i="13"/>
  <c r="L400" i="13"/>
  <c r="L401" i="13"/>
  <c r="L402" i="13"/>
  <c r="L403" i="13"/>
  <c r="L404" i="13"/>
  <c r="L405" i="13"/>
  <c r="L406" i="13"/>
  <c r="M396" i="13"/>
  <c r="M397" i="13"/>
  <c r="M398" i="13"/>
  <c r="M399" i="13"/>
  <c r="M400" i="13"/>
  <c r="M401" i="13"/>
  <c r="M402" i="13"/>
  <c r="M403" i="13"/>
  <c r="M404" i="13"/>
  <c r="M405" i="13"/>
  <c r="M406" i="13"/>
  <c r="I416" i="13"/>
  <c r="K416" i="13"/>
  <c r="P416" i="13" s="1"/>
  <c r="O416" i="13" s="1"/>
  <c r="J416" i="13"/>
  <c r="L416" i="13"/>
  <c r="M416" i="13"/>
  <c r="K418" i="13"/>
  <c r="J418" i="13"/>
  <c r="L418" i="13"/>
  <c r="M418" i="13"/>
  <c r="P71" i="13"/>
  <c r="O71" i="13"/>
  <c r="M415" i="13"/>
  <c r="L415" i="13"/>
  <c r="I415" i="13"/>
  <c r="K415" i="13" s="1"/>
  <c r="J415" i="13"/>
  <c r="M414" i="13"/>
  <c r="I414" i="13"/>
  <c r="K414" i="13" s="1"/>
  <c r="J414" i="13"/>
  <c r="L414" i="13"/>
  <c r="M413" i="13"/>
  <c r="I413" i="13"/>
  <c r="K413" i="13"/>
  <c r="P413" i="13" s="1"/>
  <c r="N413" i="13" s="1"/>
  <c r="J413" i="13"/>
  <c r="L413" i="13"/>
  <c r="M412" i="13"/>
  <c r="L412" i="13"/>
  <c r="J412" i="13"/>
  <c r="I412" i="13"/>
  <c r="K412" i="13" s="1"/>
  <c r="M411" i="13"/>
  <c r="L411" i="13"/>
  <c r="I411" i="13"/>
  <c r="K411" i="13" s="1"/>
  <c r="J411" i="13"/>
  <c r="M410" i="13"/>
  <c r="I410" i="13"/>
  <c r="K410" i="13" s="1"/>
  <c r="J410" i="13"/>
  <c r="L410" i="13"/>
  <c r="M409" i="13"/>
  <c r="L409" i="13"/>
  <c r="J409" i="13"/>
  <c r="I409" i="13"/>
  <c r="K409" i="13" s="1"/>
  <c r="P409" i="13" s="1"/>
  <c r="O409" i="13" s="1"/>
  <c r="M408" i="13"/>
  <c r="L408" i="13"/>
  <c r="J408" i="13"/>
  <c r="I408" i="13"/>
  <c r="K408" i="13" s="1"/>
  <c r="M407" i="13"/>
  <c r="L407" i="13"/>
  <c r="J407" i="13"/>
  <c r="I407" i="13"/>
  <c r="K407" i="13" s="1"/>
  <c r="M329" i="13"/>
  <c r="L329" i="13"/>
  <c r="I329" i="13"/>
  <c r="M328" i="13"/>
  <c r="L328" i="13"/>
  <c r="I328" i="13"/>
  <c r="M327" i="13"/>
  <c r="L327" i="13"/>
  <c r="M326" i="13"/>
  <c r="L326" i="13"/>
  <c r="I326" i="13"/>
  <c r="M273" i="13"/>
  <c r="L273" i="13"/>
  <c r="I273" i="13"/>
  <c r="M323" i="13"/>
  <c r="L323" i="13"/>
  <c r="I323" i="13"/>
  <c r="M274" i="13"/>
  <c r="L274" i="13"/>
  <c r="I274" i="13"/>
  <c r="K274" i="13" s="1"/>
  <c r="P274" i="13" s="1"/>
  <c r="N274" i="13" s="1"/>
  <c r="M321" i="13"/>
  <c r="L321" i="13"/>
  <c r="I321" i="13"/>
  <c r="M320" i="13"/>
  <c r="I320" i="13"/>
  <c r="L320" i="13"/>
  <c r="M319" i="13"/>
  <c r="I319" i="13"/>
  <c r="L319" i="13"/>
  <c r="M318" i="13"/>
  <c r="L318" i="13"/>
  <c r="M317" i="13"/>
  <c r="L317" i="13"/>
  <c r="I317" i="13"/>
  <c r="M316" i="13"/>
  <c r="I316" i="13"/>
  <c r="L316" i="13"/>
  <c r="M315" i="13"/>
  <c r="L315" i="13"/>
  <c r="I315" i="13"/>
  <c r="M314" i="13"/>
  <c r="L314" i="13"/>
  <c r="I314" i="13"/>
  <c r="M313" i="13"/>
  <c r="L313" i="13"/>
  <c r="I313" i="13"/>
  <c r="M312" i="13"/>
  <c r="L312" i="13"/>
  <c r="M311" i="13"/>
  <c r="L311" i="13"/>
  <c r="I311" i="13"/>
  <c r="M310" i="13"/>
  <c r="L310" i="13"/>
  <c r="I310" i="13"/>
  <c r="O77" i="13"/>
  <c r="P77" i="13" s="1"/>
  <c r="M309" i="13"/>
  <c r="L309" i="13"/>
  <c r="I309" i="13"/>
  <c r="K309" i="13" s="1"/>
  <c r="P309" i="13" s="1"/>
  <c r="M308" i="13"/>
  <c r="L308" i="13"/>
  <c r="I308" i="13"/>
  <c r="M307" i="13"/>
  <c r="L307" i="13"/>
  <c r="M306" i="13"/>
  <c r="L306" i="13"/>
  <c r="I306" i="13"/>
  <c r="K306" i="13" s="1"/>
  <c r="P306" i="13" s="1"/>
  <c r="O306" i="13" s="1"/>
  <c r="M305" i="13"/>
  <c r="L305" i="13"/>
  <c r="I305" i="13"/>
  <c r="M304" i="13"/>
  <c r="I304" i="13"/>
  <c r="L304" i="13"/>
  <c r="M303" i="13"/>
  <c r="L303" i="13"/>
  <c r="M302" i="13"/>
  <c r="L302" i="13"/>
  <c r="I302" i="13"/>
  <c r="K302" i="13" s="1"/>
  <c r="P302" i="13" s="1"/>
  <c r="N302" i="13" s="1"/>
  <c r="M301" i="13"/>
  <c r="L301" i="13"/>
  <c r="I301" i="13"/>
  <c r="K301" i="13" s="1"/>
  <c r="P301" i="13" s="1"/>
  <c r="M300" i="13"/>
  <c r="L300" i="13"/>
  <c r="M299" i="13"/>
  <c r="L299" i="13"/>
  <c r="I299" i="13"/>
  <c r="M298" i="13"/>
  <c r="L298" i="13"/>
  <c r="I298" i="13"/>
  <c r="M297" i="13"/>
  <c r="L297" i="13"/>
  <c r="I297" i="13"/>
  <c r="M296" i="13"/>
  <c r="L296" i="13"/>
  <c r="I296" i="13"/>
  <c r="M295" i="13"/>
  <c r="L295" i="13"/>
  <c r="I295" i="13"/>
  <c r="M294" i="13"/>
  <c r="L294" i="13"/>
  <c r="M293" i="13"/>
  <c r="L293" i="13"/>
  <c r="I293" i="13"/>
  <c r="M292" i="13"/>
  <c r="L292" i="13"/>
  <c r="I292" i="13"/>
  <c r="M291" i="13"/>
  <c r="L291" i="13"/>
  <c r="I291" i="13"/>
  <c r="M290" i="13"/>
  <c r="L290" i="13"/>
  <c r="M289" i="13"/>
  <c r="L289" i="13"/>
  <c r="I289" i="13"/>
  <c r="M288" i="13"/>
  <c r="L288" i="13"/>
  <c r="I288" i="13"/>
  <c r="K288" i="13" s="1"/>
  <c r="P288" i="13" s="1"/>
  <c r="N288" i="13" s="1"/>
  <c r="M287" i="13"/>
  <c r="L287" i="13"/>
  <c r="I287" i="13"/>
  <c r="M286" i="13"/>
  <c r="L286" i="13"/>
  <c r="M285" i="13"/>
  <c r="L285" i="13"/>
  <c r="I285" i="13"/>
  <c r="K285" i="13" s="1"/>
  <c r="P285" i="13" s="1"/>
  <c r="O285" i="13" s="1"/>
  <c r="M284" i="13"/>
  <c r="L284" i="13"/>
  <c r="I284" i="13"/>
  <c r="M283" i="13"/>
  <c r="L283" i="13"/>
  <c r="I283" i="13"/>
  <c r="M282" i="13"/>
  <c r="L282" i="13"/>
  <c r="I282" i="13"/>
  <c r="M281" i="13"/>
  <c r="L281" i="13"/>
  <c r="I281" i="13"/>
  <c r="M322" i="13"/>
  <c r="L322" i="13"/>
  <c r="I322" i="13"/>
  <c r="M280" i="13"/>
  <c r="L280" i="13"/>
  <c r="I280" i="13"/>
  <c r="M330" i="13"/>
  <c r="L330" i="13"/>
  <c r="I330" i="13"/>
  <c r="K330" i="13"/>
  <c r="P330" i="13" s="1"/>
  <c r="O330" i="13" s="1"/>
  <c r="M279" i="13"/>
  <c r="L279" i="13"/>
  <c r="I279" i="13"/>
  <c r="M358" i="13"/>
  <c r="L358" i="13"/>
  <c r="I358" i="13"/>
  <c r="M278" i="13"/>
  <c r="L278" i="13"/>
  <c r="I278" i="13"/>
  <c r="M272" i="13"/>
  <c r="L272" i="13"/>
  <c r="M271" i="13"/>
  <c r="L271" i="13"/>
  <c r="I271" i="13"/>
  <c r="K271" i="13" s="1"/>
  <c r="P271" i="13" s="1"/>
  <c r="M270" i="13"/>
  <c r="L270" i="13"/>
  <c r="I270" i="13"/>
  <c r="M269" i="13"/>
  <c r="L269" i="13"/>
  <c r="I269" i="13"/>
  <c r="M268" i="13"/>
  <c r="L268" i="13"/>
  <c r="I268" i="13"/>
  <c r="M267" i="13"/>
  <c r="L267" i="13"/>
  <c r="M266" i="13"/>
  <c r="L266" i="13"/>
  <c r="I266" i="13"/>
  <c r="M265" i="13"/>
  <c r="L265" i="13"/>
  <c r="I265" i="13"/>
  <c r="M251" i="13"/>
  <c r="L251" i="13"/>
  <c r="I251" i="13"/>
  <c r="M248" i="13"/>
  <c r="O248" i="13"/>
  <c r="L248" i="13"/>
  <c r="I248" i="13"/>
  <c r="M245" i="13"/>
  <c r="O245" i="13"/>
  <c r="L245" i="13"/>
  <c r="I245" i="13"/>
  <c r="L332" i="13"/>
  <c r="M332" i="13"/>
  <c r="I332" i="13"/>
  <c r="M276" i="13"/>
  <c r="L276" i="13"/>
  <c r="I276" i="13"/>
  <c r="M325" i="13"/>
  <c r="L325" i="13"/>
  <c r="I325" i="13"/>
  <c r="E241" i="13"/>
  <c r="F240" i="13"/>
  <c r="G240" i="13"/>
  <c r="F239" i="13"/>
  <c r="G239" i="13"/>
  <c r="F238" i="13"/>
  <c r="G238" i="13"/>
  <c r="F237" i="13"/>
  <c r="G237" i="13"/>
  <c r="N207" i="13"/>
  <c r="M207" i="13"/>
  <c r="L207" i="13"/>
  <c r="F92" i="13"/>
  <c r="E92" i="13"/>
  <c r="B92" i="13"/>
  <c r="N89" i="13"/>
  <c r="M89" i="13"/>
  <c r="L89" i="13"/>
  <c r="L37" i="13"/>
  <c r="Q37" i="13"/>
  <c r="T37" i="13"/>
  <c r="L38" i="13"/>
  <c r="L39" i="13"/>
  <c r="Q39" i="13"/>
  <c r="T39" i="13"/>
  <c r="L40" i="13"/>
  <c r="Q40" i="13"/>
  <c r="T40" i="13"/>
  <c r="L28" i="13"/>
  <c r="L29" i="13"/>
  <c r="L30" i="13"/>
  <c r="Q30" i="13"/>
  <c r="T30" i="13"/>
  <c r="L35" i="13"/>
  <c r="Q35" i="13"/>
  <c r="T35" i="13"/>
  <c r="L36" i="13"/>
  <c r="Q36" i="13"/>
  <c r="T36" i="13"/>
  <c r="L32" i="13"/>
  <c r="Q32" i="13"/>
  <c r="T32" i="13"/>
  <c r="L33" i="13"/>
  <c r="Q33" i="13"/>
  <c r="T33" i="13"/>
  <c r="L34" i="13"/>
  <c r="Q34" i="13"/>
  <c r="T34" i="13"/>
  <c r="L41" i="13"/>
  <c r="Q41" i="13"/>
  <c r="T41" i="13"/>
  <c r="L25" i="13"/>
  <c r="L42" i="13"/>
  <c r="Q42" i="13"/>
  <c r="T42" i="13"/>
  <c r="L43" i="13"/>
  <c r="Q43" i="13"/>
  <c r="T43" i="13"/>
  <c r="L49" i="13"/>
  <c r="Q49" i="13"/>
  <c r="T49" i="13"/>
  <c r="L50" i="13"/>
  <c r="Q50" i="13"/>
  <c r="L51" i="13"/>
  <c r="Q51" i="13"/>
  <c r="L46" i="13"/>
  <c r="Q46" i="13"/>
  <c r="T46" i="13"/>
  <c r="L48" i="13"/>
  <c r="Q48" i="13"/>
  <c r="T48" i="13"/>
  <c r="L69" i="13"/>
  <c r="Q69" i="13"/>
  <c r="L70" i="13"/>
  <c r="Q70" i="13"/>
  <c r="F93" i="7"/>
  <c r="F98" i="7"/>
  <c r="F96" i="7"/>
  <c r="F75" i="7"/>
  <c r="F55" i="7"/>
  <c r="F59" i="7"/>
  <c r="F50" i="7"/>
  <c r="F43" i="7"/>
  <c r="F25" i="7"/>
  <c r="F53" i="7"/>
  <c r="F66" i="7"/>
  <c r="F71" i="7"/>
  <c r="F32" i="7"/>
  <c r="F72" i="7"/>
  <c r="F33" i="7"/>
  <c r="F35" i="7"/>
  <c r="F63" i="7"/>
  <c r="F79" i="7"/>
  <c r="F76" i="7"/>
  <c r="F4" i="7"/>
  <c r="F46" i="7"/>
  <c r="F67" i="7"/>
  <c r="F69" i="7"/>
  <c r="F47" i="7"/>
  <c r="F5" i="7"/>
  <c r="E93" i="7"/>
  <c r="E98" i="7"/>
  <c r="E96" i="7"/>
  <c r="E75" i="7"/>
  <c r="E55" i="7"/>
  <c r="E59" i="7"/>
  <c r="E50" i="7"/>
  <c r="E43" i="7"/>
  <c r="E25" i="7"/>
  <c r="E53" i="7"/>
  <c r="E66" i="7"/>
  <c r="E71" i="7"/>
  <c r="E32" i="7"/>
  <c r="E72" i="7"/>
  <c r="E33" i="7"/>
  <c r="E35" i="7"/>
  <c r="E63" i="7"/>
  <c r="E79" i="7"/>
  <c r="E76" i="7"/>
  <c r="E4" i="7"/>
  <c r="E46" i="7"/>
  <c r="E67" i="7"/>
  <c r="E69" i="7"/>
  <c r="E47" i="7"/>
  <c r="E5" i="7"/>
  <c r="D93" i="7"/>
  <c r="D98" i="7"/>
  <c r="D96" i="7"/>
  <c r="D75" i="7"/>
  <c r="D55" i="7"/>
  <c r="D59" i="7"/>
  <c r="D50" i="7"/>
  <c r="D43" i="7"/>
  <c r="D25" i="7"/>
  <c r="D53" i="7"/>
  <c r="D66" i="7"/>
  <c r="D71" i="7"/>
  <c r="D32" i="7"/>
  <c r="D72" i="7"/>
  <c r="D33" i="7"/>
  <c r="D63" i="7"/>
  <c r="D79" i="7"/>
  <c r="D76" i="7"/>
  <c r="D4" i="7"/>
  <c r="D46" i="7"/>
  <c r="D67" i="7"/>
  <c r="D69" i="7"/>
  <c r="D47" i="7"/>
  <c r="D5" i="7"/>
  <c r="F113" i="7"/>
  <c r="G113" i="7"/>
  <c r="F114" i="7"/>
  <c r="G114" i="7"/>
  <c r="F115" i="7"/>
  <c r="G115" i="7"/>
  <c r="G96" i="7"/>
  <c r="G50" i="7"/>
  <c r="G63" i="7"/>
  <c r="D113" i="7" s="1"/>
  <c r="G4" i="7"/>
  <c r="G67" i="7"/>
  <c r="G93" i="7"/>
  <c r="O382" i="1"/>
  <c r="J311" i="1"/>
  <c r="I311" i="1"/>
  <c r="E315" i="1"/>
  <c r="E316" i="1"/>
  <c r="E317" i="1"/>
  <c r="E318" i="1"/>
  <c r="E319" i="1"/>
  <c r="E320" i="1"/>
  <c r="E321" i="1"/>
  <c r="E322" i="1"/>
  <c r="I315" i="1"/>
  <c r="I316" i="1"/>
  <c r="I317" i="1"/>
  <c r="I318" i="1"/>
  <c r="I319" i="1"/>
  <c r="I320" i="1"/>
  <c r="I321" i="1"/>
  <c r="I322" i="1"/>
  <c r="J315" i="1"/>
  <c r="Q315" i="1" s="1"/>
  <c r="J316" i="1"/>
  <c r="Q316" i="1" s="1"/>
  <c r="O316" i="1" s="1"/>
  <c r="N316" i="1"/>
  <c r="J317" i="1"/>
  <c r="Q317" i="1"/>
  <c r="M317" i="1"/>
  <c r="J318" i="1"/>
  <c r="Q318" i="1"/>
  <c r="N318" i="1"/>
  <c r="P318" i="1" s="1"/>
  <c r="J319" i="1"/>
  <c r="Q319" i="1"/>
  <c r="J320" i="1"/>
  <c r="Q320" i="1" s="1"/>
  <c r="O320" i="1" s="1"/>
  <c r="J321" i="1"/>
  <c r="Q321" i="1" s="1"/>
  <c r="P321" i="1" s="1"/>
  <c r="M321" i="1"/>
  <c r="J322" i="1"/>
  <c r="Q322" i="1"/>
  <c r="N322" i="1"/>
  <c r="M315" i="1"/>
  <c r="M316" i="1"/>
  <c r="M318" i="1"/>
  <c r="O318" i="1" s="1"/>
  <c r="M319" i="1"/>
  <c r="M320" i="1"/>
  <c r="M322" i="1"/>
  <c r="N315" i="1"/>
  <c r="N317" i="1"/>
  <c r="N319" i="1"/>
  <c r="N320" i="1"/>
  <c r="N321" i="1"/>
  <c r="E323" i="1"/>
  <c r="E324" i="1"/>
  <c r="E325" i="1"/>
  <c r="E326" i="1"/>
  <c r="E327" i="1"/>
  <c r="E328" i="1"/>
  <c r="E329" i="1"/>
  <c r="E330" i="1"/>
  <c r="I323" i="1"/>
  <c r="I324" i="1"/>
  <c r="I325" i="1"/>
  <c r="I326" i="1"/>
  <c r="I327" i="1"/>
  <c r="I328" i="1"/>
  <c r="I329" i="1"/>
  <c r="I330" i="1"/>
  <c r="J323" i="1"/>
  <c r="Q323" i="1" s="1"/>
  <c r="J324" i="1"/>
  <c r="Q324" i="1"/>
  <c r="J325" i="1"/>
  <c r="Q325" i="1" s="1"/>
  <c r="P325" i="1" s="1"/>
  <c r="J326" i="1"/>
  <c r="Q326" i="1"/>
  <c r="J327" i="1"/>
  <c r="Q327" i="1" s="1"/>
  <c r="P327" i="1" s="1"/>
  <c r="J328" i="1"/>
  <c r="Q328" i="1" s="1"/>
  <c r="J329" i="1"/>
  <c r="Q329" i="1" s="1"/>
  <c r="J330" i="1"/>
  <c r="Q330" i="1"/>
  <c r="M323" i="1"/>
  <c r="O323" i="1" s="1"/>
  <c r="M324" i="1"/>
  <c r="M325" i="1"/>
  <c r="M326" i="1"/>
  <c r="M327" i="1"/>
  <c r="M328" i="1"/>
  <c r="M329" i="1"/>
  <c r="M330" i="1"/>
  <c r="N323" i="1"/>
  <c r="N324" i="1"/>
  <c r="N325" i="1"/>
  <c r="N326" i="1"/>
  <c r="N327" i="1"/>
  <c r="N328" i="1"/>
  <c r="N329" i="1"/>
  <c r="N330" i="1"/>
  <c r="P330" i="1" s="1"/>
  <c r="E338" i="1"/>
  <c r="I338" i="1"/>
  <c r="J338" i="1"/>
  <c r="Q338" i="1" s="1"/>
  <c r="M338" i="1"/>
  <c r="N338" i="1"/>
  <c r="I339" i="1"/>
  <c r="J339" i="1"/>
  <c r="Q339" i="1" s="1"/>
  <c r="N339" i="1"/>
  <c r="M339" i="1"/>
  <c r="E312" i="1"/>
  <c r="E313" i="1"/>
  <c r="E314" i="1"/>
  <c r="E331" i="1"/>
  <c r="E332" i="1"/>
  <c r="E333" i="1"/>
  <c r="E334" i="1"/>
  <c r="E335" i="1"/>
  <c r="E336" i="1"/>
  <c r="E337" i="1"/>
  <c r="E339" i="1"/>
  <c r="E311" i="1"/>
  <c r="P361" i="1"/>
  <c r="K361" i="1"/>
  <c r="M360" i="1"/>
  <c r="R360" i="1" s="1"/>
  <c r="T360" i="1" s="1"/>
  <c r="U360" i="1" s="1"/>
  <c r="Z360" i="1" s="1"/>
  <c r="M359" i="1"/>
  <c r="R359" i="1" s="1"/>
  <c r="M358" i="1"/>
  <c r="R358" i="1"/>
  <c r="T358" i="1" s="1"/>
  <c r="M357" i="1"/>
  <c r="R357" i="1" s="1"/>
  <c r="T357" i="1" s="1"/>
  <c r="M356" i="1"/>
  <c r="R356" i="1" s="1"/>
  <c r="T356" i="1" s="1"/>
  <c r="U356" i="1" s="1"/>
  <c r="M355" i="1"/>
  <c r="R355" i="1"/>
  <c r="M354" i="1"/>
  <c r="R354" i="1" s="1"/>
  <c r="T354" i="1" s="1"/>
  <c r="M353" i="1"/>
  <c r="R353" i="1"/>
  <c r="T353" i="1" s="1"/>
  <c r="M352" i="1"/>
  <c r="M351" i="1"/>
  <c r="R351" i="1"/>
  <c r="M350" i="1"/>
  <c r="R350" i="1" s="1"/>
  <c r="M349" i="1"/>
  <c r="R349" i="1" s="1"/>
  <c r="T349" i="1" s="1"/>
  <c r="M348" i="1"/>
  <c r="R348" i="1" s="1"/>
  <c r="T348" i="1" s="1"/>
  <c r="U348" i="1" s="1"/>
  <c r="M347" i="1"/>
  <c r="R347" i="1"/>
  <c r="M346" i="1"/>
  <c r="R346" i="1" s="1"/>
  <c r="X345" i="1"/>
  <c r="X361" i="1"/>
  <c r="W345" i="1"/>
  <c r="W361" i="1" s="1"/>
  <c r="M345" i="1"/>
  <c r="N313" i="1"/>
  <c r="N314" i="1"/>
  <c r="M333" i="1"/>
  <c r="M334" i="1"/>
  <c r="N337" i="1"/>
  <c r="J312" i="1"/>
  <c r="Q312" i="1" s="1"/>
  <c r="J313" i="1"/>
  <c r="Q313" i="1" s="1"/>
  <c r="J314" i="1"/>
  <c r="Q314" i="1" s="1"/>
  <c r="J331" i="1"/>
  <c r="Q331" i="1"/>
  <c r="J332" i="1"/>
  <c r="Q332" i="1" s="1"/>
  <c r="M332" i="1"/>
  <c r="J333" i="1"/>
  <c r="Q333" i="1" s="1"/>
  <c r="J334" i="1"/>
  <c r="Q334" i="1" s="1"/>
  <c r="J335" i="1"/>
  <c r="Q335" i="1" s="1"/>
  <c r="O335" i="1" s="1"/>
  <c r="J336" i="1"/>
  <c r="Q336" i="1" s="1"/>
  <c r="M336" i="1"/>
  <c r="J337" i="1"/>
  <c r="Q337" i="1" s="1"/>
  <c r="I312" i="1"/>
  <c r="I313" i="1"/>
  <c r="I314" i="1"/>
  <c r="I331" i="1"/>
  <c r="I332" i="1"/>
  <c r="I333" i="1"/>
  <c r="I334" i="1"/>
  <c r="I335" i="1"/>
  <c r="I336" i="1"/>
  <c r="I337" i="1"/>
  <c r="M312" i="1"/>
  <c r="M313" i="1"/>
  <c r="M337" i="1"/>
  <c r="M314" i="1"/>
  <c r="M331" i="1"/>
  <c r="O331" i="1" s="1"/>
  <c r="M335" i="1"/>
  <c r="N312" i="1"/>
  <c r="N331" i="1"/>
  <c r="N332" i="1"/>
  <c r="N335" i="1"/>
  <c r="N336" i="1"/>
  <c r="X291" i="1"/>
  <c r="X307" i="1" s="1"/>
  <c r="W291" i="1"/>
  <c r="W307" i="1" s="1"/>
  <c r="M306" i="1"/>
  <c r="R306" i="1" s="1"/>
  <c r="T306" i="1" s="1"/>
  <c r="M305" i="1"/>
  <c r="R305" i="1" s="1"/>
  <c r="M304" i="1"/>
  <c r="R304" i="1"/>
  <c r="T304" i="1" s="1"/>
  <c r="U304" i="1" s="1"/>
  <c r="M303" i="1"/>
  <c r="R303" i="1" s="1"/>
  <c r="M302" i="1"/>
  <c r="R302" i="1"/>
  <c r="M301" i="1"/>
  <c r="R301" i="1" s="1"/>
  <c r="T301" i="1" s="1"/>
  <c r="M300" i="1"/>
  <c r="R300" i="1" s="1"/>
  <c r="T300" i="1" s="1"/>
  <c r="M299" i="1"/>
  <c r="R299" i="1"/>
  <c r="M298" i="1"/>
  <c r="R298" i="1" s="1"/>
  <c r="M297" i="1"/>
  <c r="R297" i="1" s="1"/>
  <c r="T297" i="1" s="1"/>
  <c r="M296" i="1"/>
  <c r="R296" i="1" s="1"/>
  <c r="T296" i="1" s="1"/>
  <c r="M295" i="1"/>
  <c r="R295" i="1" s="1"/>
  <c r="T295" i="1" s="1"/>
  <c r="M294" i="1"/>
  <c r="R294" i="1" s="1"/>
  <c r="M293" i="1"/>
  <c r="R293" i="1" s="1"/>
  <c r="T293" i="1"/>
  <c r="M292" i="1"/>
  <c r="R292" i="1" s="1"/>
  <c r="T292" i="1" s="1"/>
  <c r="M291" i="1"/>
  <c r="R291" i="1" s="1"/>
  <c r="N334" i="1"/>
  <c r="N333" i="1"/>
  <c r="P307" i="1"/>
  <c r="K307" i="1"/>
  <c r="D92" i="13"/>
  <c r="P419" i="13"/>
  <c r="O419" i="13"/>
  <c r="I90" i="21"/>
  <c r="H94" i="21"/>
  <c r="P70" i="21"/>
  <c r="H92" i="21"/>
  <c r="G92" i="21"/>
  <c r="G91" i="21"/>
  <c r="I94" i="21"/>
  <c r="H95" i="21"/>
  <c r="I95" i="21"/>
  <c r="G90" i="21"/>
  <c r="I93" i="21"/>
  <c r="H90" i="21"/>
  <c r="H91" i="21"/>
  <c r="I92" i="21"/>
  <c r="G95" i="21"/>
  <c r="I91" i="21"/>
  <c r="G93" i="21"/>
  <c r="G94" i="21"/>
  <c r="K75" i="20"/>
  <c r="K74" i="20"/>
  <c r="K76" i="20"/>
  <c r="K73" i="20"/>
  <c r="K72" i="20"/>
  <c r="E282" i="20"/>
  <c r="K282" i="20" s="1"/>
  <c r="P282" i="20" s="1"/>
  <c r="E265" i="20"/>
  <c r="E264" i="20"/>
  <c r="K264" i="20" s="1"/>
  <c r="P264" i="20" s="1"/>
  <c r="E263" i="20"/>
  <c r="K263" i="20" s="1"/>
  <c r="P263" i="20" s="1"/>
  <c r="O263" i="20" s="1"/>
  <c r="E262" i="20"/>
  <c r="E261" i="20"/>
  <c r="E260" i="20"/>
  <c r="E259" i="20"/>
  <c r="E258" i="20"/>
  <c r="K258" i="20" s="1"/>
  <c r="P258" i="20" s="1"/>
  <c r="O258" i="20" s="1"/>
  <c r="D73" i="20"/>
  <c r="N138" i="20"/>
  <c r="M141" i="20"/>
  <c r="N141" i="20"/>
  <c r="N148" i="20"/>
  <c r="M149" i="20"/>
  <c r="M148" i="20"/>
  <c r="R148" i="20"/>
  <c r="M77" i="20"/>
  <c r="N76" i="20"/>
  <c r="AB97" i="20"/>
  <c r="L73" i="20"/>
  <c r="N73" i="20"/>
  <c r="AB93" i="20"/>
  <c r="H186" i="20"/>
  <c r="H183" i="20"/>
  <c r="M74" i="20"/>
  <c r="N139" i="20"/>
  <c r="T139" i="20"/>
  <c r="K77" i="20"/>
  <c r="J143" i="20"/>
  <c r="N145" i="20"/>
  <c r="T145" i="20"/>
  <c r="N176" i="20"/>
  <c r="M176" i="20"/>
  <c r="H184" i="20"/>
  <c r="N177" i="20"/>
  <c r="N143" i="20"/>
  <c r="J144" i="20"/>
  <c r="K420" i="20"/>
  <c r="L150" i="20"/>
  <c r="N136" i="20"/>
  <c r="T136" i="20"/>
  <c r="J150" i="20"/>
  <c r="J146" i="20"/>
  <c r="M146" i="20"/>
  <c r="R146" i="20"/>
  <c r="M150" i="20"/>
  <c r="M153" i="20"/>
  <c r="M147" i="20"/>
  <c r="N172" i="20"/>
  <c r="M172" i="20"/>
  <c r="M173" i="20"/>
  <c r="D179" i="20"/>
  <c r="J420" i="20"/>
  <c r="K417" i="13"/>
  <c r="P417" i="13" s="1"/>
  <c r="S77" i="14"/>
  <c r="T77" i="14"/>
  <c r="Q77" i="14"/>
  <c r="R77" i="14"/>
  <c r="E92" i="21"/>
  <c r="K92" i="21" s="1"/>
  <c r="M154" i="20"/>
  <c r="R153" i="20"/>
  <c r="R155" i="20"/>
  <c r="M155" i="20"/>
  <c r="P420" i="20"/>
  <c r="AA131" i="20"/>
  <c r="AB131" i="20"/>
  <c r="AA133" i="20"/>
  <c r="J179" i="20"/>
  <c r="N153" i="20"/>
  <c r="N155" i="20"/>
  <c r="O77" i="14"/>
  <c r="P77" i="14" s="1"/>
  <c r="E90" i="21"/>
  <c r="K90" i="21" s="1"/>
  <c r="E91" i="21"/>
  <c r="D92" i="21"/>
  <c r="D90" i="21"/>
  <c r="J90" i="21" s="1"/>
  <c r="D91" i="21"/>
  <c r="J91" i="21" s="1"/>
  <c r="P16" i="21"/>
  <c r="N420" i="20"/>
  <c r="O420" i="20"/>
  <c r="N75" i="20"/>
  <c r="M72" i="20"/>
  <c r="N77" i="20"/>
  <c r="AB104" i="20"/>
  <c r="AA104" i="20"/>
  <c r="AB92" i="20"/>
  <c r="AA92" i="20"/>
  <c r="AB102" i="20"/>
  <c r="AA102" i="20"/>
  <c r="AA101" i="20"/>
  <c r="T148" i="20"/>
  <c r="R138" i="20"/>
  <c r="J145" i="20"/>
  <c r="M174" i="20"/>
  <c r="AA112" i="20"/>
  <c r="T149" i="20"/>
  <c r="R149" i="20"/>
  <c r="S141" i="20"/>
  <c r="T141" i="20"/>
  <c r="Q141" i="20"/>
  <c r="R141" i="20"/>
  <c r="AB99" i="20"/>
  <c r="AA99" i="20"/>
  <c r="AB107" i="20"/>
  <c r="AA107" i="20"/>
  <c r="AB103" i="20"/>
  <c r="AA103" i="20"/>
  <c r="Y47" i="20"/>
  <c r="X47" i="20"/>
  <c r="AA96" i="20"/>
  <c r="AB96" i="20"/>
  <c r="AB94" i="20"/>
  <c r="AA94" i="20"/>
  <c r="AB105" i="20"/>
  <c r="AA105" i="20"/>
  <c r="AB109" i="20"/>
  <c r="AA109" i="20"/>
  <c r="AB111" i="20"/>
  <c r="AA111" i="20"/>
  <c r="K157" i="20"/>
  <c r="M152" i="20"/>
  <c r="L152" i="20"/>
  <c r="L155" i="20"/>
  <c r="L154" i="20"/>
  <c r="X46" i="20"/>
  <c r="N137" i="20"/>
  <c r="T137" i="20"/>
  <c r="M137" i="20"/>
  <c r="R137" i="20"/>
  <c r="T138" i="20"/>
  <c r="T143" i="20"/>
  <c r="AB95" i="20"/>
  <c r="AA95" i="20"/>
  <c r="N175" i="20"/>
  <c r="M175" i="20"/>
  <c r="AA98" i="20"/>
  <c r="AB98" i="20"/>
  <c r="J142" i="20"/>
  <c r="M142" i="20"/>
  <c r="R142" i="20"/>
  <c r="L153" i="20"/>
  <c r="AA108" i="20"/>
  <c r="AB100" i="20"/>
  <c r="N152" i="20"/>
  <c r="AA110" i="20"/>
  <c r="AA113" i="20"/>
  <c r="AB113" i="20"/>
  <c r="R140" i="20"/>
  <c r="M144" i="20"/>
  <c r="R144" i="20"/>
  <c r="N144" i="20"/>
  <c r="T144" i="20"/>
  <c r="R147" i="20"/>
  <c r="J136" i="20"/>
  <c r="M73" i="20"/>
  <c r="M75" i="20"/>
  <c r="X61" i="20"/>
  <c r="Y61" i="20"/>
  <c r="S62" i="20"/>
  <c r="T62" i="20"/>
  <c r="Y45" i="20"/>
  <c r="X45" i="20"/>
  <c r="Y60" i="20"/>
  <c r="X60" i="20"/>
  <c r="X58" i="20"/>
  <c r="Y58" i="20"/>
  <c r="Y59" i="20"/>
  <c r="X59" i="20"/>
  <c r="N74" i="20"/>
  <c r="X48" i="20"/>
  <c r="Y49" i="20"/>
  <c r="T57" i="20"/>
  <c r="L66" i="20"/>
  <c r="Y62" i="20"/>
  <c r="X62" i="20"/>
  <c r="X57" i="20"/>
  <c r="Y57" i="20"/>
  <c r="O72" i="20"/>
  <c r="P72" i="20" s="1"/>
  <c r="O73" i="20"/>
  <c r="P73" i="20" s="1"/>
  <c r="O74" i="20"/>
  <c r="P74" i="20" s="1"/>
  <c r="S73" i="20"/>
  <c r="T73" i="20" s="1"/>
  <c r="S74" i="20"/>
  <c r="T74" i="20" s="1"/>
  <c r="S72" i="20"/>
  <c r="T72" i="20" s="1"/>
  <c r="N72" i="20"/>
  <c r="Q73" i="20"/>
  <c r="R73" i="20" s="1"/>
  <c r="Q72" i="20"/>
  <c r="R72" i="20" s="1"/>
  <c r="Q74" i="20"/>
  <c r="R74" i="20" s="1"/>
  <c r="X35" i="20"/>
  <c r="Y35" i="20"/>
  <c r="X31" i="20"/>
  <c r="Y31" i="20"/>
  <c r="Y26" i="20"/>
  <c r="X26" i="20"/>
  <c r="X27" i="20"/>
  <c r="Y27" i="20"/>
  <c r="T37" i="20"/>
  <c r="T33" i="20"/>
  <c r="X33" i="20"/>
  <c r="T29" i="20"/>
  <c r="T25" i="20"/>
  <c r="N78" i="20"/>
  <c r="N80" i="20"/>
  <c r="T36" i="20"/>
  <c r="T32" i="20"/>
  <c r="T28" i="20"/>
  <c r="X28" i="20"/>
  <c r="T24" i="20"/>
  <c r="Y24" i="20"/>
  <c r="N82" i="20"/>
  <c r="X11" i="20"/>
  <c r="Y11" i="20"/>
  <c r="S15" i="20"/>
  <c r="T15" i="20"/>
  <c r="S7" i="20"/>
  <c r="T7" i="20"/>
  <c r="S18" i="20"/>
  <c r="T18" i="20"/>
  <c r="S14" i="20"/>
  <c r="T14" i="20"/>
  <c r="S10" i="20"/>
  <c r="T10" i="20"/>
  <c r="T6" i="20"/>
  <c r="S6" i="20"/>
  <c r="Y37" i="20"/>
  <c r="X37" i="20"/>
  <c r="X29" i="20"/>
  <c r="Y29" i="20"/>
  <c r="Y25" i="20"/>
  <c r="X25" i="20"/>
  <c r="Y12" i="20"/>
  <c r="X12" i="20"/>
  <c r="S21" i="20"/>
  <c r="T21" i="20"/>
  <c r="S17" i="20"/>
  <c r="T17" i="20"/>
  <c r="S13" i="20"/>
  <c r="T13" i="20"/>
  <c r="T9" i="20"/>
  <c r="S9" i="20"/>
  <c r="X38" i="20"/>
  <c r="Y38" i="20"/>
  <c r="Y36" i="20"/>
  <c r="X36" i="20"/>
  <c r="X32" i="20"/>
  <c r="Y32" i="20"/>
  <c r="Y28" i="20"/>
  <c r="X20" i="20"/>
  <c r="Y20" i="20"/>
  <c r="M76" i="20"/>
  <c r="M78" i="20"/>
  <c r="Y34" i="20"/>
  <c r="Y23" i="20"/>
  <c r="T8" i="20"/>
  <c r="T16" i="20"/>
  <c r="L78" i="20"/>
  <c r="T39" i="20"/>
  <c r="X30" i="20"/>
  <c r="T19" i="20"/>
  <c r="O112" i="7"/>
  <c r="P104" i="7"/>
  <c r="P106" i="7"/>
  <c r="X24" i="20"/>
  <c r="N81" i="20"/>
  <c r="Y33" i="20"/>
  <c r="N79" i="20"/>
  <c r="Y10" i="20"/>
  <c r="X10" i="20"/>
  <c r="Y13" i="20"/>
  <c r="X13" i="20"/>
  <c r="Y14" i="20"/>
  <c r="X14" i="20"/>
  <c r="M82" i="20"/>
  <c r="M80" i="20"/>
  <c r="M79" i="20"/>
  <c r="M81" i="20"/>
  <c r="X17" i="20"/>
  <c r="Y17" i="20"/>
  <c r="X18" i="20"/>
  <c r="Y18" i="20"/>
  <c r="Y21" i="20"/>
  <c r="X21" i="20"/>
  <c r="X7" i="20"/>
  <c r="Y7" i="20"/>
  <c r="L81" i="20"/>
  <c r="L79" i="20"/>
  <c r="L80" i="20"/>
  <c r="L82" i="20"/>
  <c r="Y9" i="20"/>
  <c r="X9" i="20"/>
  <c r="X19" i="20"/>
  <c r="Y19" i="20"/>
  <c r="Y15" i="20"/>
  <c r="X15" i="20"/>
  <c r="Y16" i="20"/>
  <c r="X16" i="20"/>
  <c r="X6" i="20"/>
  <c r="Y6" i="20"/>
  <c r="T66" i="20"/>
  <c r="X39" i="20"/>
  <c r="Y39" i="20"/>
  <c r="Y8" i="20"/>
  <c r="X8" i="20"/>
  <c r="Y66" i="20"/>
  <c r="X66" i="20"/>
  <c r="U181" i="13"/>
  <c r="Q209" i="13"/>
  <c r="D187" i="13"/>
  <c r="R345" i="1"/>
  <c r="T345" i="1" s="1"/>
  <c r="Q107" i="7"/>
  <c r="U104" i="7"/>
  <c r="D107" i="7"/>
  <c r="D110" i="7"/>
  <c r="D105" i="7"/>
  <c r="Q104" i="7"/>
  <c r="Q106" i="7"/>
  <c r="S106" i="7"/>
  <c r="T104" i="7"/>
  <c r="S104" i="7"/>
  <c r="D140" i="7"/>
  <c r="V106" i="7"/>
  <c r="V104" i="7"/>
  <c r="D146" i="7"/>
  <c r="U106" i="7"/>
  <c r="T106" i="7"/>
  <c r="O226" i="13"/>
  <c r="O232" i="13"/>
  <c r="M232" i="13"/>
  <c r="M231" i="13"/>
  <c r="N226" i="13"/>
  <c r="K64" i="14"/>
  <c r="AA121" i="13"/>
  <c r="AB168" i="13"/>
  <c r="AA149" i="13"/>
  <c r="AB118" i="13"/>
  <c r="AB169" i="13"/>
  <c r="AA131" i="13"/>
  <c r="AA153" i="13"/>
  <c r="AB129" i="13"/>
  <c r="AA135" i="13"/>
  <c r="AA134" i="13"/>
  <c r="AB134" i="13"/>
  <c r="AA108" i="13"/>
  <c r="AA104" i="13"/>
  <c r="AA100" i="13"/>
  <c r="AB142" i="13"/>
  <c r="AA103" i="13"/>
  <c r="AA106" i="13"/>
  <c r="K194" i="13"/>
  <c r="K195" i="13"/>
  <c r="G30" i="21"/>
  <c r="M30" i="21" s="1"/>
  <c r="P30" i="21" s="1"/>
  <c r="G33" i="21"/>
  <c r="O33" i="21" s="1"/>
  <c r="G72" i="14"/>
  <c r="P311" i="20"/>
  <c r="O311" i="20" s="1"/>
  <c r="P398" i="20"/>
  <c r="T128" i="13"/>
  <c r="W128" i="13"/>
  <c r="N14" i="24"/>
  <c r="N10" i="24"/>
  <c r="O18" i="24"/>
  <c r="N17" i="24"/>
  <c r="N13" i="24"/>
  <c r="N9" i="24"/>
  <c r="N16" i="24"/>
  <c r="N12" i="24"/>
  <c r="N8" i="24"/>
  <c r="K18" i="24"/>
  <c r="N15" i="24"/>
  <c r="N11" i="24"/>
  <c r="K67" i="14"/>
  <c r="L71" i="14"/>
  <c r="F71" i="14"/>
  <c r="O68" i="14"/>
  <c r="P68" i="14" s="1"/>
  <c r="K71" i="14"/>
  <c r="F67" i="14"/>
  <c r="G71" i="14"/>
  <c r="S67" i="14"/>
  <c r="E71" i="14"/>
  <c r="E67" i="14"/>
  <c r="L67" i="14"/>
  <c r="L72" i="14"/>
  <c r="M72" i="14"/>
  <c r="E64" i="14"/>
  <c r="D64" i="14"/>
  <c r="J64" i="14" s="1"/>
  <c r="O62" i="14"/>
  <c r="H45" i="21"/>
  <c r="K278" i="13"/>
  <c r="P278" i="13" s="1"/>
  <c r="N278" i="13" s="1"/>
  <c r="G45" i="21"/>
  <c r="K282" i="13"/>
  <c r="P282" i="13" s="1"/>
  <c r="N282" i="13" s="1"/>
  <c r="K298" i="13"/>
  <c r="P298" i="13" s="1"/>
  <c r="P351" i="13"/>
  <c r="P347" i="13"/>
  <c r="O347" i="13" s="1"/>
  <c r="P373" i="20"/>
  <c r="N373" i="20" s="1"/>
  <c r="P303" i="20"/>
  <c r="K251" i="20"/>
  <c r="P348" i="13"/>
  <c r="P344" i="13"/>
  <c r="N344" i="13" s="1"/>
  <c r="P356" i="13"/>
  <c r="P352" i="13"/>
  <c r="O352" i="13" s="1"/>
  <c r="P355" i="13"/>
  <c r="O355" i="13" s="1"/>
  <c r="O230" i="13"/>
  <c r="O229" i="13"/>
  <c r="O227" i="13"/>
  <c r="P227" i="13" s="1"/>
  <c r="O231" i="13"/>
  <c r="Q71" i="14"/>
  <c r="O67" i="14"/>
  <c r="P67" i="14" s="1"/>
  <c r="S187" i="13"/>
  <c r="T187" i="13" s="1"/>
  <c r="S198" i="13"/>
  <c r="O198" i="13"/>
  <c r="S196" i="13"/>
  <c r="T196" i="13" s="1"/>
  <c r="Q196" i="13"/>
  <c r="R196" i="13" s="1"/>
  <c r="O196" i="13"/>
  <c r="P196" i="13" s="1"/>
  <c r="Q189" i="13"/>
  <c r="N230" i="13"/>
  <c r="N229" i="13"/>
  <c r="N227" i="13"/>
  <c r="N228" i="13"/>
  <c r="M226" i="13"/>
  <c r="N232" i="13"/>
  <c r="N231" i="13"/>
  <c r="O71" i="14"/>
  <c r="P71" i="14" s="1"/>
  <c r="S71" i="14"/>
  <c r="S64" i="14"/>
  <c r="Q187" i="13"/>
  <c r="R187" i="13" s="1"/>
  <c r="Q199" i="13"/>
  <c r="R199" i="13" s="1"/>
  <c r="S195" i="13"/>
  <c r="T195" i="13" s="1"/>
  <c r="Q195" i="13"/>
  <c r="R195" i="13" s="1"/>
  <c r="O195" i="13"/>
  <c r="P195" i="13" s="1"/>
  <c r="S189" i="13"/>
  <c r="T189" i="13" s="1"/>
  <c r="M230" i="13"/>
  <c r="M229" i="13"/>
  <c r="M227" i="13"/>
  <c r="M228" i="13"/>
  <c r="S194" i="13"/>
  <c r="T194" i="13" s="1"/>
  <c r="Q194" i="13"/>
  <c r="R194" i="13" s="1"/>
  <c r="O194" i="13"/>
  <c r="P194" i="13" s="1"/>
  <c r="O249" i="20"/>
  <c r="P389" i="20"/>
  <c r="O389" i="20" s="1"/>
  <c r="P409" i="20"/>
  <c r="N409" i="20" s="1"/>
  <c r="P335" i="20"/>
  <c r="N335" i="20" s="1"/>
  <c r="O196" i="20"/>
  <c r="N196" i="20"/>
  <c r="O197" i="20"/>
  <c r="P339" i="20"/>
  <c r="N339" i="20" s="1"/>
  <c r="O191" i="20"/>
  <c r="P347" i="20"/>
  <c r="N347" i="20" s="1"/>
  <c r="O254" i="20"/>
  <c r="O322" i="1"/>
  <c r="P335" i="1"/>
  <c r="P289" i="20"/>
  <c r="O289" i="20" s="1"/>
  <c r="P297" i="20"/>
  <c r="P343" i="20"/>
  <c r="N343" i="20" s="1"/>
  <c r="G42" i="21"/>
  <c r="I42" i="21"/>
  <c r="H42" i="21"/>
  <c r="D45" i="21"/>
  <c r="E42" i="21"/>
  <c r="K42" i="21" s="1"/>
  <c r="G35" i="21"/>
  <c r="O35" i="21" s="1"/>
  <c r="N255" i="13"/>
  <c r="E65" i="14"/>
  <c r="G34" i="21"/>
  <c r="M34" i="21" s="1"/>
  <c r="F69" i="14"/>
  <c r="G67" i="14"/>
  <c r="Q67" i="14"/>
  <c r="G31" i="21"/>
  <c r="O31" i="21" s="1"/>
  <c r="L73" i="14"/>
  <c r="M73" i="14"/>
  <c r="K69" i="14"/>
  <c r="Q69" i="14"/>
  <c r="S69" i="14"/>
  <c r="AA119" i="13"/>
  <c r="AB119" i="13"/>
  <c r="L65" i="14"/>
  <c r="M65" i="14"/>
  <c r="G73" i="14"/>
  <c r="S73" i="14"/>
  <c r="F73" i="14"/>
  <c r="E73" i="14"/>
  <c r="K257" i="13"/>
  <c r="P257" i="13" s="1"/>
  <c r="K158" i="20"/>
  <c r="O324" i="1"/>
  <c r="U296" i="1"/>
  <c r="Z296" i="1" s="1"/>
  <c r="T355" i="1"/>
  <c r="U306" i="1"/>
  <c r="R48" i="21"/>
  <c r="G32" i="21"/>
  <c r="O32" i="21" s="1"/>
  <c r="L63" i="22"/>
  <c r="J63" i="22"/>
  <c r="I63" i="22"/>
  <c r="M71" i="14"/>
  <c r="O353" i="13"/>
  <c r="N71" i="14"/>
  <c r="N18" i="24"/>
  <c r="M67" i="14"/>
  <c r="N67" i="14"/>
  <c r="T67" i="14"/>
  <c r="O351" i="13"/>
  <c r="O345" i="13"/>
  <c r="O76" i="13"/>
  <c r="P76" i="13" s="1"/>
  <c r="O75" i="13"/>
  <c r="P75" i="13" s="1"/>
  <c r="O80" i="13"/>
  <c r="P80" i="13" s="1"/>
  <c r="S193" i="13"/>
  <c r="T193" i="13" s="1"/>
  <c r="O193" i="13"/>
  <c r="P193" i="13" s="1"/>
  <c r="Q193" i="13"/>
  <c r="R193" i="13" s="1"/>
  <c r="K287" i="13"/>
  <c r="P287" i="13" s="1"/>
  <c r="K316" i="13"/>
  <c r="P316" i="13" s="1"/>
  <c r="N316" i="13" s="1"/>
  <c r="K388" i="13"/>
  <c r="K29" i="21"/>
  <c r="K24" i="21"/>
  <c r="U79" i="13"/>
  <c r="G27" i="21"/>
  <c r="M27" i="21" s="1"/>
  <c r="T81" i="13"/>
  <c r="AA165" i="13"/>
  <c r="AB165" i="13"/>
  <c r="AB132" i="13"/>
  <c r="AA132" i="13"/>
  <c r="AA122" i="13"/>
  <c r="AB122" i="13"/>
  <c r="M199" i="13"/>
  <c r="P199" i="13"/>
  <c r="AA139" i="13"/>
  <c r="T199" i="13"/>
  <c r="M159" i="20"/>
  <c r="L160" i="20"/>
  <c r="J71" i="14"/>
  <c r="K394" i="13"/>
  <c r="P394" i="13" s="1"/>
  <c r="K390" i="13"/>
  <c r="P390" i="13" s="1"/>
  <c r="N390" i="13" s="1"/>
  <c r="M158" i="20"/>
  <c r="K266" i="13"/>
  <c r="P266" i="13" s="1"/>
  <c r="K322" i="13"/>
  <c r="P322" i="13" s="1"/>
  <c r="K374" i="13"/>
  <c r="P374" i="13" s="1"/>
  <c r="L158" i="20"/>
  <c r="L159" i="20"/>
  <c r="K160" i="20"/>
  <c r="N159" i="20"/>
  <c r="N160" i="20"/>
  <c r="K159" i="20"/>
  <c r="N158" i="20"/>
  <c r="K276" i="13"/>
  <c r="P276" i="13" s="1"/>
  <c r="O276" i="13" s="1"/>
  <c r="K360" i="13"/>
  <c r="P360" i="13" s="1"/>
  <c r="O421" i="13"/>
  <c r="K279" i="13"/>
  <c r="P279" i="13" s="1"/>
  <c r="K375" i="13"/>
  <c r="S188" i="13"/>
  <c r="T188" i="13" s="1"/>
  <c r="K283" i="13"/>
  <c r="P283" i="13" s="1"/>
  <c r="N283" i="13" s="1"/>
  <c r="K299" i="13"/>
  <c r="P299" i="13" s="1"/>
  <c r="N299" i="13" s="1"/>
  <c r="K315" i="13"/>
  <c r="P315" i="13" s="1"/>
  <c r="K343" i="13"/>
  <c r="P343" i="13" s="1"/>
  <c r="K335" i="13"/>
  <c r="P335" i="13" s="1"/>
  <c r="U292" i="1"/>
  <c r="Z292" i="1" s="1"/>
  <c r="U295" i="1"/>
  <c r="Y295" i="1" s="1"/>
  <c r="U357" i="1"/>
  <c r="Z357" i="1" s="1"/>
  <c r="T299" i="1"/>
  <c r="U299" i="1" s="1"/>
  <c r="T302" i="1"/>
  <c r="U302" i="1" s="1"/>
  <c r="Y302" i="1" s="1"/>
  <c r="O199" i="20"/>
  <c r="O337" i="1"/>
  <c r="P337" i="1"/>
  <c r="T347" i="1"/>
  <c r="U347" i="1" s="1"/>
  <c r="T291" i="1"/>
  <c r="T294" i="1"/>
  <c r="U294" i="1" s="1"/>
  <c r="T351" i="1"/>
  <c r="U351" i="1" s="1"/>
  <c r="O319" i="1"/>
  <c r="P319" i="1"/>
  <c r="U358" i="1"/>
  <c r="Y358" i="1" s="1"/>
  <c r="P403" i="13"/>
  <c r="N403" i="13" s="1"/>
  <c r="N348" i="13"/>
  <c r="S192" i="13"/>
  <c r="T192" i="13" s="1"/>
  <c r="O255" i="13"/>
  <c r="F75" i="14"/>
  <c r="Q75" i="14"/>
  <c r="G75" i="14"/>
  <c r="S75" i="14"/>
  <c r="E75" i="14"/>
  <c r="AB113" i="13"/>
  <c r="AA113" i="13"/>
  <c r="AB180" i="13"/>
  <c r="AA180" i="13"/>
  <c r="AB150" i="13"/>
  <c r="AA150" i="13"/>
  <c r="AB154" i="13"/>
  <c r="AA154" i="13"/>
  <c r="AB102" i="13"/>
  <c r="AA102" i="13"/>
  <c r="I220" i="13"/>
  <c r="T117" i="13"/>
  <c r="W117" i="13"/>
  <c r="K187" i="13"/>
  <c r="AB107" i="13"/>
  <c r="AA107" i="13"/>
  <c r="AB143" i="13"/>
  <c r="AA143" i="13"/>
  <c r="P81" i="13"/>
  <c r="L76" i="14"/>
  <c r="M76" i="14"/>
  <c r="Q38" i="13"/>
  <c r="T38" i="13"/>
  <c r="Y38" i="13"/>
  <c r="U78" i="13"/>
  <c r="G24" i="21"/>
  <c r="O24" i="21" s="1"/>
  <c r="M196" i="13"/>
  <c r="J196" i="13"/>
  <c r="AB115" i="13"/>
  <c r="AA115" i="13"/>
  <c r="AA137" i="13"/>
  <c r="AB137" i="13"/>
  <c r="AA130" i="13"/>
  <c r="AB130" i="13"/>
  <c r="AB98" i="13"/>
  <c r="AA98" i="13"/>
  <c r="L75" i="14"/>
  <c r="M75" i="14"/>
  <c r="G74" i="14"/>
  <c r="K74" i="14"/>
  <c r="S74" i="14"/>
  <c r="D74" i="14"/>
  <c r="Q70" i="14"/>
  <c r="S70" i="14"/>
  <c r="D70" i="14"/>
  <c r="J70" i="14" s="1"/>
  <c r="Q66" i="14"/>
  <c r="O66" i="14"/>
  <c r="P66" i="14" s="1"/>
  <c r="G66" i="14"/>
  <c r="AA164" i="13"/>
  <c r="AB164" i="13"/>
  <c r="K284" i="13"/>
  <c r="P284" i="13" s="1"/>
  <c r="O284" i="13" s="1"/>
  <c r="S75" i="13"/>
  <c r="T75" i="13" s="1"/>
  <c r="K292" i="13"/>
  <c r="P292" i="13" s="1"/>
  <c r="O292" i="13" s="1"/>
  <c r="K313" i="13"/>
  <c r="P313" i="13" s="1"/>
  <c r="N313" i="13" s="1"/>
  <c r="N421" i="13"/>
  <c r="N73" i="14"/>
  <c r="K265" i="13"/>
  <c r="P265" i="13" s="1"/>
  <c r="N265" i="13" s="1"/>
  <c r="K269" i="13"/>
  <c r="P269" i="13" s="1"/>
  <c r="N269" i="13" s="1"/>
  <c r="K341" i="13"/>
  <c r="P341" i="13" s="1"/>
  <c r="K337" i="13"/>
  <c r="P337" i="13" s="1"/>
  <c r="K333" i="13"/>
  <c r="P333" i="13" s="1"/>
  <c r="O333" i="13" s="1"/>
  <c r="K393" i="13"/>
  <c r="K385" i="13"/>
  <c r="P385" i="13" s="1"/>
  <c r="O385" i="13" s="1"/>
  <c r="K189" i="13"/>
  <c r="O192" i="13"/>
  <c r="P192" i="13" s="1"/>
  <c r="S65" i="14"/>
  <c r="AA147" i="13"/>
  <c r="AB147" i="13"/>
  <c r="U77" i="13"/>
  <c r="G23" i="21"/>
  <c r="M23" i="21" s="1"/>
  <c r="P23" i="21" s="1"/>
  <c r="O190" i="13"/>
  <c r="P190" i="13" s="1"/>
  <c r="K79" i="13"/>
  <c r="D69" i="14"/>
  <c r="J69" i="14" s="1"/>
  <c r="G65" i="14"/>
  <c r="E69" i="14"/>
  <c r="K73" i="14"/>
  <c r="D65" i="14"/>
  <c r="J65" i="14" s="1"/>
  <c r="O73" i="14"/>
  <c r="P73" i="14" s="1"/>
  <c r="T71" i="14"/>
  <c r="Q73" i="14"/>
  <c r="R73" i="14"/>
  <c r="T152" i="13"/>
  <c r="W152" i="13"/>
  <c r="AA152" i="13"/>
  <c r="G76" i="14"/>
  <c r="F76" i="14"/>
  <c r="K76" i="14"/>
  <c r="D76" i="14"/>
  <c r="J76" i="14" s="1"/>
  <c r="Q76" i="14"/>
  <c r="R76" i="14"/>
  <c r="S76" i="14"/>
  <c r="O76" i="14"/>
  <c r="P76" i="14" s="1"/>
  <c r="D75" i="14"/>
  <c r="J75" i="14" s="1"/>
  <c r="O75" i="14"/>
  <c r="P75" i="14" s="1"/>
  <c r="Q74" i="14"/>
  <c r="O74" i="14"/>
  <c r="P74" i="14" s="1"/>
  <c r="E74" i="14"/>
  <c r="L74" i="14"/>
  <c r="G70" i="14"/>
  <c r="F70" i="14"/>
  <c r="E70" i="14"/>
  <c r="L70" i="14"/>
  <c r="L66" i="14"/>
  <c r="E66" i="14"/>
  <c r="K66" i="14"/>
  <c r="F66" i="14"/>
  <c r="AB136" i="13"/>
  <c r="AA136" i="13"/>
  <c r="AB167" i="13"/>
  <c r="AA167" i="13"/>
  <c r="AA161" i="13"/>
  <c r="AB161" i="13"/>
  <c r="T99" i="13"/>
  <c r="W99" i="13"/>
  <c r="K190" i="13"/>
  <c r="AB105" i="13"/>
  <c r="AA105" i="13"/>
  <c r="AA141" i="13"/>
  <c r="AB141" i="13"/>
  <c r="AA155" i="13"/>
  <c r="AB155" i="13"/>
  <c r="N65" i="14"/>
  <c r="N76" i="14"/>
  <c r="T76" i="14"/>
  <c r="K78" i="13"/>
  <c r="R67" i="14"/>
  <c r="S190" i="13"/>
  <c r="T190" i="13" s="1"/>
  <c r="N75" i="14"/>
  <c r="U76" i="13"/>
  <c r="G22" i="21"/>
  <c r="M22" i="21" s="1"/>
  <c r="N22" i="21" s="1"/>
  <c r="Q65" i="14"/>
  <c r="F65" i="14"/>
  <c r="K65" i="14"/>
  <c r="L69" i="14"/>
  <c r="N69" i="14"/>
  <c r="T69" i="14"/>
  <c r="O69" i="14"/>
  <c r="P69" i="14" s="1"/>
  <c r="F74" i="14"/>
  <c r="K75" i="14"/>
  <c r="AB125" i="13"/>
  <c r="S66" i="14"/>
  <c r="K70" i="14"/>
  <c r="D66" i="14"/>
  <c r="J66" i="14" s="1"/>
  <c r="O70" i="14"/>
  <c r="P70" i="14" s="1"/>
  <c r="N248" i="13"/>
  <c r="O425" i="13"/>
  <c r="AA133" i="13"/>
  <c r="AB133" i="13"/>
  <c r="AA156" i="13"/>
  <c r="AB156" i="13"/>
  <c r="AB163" i="13"/>
  <c r="AA163" i="13"/>
  <c r="K76" i="13"/>
  <c r="AA124" i="13"/>
  <c r="O346" i="13"/>
  <c r="N245" i="13"/>
  <c r="Q192" i="13"/>
  <c r="R192" i="13" s="1"/>
  <c r="AA151" i="13"/>
  <c r="AB151" i="13"/>
  <c r="K340" i="13"/>
  <c r="P340" i="13" s="1"/>
  <c r="N340" i="13" s="1"/>
  <c r="K304" i="13"/>
  <c r="P304" i="13" s="1"/>
  <c r="K268" i="13"/>
  <c r="P268" i="13" s="1"/>
  <c r="O268" i="13" s="1"/>
  <c r="N353" i="13"/>
  <c r="N349" i="13"/>
  <c r="N345" i="13"/>
  <c r="O356" i="13"/>
  <c r="S76" i="13"/>
  <c r="T76" i="13" s="1"/>
  <c r="K381" i="13"/>
  <c r="P381" i="13" s="1"/>
  <c r="O381" i="13" s="1"/>
  <c r="T197" i="13"/>
  <c r="L195" i="13"/>
  <c r="M195" i="13"/>
  <c r="F68" i="14"/>
  <c r="M197" i="13"/>
  <c r="T138" i="13"/>
  <c r="W138" i="13"/>
  <c r="K186" i="13"/>
  <c r="M194" i="13"/>
  <c r="N194" i="13"/>
  <c r="J194" i="13"/>
  <c r="AB112" i="13"/>
  <c r="AA112" i="13"/>
  <c r="AB159" i="13"/>
  <c r="AA159" i="13"/>
  <c r="N72" i="14"/>
  <c r="K77" i="13"/>
  <c r="O344" i="13"/>
  <c r="O422" i="13"/>
  <c r="S68" i="14"/>
  <c r="O348" i="13"/>
  <c r="K72" i="14"/>
  <c r="AA116" i="13"/>
  <c r="AA118" i="13"/>
  <c r="AA148" i="13"/>
  <c r="AB148" i="13"/>
  <c r="AB140" i="13"/>
  <c r="AA140" i="13"/>
  <c r="AA158" i="13"/>
  <c r="AB158" i="13"/>
  <c r="AA160" i="13"/>
  <c r="AB160" i="13"/>
  <c r="G64" i="14"/>
  <c r="F64" i="14"/>
  <c r="L64" i="14"/>
  <c r="S72" i="14"/>
  <c r="D72" i="14"/>
  <c r="J72" i="14" s="1"/>
  <c r="Q72" i="14"/>
  <c r="O72" i="14"/>
  <c r="P72" i="14" s="1"/>
  <c r="K68" i="14"/>
  <c r="L68" i="14"/>
  <c r="G68" i="14"/>
  <c r="AB114" i="13"/>
  <c r="AA114" i="13"/>
  <c r="AA120" i="13"/>
  <c r="AB120" i="13"/>
  <c r="O181" i="13"/>
  <c r="Q64" i="14"/>
  <c r="N356" i="13"/>
  <c r="L190" i="13"/>
  <c r="T75" i="14"/>
  <c r="N352" i="13"/>
  <c r="N351" i="13"/>
  <c r="E68" i="14"/>
  <c r="Q68" i="14"/>
  <c r="K192" i="13"/>
  <c r="E72" i="14"/>
  <c r="K191" i="13"/>
  <c r="AA144" i="13"/>
  <c r="N419" i="13"/>
  <c r="AB166" i="13"/>
  <c r="N350" i="13"/>
  <c r="O350" i="13"/>
  <c r="N425" i="13"/>
  <c r="Q25" i="13"/>
  <c r="K75" i="13"/>
  <c r="U75" i="13"/>
  <c r="G21" i="21"/>
  <c r="M21" i="21" s="1"/>
  <c r="P21" i="21" s="1"/>
  <c r="R42" i="21" s="1"/>
  <c r="T127" i="13"/>
  <c r="W127" i="13"/>
  <c r="K193" i="13"/>
  <c r="AA126" i="13"/>
  <c r="AB126" i="13"/>
  <c r="AB123" i="13"/>
  <c r="AA123" i="13"/>
  <c r="AA157" i="13"/>
  <c r="AB157" i="13"/>
  <c r="AA170" i="13"/>
  <c r="AB170" i="13"/>
  <c r="T162" i="13"/>
  <c r="W162" i="13"/>
  <c r="K188" i="13"/>
  <c r="K364" i="13"/>
  <c r="P364" i="13" s="1"/>
  <c r="O364" i="13" s="1"/>
  <c r="P367" i="13"/>
  <c r="O367" i="13" s="1"/>
  <c r="K384" i="13"/>
  <c r="P384" i="13" s="1"/>
  <c r="K380" i="13"/>
  <c r="K376" i="13"/>
  <c r="P376" i="13" s="1"/>
  <c r="N355" i="13"/>
  <c r="G92" i="13"/>
  <c r="Q90" i="13"/>
  <c r="AB128" i="13"/>
  <c r="L192" i="13"/>
  <c r="AA128" i="13"/>
  <c r="L191" i="13"/>
  <c r="AB101" i="13"/>
  <c r="AA101" i="13"/>
  <c r="T65" i="14"/>
  <c r="Q28" i="13"/>
  <c r="T28" i="13"/>
  <c r="Q190" i="13"/>
  <c r="R190" i="13" s="1"/>
  <c r="T73" i="14"/>
  <c r="R71" i="14"/>
  <c r="R65" i="14"/>
  <c r="R75" i="14"/>
  <c r="U80" i="13"/>
  <c r="G29" i="21"/>
  <c r="M29" i="21" s="1"/>
  <c r="P29" i="21" s="1"/>
  <c r="Q29" i="13"/>
  <c r="T29" i="13"/>
  <c r="L76" i="13"/>
  <c r="Q27" i="13"/>
  <c r="T27" i="13"/>
  <c r="X29" i="13"/>
  <c r="Q26" i="13"/>
  <c r="T26" i="13"/>
  <c r="O79" i="13"/>
  <c r="P79" i="13" s="1"/>
  <c r="Q78" i="13"/>
  <c r="R78" i="13" s="1"/>
  <c r="Q76" i="13"/>
  <c r="R76" i="13" s="1"/>
  <c r="Q77" i="13"/>
  <c r="R77" i="13" s="1"/>
  <c r="S79" i="13"/>
  <c r="J73" i="20"/>
  <c r="I8" i="13"/>
  <c r="J8" i="13" s="1"/>
  <c r="I15" i="13"/>
  <c r="J15" i="13" s="1"/>
  <c r="S77" i="13"/>
  <c r="T77" i="13" s="1"/>
  <c r="O78" i="13"/>
  <c r="P78" i="13" s="1"/>
  <c r="I6" i="13"/>
  <c r="J6" i="13" s="1"/>
  <c r="I18" i="13"/>
  <c r="J18" i="13" s="1"/>
  <c r="J4" i="13"/>
  <c r="X67" i="13"/>
  <c r="Y54" i="13"/>
  <c r="X54" i="13"/>
  <c r="Y53" i="13"/>
  <c r="X52" i="13"/>
  <c r="Y45" i="13"/>
  <c r="Y57" i="13"/>
  <c r="X50" i="13"/>
  <c r="Y48" i="13"/>
  <c r="X66" i="13"/>
  <c r="Y60" i="13"/>
  <c r="X40" i="13"/>
  <c r="X45" i="13"/>
  <c r="Y44" i="13"/>
  <c r="X44" i="13"/>
  <c r="Y32" i="13"/>
  <c r="X32" i="13"/>
  <c r="Y36" i="13"/>
  <c r="X49" i="13"/>
  <c r="X42" i="13"/>
  <c r="Y30" i="13"/>
  <c r="L77" i="13"/>
  <c r="X70" i="13"/>
  <c r="X64" i="13"/>
  <c r="X43" i="13"/>
  <c r="X34" i="13"/>
  <c r="X69" i="13"/>
  <c r="Y69" i="13"/>
  <c r="Y43" i="13"/>
  <c r="X60" i="13"/>
  <c r="X33" i="13"/>
  <c r="Y51" i="13"/>
  <c r="Y42" i="13"/>
  <c r="Y33" i="13"/>
  <c r="Y64" i="13"/>
  <c r="X63" i="13"/>
  <c r="Y56" i="13"/>
  <c r="X41" i="13"/>
  <c r="Y41" i="13"/>
  <c r="Y66" i="13"/>
  <c r="Y59" i="13"/>
  <c r="X56" i="13"/>
  <c r="X30" i="13"/>
  <c r="Y49" i="13"/>
  <c r="Y65" i="13"/>
  <c r="X59" i="13"/>
  <c r="Y70" i="13"/>
  <c r="Y50" i="13"/>
  <c r="X39" i="13"/>
  <c r="Y39" i="13"/>
  <c r="Y52" i="13"/>
  <c r="X36" i="13"/>
  <c r="X47" i="13"/>
  <c r="Y63" i="13"/>
  <c r="Y55" i="13"/>
  <c r="Y47" i="13"/>
  <c r="X61" i="13"/>
  <c r="Y58" i="13"/>
  <c r="L79" i="13"/>
  <c r="J79" i="13"/>
  <c r="X37" i="13"/>
  <c r="X46" i="13"/>
  <c r="Y46" i="13"/>
  <c r="Y37" i="13"/>
  <c r="X65" i="13"/>
  <c r="Y67" i="13"/>
  <c r="X58" i="13"/>
  <c r="L71" i="13"/>
  <c r="K80" i="13"/>
  <c r="R72" i="14"/>
  <c r="X48" i="13"/>
  <c r="Y34" i="13"/>
  <c r="Y35" i="13"/>
  <c r="M70" i="14"/>
  <c r="R70" i="14"/>
  <c r="Y40" i="13"/>
  <c r="X57" i="13"/>
  <c r="X35" i="13"/>
  <c r="L80" i="13"/>
  <c r="J80" i="13"/>
  <c r="X31" i="13"/>
  <c r="T25" i="13"/>
  <c r="J76" i="13"/>
  <c r="O34" i="21"/>
  <c r="Q80" i="13"/>
  <c r="R80" i="13" s="1"/>
  <c r="S80" i="13"/>
  <c r="T80" i="13" s="1"/>
  <c r="U82" i="13"/>
  <c r="X38" i="13"/>
  <c r="M78" i="13"/>
  <c r="L78" i="13"/>
  <c r="N195" i="13"/>
  <c r="O188" i="13"/>
  <c r="P188" i="13" s="1"/>
  <c r="Q188" i="13"/>
  <c r="R188" i="13" s="1"/>
  <c r="Q79" i="13"/>
  <c r="R79" i="13" s="1"/>
  <c r="O191" i="13"/>
  <c r="P191" i="13" s="1"/>
  <c r="S78" i="13"/>
  <c r="T78" i="13" s="1"/>
  <c r="Q191" i="13"/>
  <c r="R191" i="13" s="1"/>
  <c r="S191" i="13"/>
  <c r="T191" i="13" s="1"/>
  <c r="Z299" i="1"/>
  <c r="Y299" i="1"/>
  <c r="Y292" i="1"/>
  <c r="Y357" i="1"/>
  <c r="Z295" i="1"/>
  <c r="Z302" i="1"/>
  <c r="X27" i="13"/>
  <c r="Y27" i="13"/>
  <c r="AA117" i="13"/>
  <c r="AB117" i="13"/>
  <c r="O22" i="21"/>
  <c r="Y29" i="13"/>
  <c r="N76" i="13"/>
  <c r="L189" i="13"/>
  <c r="M189" i="13"/>
  <c r="Q75" i="13"/>
  <c r="L187" i="13"/>
  <c r="AB152" i="13"/>
  <c r="M80" i="13"/>
  <c r="M69" i="14"/>
  <c r="R69" i="14"/>
  <c r="T72" i="14"/>
  <c r="N80" i="13"/>
  <c r="M76" i="13"/>
  <c r="N70" i="14"/>
  <c r="T70" i="14"/>
  <c r="J74" i="14"/>
  <c r="M74" i="14"/>
  <c r="R74" i="14"/>
  <c r="N74" i="14"/>
  <c r="T74" i="14"/>
  <c r="AB99" i="13"/>
  <c r="AA99" i="13"/>
  <c r="J195" i="13"/>
  <c r="Q71" i="13"/>
  <c r="K82" i="13"/>
  <c r="N190" i="13"/>
  <c r="N66" i="14"/>
  <c r="T66" i="14"/>
  <c r="M66" i="14"/>
  <c r="R66" i="14"/>
  <c r="X26" i="13"/>
  <c r="Y26" i="13"/>
  <c r="X28" i="13"/>
  <c r="Y28" i="13"/>
  <c r="AA162" i="13"/>
  <c r="L188" i="13"/>
  <c r="AB162" i="13"/>
  <c r="L75" i="13"/>
  <c r="N64" i="14"/>
  <c r="T64" i="14"/>
  <c r="M64" i="14"/>
  <c r="R64" i="14"/>
  <c r="AB127" i="13"/>
  <c r="AA127" i="13"/>
  <c r="L193" i="13"/>
  <c r="M190" i="13"/>
  <c r="N68" i="14"/>
  <c r="T68" i="14"/>
  <c r="M68" i="14"/>
  <c r="R68" i="14"/>
  <c r="AA138" i="13"/>
  <c r="AB138" i="13"/>
  <c r="L186" i="13"/>
  <c r="J192" i="13"/>
  <c r="M192" i="13"/>
  <c r="N192" i="13"/>
  <c r="N79" i="13"/>
  <c r="N191" i="13"/>
  <c r="J191" i="13"/>
  <c r="M191" i="13"/>
  <c r="N78" i="13"/>
  <c r="X55" i="13"/>
  <c r="M79" i="13"/>
  <c r="M77" i="13"/>
  <c r="N77" i="13"/>
  <c r="T71" i="13"/>
  <c r="Y25" i="13"/>
  <c r="X25" i="13"/>
  <c r="AB181" i="13"/>
  <c r="N189" i="13"/>
  <c r="N187" i="13"/>
  <c r="M187" i="13"/>
  <c r="P187" i="13"/>
  <c r="M75" i="13"/>
  <c r="L82" i="13"/>
  <c r="L86" i="13"/>
  <c r="AA181" i="13"/>
  <c r="AA183" i="13"/>
  <c r="J188" i="13"/>
  <c r="N188" i="13"/>
  <c r="M188" i="13"/>
  <c r="J75" i="13"/>
  <c r="J193" i="13"/>
  <c r="M193" i="13"/>
  <c r="N193" i="13"/>
  <c r="M186" i="13"/>
  <c r="R186" i="13"/>
  <c r="N186" i="13"/>
  <c r="Y71" i="13"/>
  <c r="N75" i="13"/>
  <c r="R189" i="13"/>
  <c r="X71" i="13"/>
  <c r="L83" i="13"/>
  <c r="M82" i="13"/>
  <c r="M86" i="13"/>
  <c r="L84" i="13"/>
  <c r="L85" i="13"/>
  <c r="N82" i="13"/>
  <c r="M83" i="13"/>
  <c r="M84" i="13"/>
  <c r="M85" i="13"/>
  <c r="N84" i="13"/>
  <c r="N83" i="13"/>
  <c r="N86" i="13"/>
  <c r="N85" i="13"/>
  <c r="P136" i="7"/>
  <c r="H137" i="7"/>
  <c r="O141" i="7"/>
  <c r="L140" i="7"/>
  <c r="O149" i="7"/>
  <c r="H142" i="7"/>
  <c r="Q143" i="7"/>
  <c r="E140" i="7"/>
  <c r="K147" i="7"/>
  <c r="F143" i="7"/>
  <c r="P139" i="7"/>
  <c r="M146" i="7"/>
  <c r="H141" i="7"/>
  <c r="P140" i="7"/>
  <c r="F148" i="7"/>
  <c r="H140" i="7"/>
  <c r="E137" i="7"/>
  <c r="E149" i="7"/>
  <c r="O135" i="7"/>
  <c r="N140" i="7"/>
  <c r="O147" i="7"/>
  <c r="Q144" i="7"/>
  <c r="K136" i="7"/>
  <c r="J142" i="7"/>
  <c r="F142" i="7"/>
  <c r="Q140" i="7"/>
  <c r="L137" i="7"/>
  <c r="I144" i="7"/>
  <c r="P149" i="7"/>
  <c r="I135" i="7"/>
  <c r="I148" i="7"/>
  <c r="Q139" i="7"/>
  <c r="M135" i="7"/>
  <c r="K146" i="7"/>
  <c r="H144" i="7"/>
  <c r="G135" i="7"/>
  <c r="Q142" i="7"/>
  <c r="L135" i="7"/>
  <c r="O142" i="7"/>
  <c r="N143" i="7"/>
  <c r="E136" i="7"/>
  <c r="J140" i="7"/>
  <c r="O137" i="7"/>
  <c r="N139" i="7"/>
  <c r="L136" i="7"/>
  <c r="N137" i="7"/>
  <c r="I146" i="7"/>
  <c r="F140" i="7"/>
  <c r="Q136" i="7"/>
  <c r="G142" i="7"/>
  <c r="J143" i="7"/>
  <c r="H147" i="7"/>
  <c r="Q146" i="7"/>
  <c r="H148" i="7"/>
  <c r="N149" i="7"/>
  <c r="G143" i="7"/>
  <c r="M141" i="7"/>
  <c r="L149" i="7"/>
  <c r="N141" i="7"/>
  <c r="M144" i="7"/>
  <c r="N136" i="7"/>
  <c r="J139" i="7"/>
  <c r="K137" i="7"/>
  <c r="M148" i="7"/>
  <c r="K148" i="7"/>
  <c r="L148" i="7"/>
  <c r="L144" i="7"/>
  <c r="K143" i="7"/>
  <c r="L146" i="7"/>
  <c r="G140" i="7"/>
  <c r="E146" i="7"/>
  <c r="F146" i="7"/>
  <c r="K140" i="7"/>
  <c r="E142" i="7"/>
  <c r="Q147" i="7"/>
  <c r="G148" i="7"/>
  <c r="H136" i="7"/>
  <c r="N144" i="7"/>
  <c r="K139" i="7"/>
  <c r="F137" i="7"/>
  <c r="M140" i="7"/>
  <c r="P142" i="7"/>
  <c r="G136" i="7"/>
  <c r="F135" i="7"/>
  <c r="Q137" i="7"/>
  <c r="J149" i="7"/>
  <c r="O143" i="7"/>
  <c r="E147" i="7"/>
  <c r="I137" i="7"/>
  <c r="N147" i="7"/>
  <c r="I143" i="7"/>
  <c r="M137" i="7"/>
  <c r="F139" i="7"/>
  <c r="J136" i="7"/>
  <c r="J148" i="7"/>
  <c r="H146" i="7"/>
  <c r="P146" i="7"/>
  <c r="M149" i="7"/>
  <c r="I147" i="7"/>
  <c r="J146" i="7"/>
  <c r="I141" i="7"/>
  <c r="I142" i="7"/>
  <c r="E144" i="7"/>
  <c r="M142" i="7"/>
  <c r="Q148" i="7"/>
  <c r="P135" i="7"/>
  <c r="G141" i="7"/>
  <c r="E139" i="7"/>
  <c r="I149" i="7"/>
  <c r="G149" i="7"/>
  <c r="E143" i="7"/>
  <c r="Q149" i="7"/>
  <c r="K135" i="7"/>
  <c r="M147" i="7"/>
  <c r="O146" i="7"/>
  <c r="F149" i="7"/>
  <c r="J141" i="7"/>
  <c r="O139" i="7"/>
  <c r="E141" i="7"/>
  <c r="Q135" i="7"/>
  <c r="I139" i="7"/>
  <c r="G139" i="7"/>
  <c r="P137" i="7"/>
  <c r="L142" i="7"/>
  <c r="G144" i="7"/>
  <c r="G147" i="7"/>
  <c r="K144" i="7"/>
  <c r="E135" i="7"/>
  <c r="O140" i="7"/>
  <c r="P143" i="7"/>
  <c r="E148" i="7"/>
  <c r="L147" i="7"/>
  <c r="G146" i="7"/>
  <c r="Q141" i="7"/>
  <c r="I136" i="7"/>
  <c r="K141" i="7"/>
  <c r="J147" i="7"/>
  <c r="G137" i="7"/>
  <c r="P141" i="7"/>
  <c r="L143" i="7"/>
  <c r="K149" i="7"/>
  <c r="H135" i="7"/>
  <c r="J135" i="7"/>
  <c r="M136" i="7"/>
  <c r="P144" i="7"/>
  <c r="M143" i="7"/>
  <c r="P148" i="7"/>
  <c r="I140" i="7"/>
  <c r="N148" i="7"/>
  <c r="O144" i="7"/>
  <c r="F144" i="7"/>
  <c r="F136" i="7"/>
  <c r="L141" i="7"/>
  <c r="K142" i="7"/>
  <c r="N135" i="7"/>
  <c r="F141" i="7"/>
  <c r="H149" i="7"/>
  <c r="P147" i="7"/>
  <c r="L139" i="7"/>
  <c r="J137" i="7"/>
  <c r="F147" i="7"/>
  <c r="H139" i="7"/>
  <c r="M139" i="7"/>
  <c r="J144" i="7"/>
  <c r="N142" i="7"/>
  <c r="N146" i="7"/>
  <c r="H143" i="7"/>
  <c r="O148" i="7"/>
  <c r="O136" i="7"/>
  <c r="K26" i="21" l="1"/>
  <c r="K28" i="21"/>
  <c r="M35" i="21"/>
  <c r="P35" i="21" s="1"/>
  <c r="R47" i="21" s="1"/>
  <c r="O81" i="21"/>
  <c r="P81" i="21" s="1"/>
  <c r="R96" i="21" s="1"/>
  <c r="M28" i="21"/>
  <c r="O78" i="21"/>
  <c r="N34" i="21"/>
  <c r="O23" i="21"/>
  <c r="O21" i="21"/>
  <c r="M32" i="21"/>
  <c r="P32" i="21" s="1"/>
  <c r="R44" i="21" s="1"/>
  <c r="M24" i="21"/>
  <c r="P24" i="21" s="1"/>
  <c r="O26" i="21"/>
  <c r="N26" i="21"/>
  <c r="P26" i="21"/>
  <c r="M25" i="21"/>
  <c r="O30" i="21"/>
  <c r="R36" i="21"/>
  <c r="S36" i="21"/>
  <c r="S38" i="21" s="1"/>
  <c r="I44" i="21"/>
  <c r="K76" i="21"/>
  <c r="S84" i="21"/>
  <c r="S86" i="21" s="1"/>
  <c r="K77" i="21"/>
  <c r="K81" i="21"/>
  <c r="O29" i="21"/>
  <c r="M31" i="21"/>
  <c r="P31" i="21" s="1"/>
  <c r="R43" i="21" s="1"/>
  <c r="G36" i="21"/>
  <c r="K75" i="21"/>
  <c r="P27" i="21"/>
  <c r="P34" i="21"/>
  <c r="R46" i="21" s="1"/>
  <c r="O27" i="21"/>
  <c r="M33" i="21"/>
  <c r="N24" i="21"/>
  <c r="P22" i="21"/>
  <c r="N29" i="21"/>
  <c r="K78" i="21"/>
  <c r="K22" i="21"/>
  <c r="K83" i="21"/>
  <c r="K82" i="21"/>
  <c r="N30" i="21"/>
  <c r="K79" i="21"/>
  <c r="K80" i="21"/>
  <c r="K35" i="21"/>
  <c r="K34" i="21"/>
  <c r="K27" i="21"/>
  <c r="K23" i="21"/>
  <c r="K21" i="21"/>
  <c r="M107" i="7"/>
  <c r="L109" i="7"/>
  <c r="G43" i="21"/>
  <c r="O282" i="13"/>
  <c r="O82" i="21"/>
  <c r="P82" i="21" s="1"/>
  <c r="O83" i="21"/>
  <c r="P229" i="13"/>
  <c r="G62" i="21"/>
  <c r="I62" i="21" s="1"/>
  <c r="J62" i="21" s="1"/>
  <c r="O62" i="21" s="1"/>
  <c r="Q62" i="21" s="1"/>
  <c r="S62" i="21" s="1"/>
  <c r="O77" i="21"/>
  <c r="K30" i="21"/>
  <c r="K358" i="13"/>
  <c r="P358" i="13" s="1"/>
  <c r="K291" i="13"/>
  <c r="P291" i="13" s="1"/>
  <c r="N291" i="13" s="1"/>
  <c r="K342" i="13"/>
  <c r="P342" i="13" s="1"/>
  <c r="O342" i="13" s="1"/>
  <c r="N23" i="21"/>
  <c r="K332" i="13"/>
  <c r="P332" i="13" s="1"/>
  <c r="K314" i="13"/>
  <c r="P314" i="13" s="1"/>
  <c r="N314" i="13" s="1"/>
  <c r="K362" i="13"/>
  <c r="P362" i="13" s="1"/>
  <c r="O362" i="13" s="1"/>
  <c r="N359" i="20"/>
  <c r="N21" i="21"/>
  <c r="G63" i="21"/>
  <c r="I63" i="21" s="1"/>
  <c r="J63" i="21" s="1"/>
  <c r="O63" i="21" s="1"/>
  <c r="Q63" i="21" s="1"/>
  <c r="S63" i="21" s="1"/>
  <c r="O326" i="13"/>
  <c r="O237" i="20"/>
  <c r="N389" i="13"/>
  <c r="N311" i="20"/>
  <c r="N198" i="20"/>
  <c r="O198" i="20"/>
  <c r="N328" i="20"/>
  <c r="O328" i="20"/>
  <c r="N387" i="20"/>
  <c r="O387" i="20"/>
  <c r="N411" i="20"/>
  <c r="O411" i="20"/>
  <c r="O249" i="13"/>
  <c r="N249" i="13"/>
  <c r="O313" i="1"/>
  <c r="P313" i="1"/>
  <c r="N320" i="20"/>
  <c r="O320" i="20"/>
  <c r="N246" i="13"/>
  <c r="O246" i="13"/>
  <c r="N419" i="20"/>
  <c r="O419" i="20"/>
  <c r="P331" i="1"/>
  <c r="P411" i="13"/>
  <c r="O411" i="13" s="1"/>
  <c r="K243" i="20"/>
  <c r="P243" i="20" s="1"/>
  <c r="N243" i="20" s="1"/>
  <c r="K266" i="20"/>
  <c r="P266" i="20" s="1"/>
  <c r="N266" i="20" s="1"/>
  <c r="K275" i="20"/>
  <c r="P275" i="20" s="1"/>
  <c r="O275" i="20" s="1"/>
  <c r="P331" i="20"/>
  <c r="O331" i="20" s="1"/>
  <c r="P363" i="20"/>
  <c r="P400" i="20"/>
  <c r="O400" i="20" s="1"/>
  <c r="P406" i="20"/>
  <c r="O406" i="20" s="1"/>
  <c r="P416" i="20"/>
  <c r="O416" i="20" s="1"/>
  <c r="K417" i="20"/>
  <c r="P417" i="20" s="1"/>
  <c r="N417" i="20" s="1"/>
  <c r="L93" i="21"/>
  <c r="P228" i="13"/>
  <c r="K303" i="13"/>
  <c r="P303" i="13" s="1"/>
  <c r="N303" i="13" s="1"/>
  <c r="K300" i="13"/>
  <c r="K267" i="13"/>
  <c r="P267" i="13" s="1"/>
  <c r="O267" i="13" s="1"/>
  <c r="K294" i="13"/>
  <c r="P294" i="13" s="1"/>
  <c r="N347" i="13"/>
  <c r="P328" i="1"/>
  <c r="O329" i="1"/>
  <c r="O326" i="1"/>
  <c r="O321" i="1"/>
  <c r="P316" i="1"/>
  <c r="P232" i="20"/>
  <c r="P236" i="20"/>
  <c r="O236" i="20" s="1"/>
  <c r="P294" i="20"/>
  <c r="O294" i="20" s="1"/>
  <c r="P310" i="20"/>
  <c r="O310" i="20" s="1"/>
  <c r="P326" i="20"/>
  <c r="O326" i="20" s="1"/>
  <c r="P342" i="20"/>
  <c r="N342" i="20" s="1"/>
  <c r="P358" i="20"/>
  <c r="N358" i="20" s="1"/>
  <c r="U345" i="1"/>
  <c r="Z345" i="1" s="1"/>
  <c r="P334" i="1"/>
  <c r="P323" i="1"/>
  <c r="P317" i="1"/>
  <c r="P322" i="1"/>
  <c r="O317" i="1"/>
  <c r="P395" i="13"/>
  <c r="O395" i="13" s="1"/>
  <c r="P240" i="20"/>
  <c r="O240" i="20" s="1"/>
  <c r="K253" i="20"/>
  <c r="P253" i="20" s="1"/>
  <c r="N253" i="20" s="1"/>
  <c r="P307" i="20"/>
  <c r="O307" i="20" s="1"/>
  <c r="P355" i="20"/>
  <c r="N355" i="20" s="1"/>
  <c r="P408" i="20"/>
  <c r="N408" i="20" s="1"/>
  <c r="P414" i="20"/>
  <c r="O108" i="7"/>
  <c r="K263" i="13"/>
  <c r="T298" i="1"/>
  <c r="U298" i="1" s="1"/>
  <c r="O228" i="20"/>
  <c r="N228" i="20"/>
  <c r="N346" i="20"/>
  <c r="O346" i="20"/>
  <c r="O362" i="20"/>
  <c r="N362" i="20"/>
  <c r="O333" i="1"/>
  <c r="P333" i="1"/>
  <c r="P312" i="1"/>
  <c r="O312" i="1"/>
  <c r="T350" i="1"/>
  <c r="U350" i="1" s="1"/>
  <c r="O315" i="1"/>
  <c r="P315" i="1"/>
  <c r="O193" i="20"/>
  <c r="N193" i="20"/>
  <c r="O257" i="20"/>
  <c r="N257" i="20"/>
  <c r="N265" i="20"/>
  <c r="O265" i="20"/>
  <c r="O273" i="20"/>
  <c r="N273" i="20"/>
  <c r="T305" i="1"/>
  <c r="U305" i="1" s="1"/>
  <c r="Y348" i="1"/>
  <c r="Z348" i="1"/>
  <c r="T359" i="1"/>
  <c r="U359" i="1" s="1"/>
  <c r="N246" i="20"/>
  <c r="O246" i="20"/>
  <c r="O270" i="20"/>
  <c r="N270" i="20"/>
  <c r="O354" i="20"/>
  <c r="N354" i="20"/>
  <c r="N258" i="13"/>
  <c r="O258" i="13"/>
  <c r="Z304" i="1"/>
  <c r="Y304" i="1"/>
  <c r="O314" i="1"/>
  <c r="P314" i="1"/>
  <c r="T303" i="1"/>
  <c r="U303" i="1"/>
  <c r="Y303" i="1" s="1"/>
  <c r="P332" i="1"/>
  <c r="O332" i="1"/>
  <c r="T346" i="1"/>
  <c r="U346" i="1"/>
  <c r="N279" i="20"/>
  <c r="O279" i="20"/>
  <c r="O253" i="13"/>
  <c r="N253" i="13"/>
  <c r="O325" i="1"/>
  <c r="P324" i="1"/>
  <c r="Z358" i="1"/>
  <c r="O328" i="1"/>
  <c r="P410" i="13"/>
  <c r="P415" i="13"/>
  <c r="O415" i="13" s="1"/>
  <c r="P418" i="13"/>
  <c r="N418" i="13" s="1"/>
  <c r="K209" i="20"/>
  <c r="P209" i="20" s="1"/>
  <c r="N209" i="20" s="1"/>
  <c r="P333" i="20"/>
  <c r="O333" i="20" s="1"/>
  <c r="P349" i="20"/>
  <c r="O349" i="20" s="1"/>
  <c r="P357" i="20"/>
  <c r="O357" i="20" s="1"/>
  <c r="P365" i="20"/>
  <c r="N365" i="20" s="1"/>
  <c r="P366" i="20"/>
  <c r="O366" i="20" s="1"/>
  <c r="P370" i="20"/>
  <c r="N370" i="20" s="1"/>
  <c r="P371" i="20"/>
  <c r="N371" i="20" s="1"/>
  <c r="P377" i="20"/>
  <c r="P385" i="20"/>
  <c r="P391" i="20"/>
  <c r="P401" i="20"/>
  <c r="O401" i="20" s="1"/>
  <c r="G47" i="21"/>
  <c r="K290" i="13"/>
  <c r="P290" i="13" s="1"/>
  <c r="O334" i="1"/>
  <c r="P329" i="1"/>
  <c r="P326" i="1"/>
  <c r="O327" i="1"/>
  <c r="P408" i="13"/>
  <c r="N408" i="13" s="1"/>
  <c r="P414" i="13"/>
  <c r="N414" i="13" s="1"/>
  <c r="P404" i="13"/>
  <c r="O404" i="13" s="1"/>
  <c r="P400" i="13"/>
  <c r="N400" i="13" s="1"/>
  <c r="P396" i="13"/>
  <c r="O396" i="13" s="1"/>
  <c r="P377" i="13"/>
  <c r="O377" i="13" s="1"/>
  <c r="K203" i="20"/>
  <c r="P203" i="20" s="1"/>
  <c r="O203" i="20" s="1"/>
  <c r="K207" i="20"/>
  <c r="P207" i="20" s="1"/>
  <c r="N207" i="20" s="1"/>
  <c r="K211" i="20"/>
  <c r="P211" i="20" s="1"/>
  <c r="K215" i="20"/>
  <c r="P215" i="20" s="1"/>
  <c r="K219" i="20"/>
  <c r="P219" i="20" s="1"/>
  <c r="N219" i="20" s="1"/>
  <c r="K223" i="20"/>
  <c r="P223" i="20" s="1"/>
  <c r="K227" i="20"/>
  <c r="P227" i="20" s="1"/>
  <c r="K244" i="20"/>
  <c r="P244" i="20" s="1"/>
  <c r="O244" i="20" s="1"/>
  <c r="K247" i="20"/>
  <c r="P247" i="20" s="1"/>
  <c r="O247" i="20" s="1"/>
  <c r="K268" i="20"/>
  <c r="P268" i="20" s="1"/>
  <c r="K271" i="20"/>
  <c r="P271" i="20" s="1"/>
  <c r="N271" i="20" s="1"/>
  <c r="K277" i="20"/>
  <c r="P277" i="20" s="1"/>
  <c r="K284" i="20"/>
  <c r="P284" i="20" s="1"/>
  <c r="N284" i="20" s="1"/>
  <c r="P321" i="20"/>
  <c r="O321" i="20" s="1"/>
  <c r="P329" i="20"/>
  <c r="P369" i="20"/>
  <c r="P396" i="20"/>
  <c r="P404" i="20"/>
  <c r="P412" i="20"/>
  <c r="I46" i="21"/>
  <c r="P336" i="1"/>
  <c r="O330" i="1"/>
  <c r="P412" i="13"/>
  <c r="O412" i="13" s="1"/>
  <c r="P399" i="13"/>
  <c r="N399" i="13" s="1"/>
  <c r="K269" i="20"/>
  <c r="P269" i="20" s="1"/>
  <c r="K272" i="20"/>
  <c r="P272" i="20" s="1"/>
  <c r="O272" i="20" s="1"/>
  <c r="K274" i="20"/>
  <c r="P274" i="20" s="1"/>
  <c r="N274" i="20" s="1"/>
  <c r="K278" i="20"/>
  <c r="P278" i="20" s="1"/>
  <c r="N278" i="20" s="1"/>
  <c r="P327" i="20"/>
  <c r="P394" i="20"/>
  <c r="N394" i="20" s="1"/>
  <c r="P402" i="20"/>
  <c r="O402" i="20" s="1"/>
  <c r="P410" i="20"/>
  <c r="O410" i="20" s="1"/>
  <c r="Z294" i="1"/>
  <c r="Y294" i="1"/>
  <c r="Z356" i="1"/>
  <c r="Y356" i="1"/>
  <c r="Y351" i="1"/>
  <c r="Z351" i="1"/>
  <c r="Y347" i="1"/>
  <c r="Z347" i="1"/>
  <c r="P371" i="13"/>
  <c r="N371" i="13" s="1"/>
  <c r="N200" i="20"/>
  <c r="O200" i="20"/>
  <c r="H43" i="21"/>
  <c r="H44" i="21"/>
  <c r="I43" i="21"/>
  <c r="G44" i="21"/>
  <c r="U293" i="1"/>
  <c r="U355" i="1"/>
  <c r="O370" i="20"/>
  <c r="R352" i="1"/>
  <c r="M361" i="1"/>
  <c r="J426" i="13"/>
  <c r="N251" i="13"/>
  <c r="O251" i="13"/>
  <c r="Y360" i="1"/>
  <c r="U301" i="1"/>
  <c r="P380" i="13"/>
  <c r="O380" i="13" s="1"/>
  <c r="P393" i="13"/>
  <c r="O393" i="13" s="1"/>
  <c r="U297" i="1"/>
  <c r="Y296" i="1"/>
  <c r="Y345" i="1"/>
  <c r="Z306" i="1"/>
  <c r="Y306" i="1"/>
  <c r="O195" i="20"/>
  <c r="N192" i="20"/>
  <c r="O280" i="20"/>
  <c r="U291" i="1"/>
  <c r="U349" i="1"/>
  <c r="O339" i="1"/>
  <c r="P338" i="1"/>
  <c r="P406" i="13"/>
  <c r="O406" i="13" s="1"/>
  <c r="P402" i="13"/>
  <c r="N402" i="13" s="1"/>
  <c r="P398" i="13"/>
  <c r="N398" i="13" s="1"/>
  <c r="P375" i="13"/>
  <c r="N375" i="13" s="1"/>
  <c r="U300" i="1"/>
  <c r="O336" i="1"/>
  <c r="U354" i="1"/>
  <c r="P339" i="1"/>
  <c r="O338" i="1"/>
  <c r="P320" i="1"/>
  <c r="O194" i="20"/>
  <c r="O262" i="20"/>
  <c r="N262" i="20"/>
  <c r="P251" i="20"/>
  <c r="N251" i="20" s="1"/>
  <c r="K259" i="20"/>
  <c r="P259" i="20" s="1"/>
  <c r="N259" i="20" s="1"/>
  <c r="U353" i="1"/>
  <c r="K260" i="20"/>
  <c r="P260" i="20" s="1"/>
  <c r="O260" i="20" s="1"/>
  <c r="P407" i="13"/>
  <c r="P388" i="13"/>
  <c r="O388" i="13" s="1"/>
  <c r="P248" i="20"/>
  <c r="O248" i="20" s="1"/>
  <c r="K261" i="20"/>
  <c r="P261" i="20" s="1"/>
  <c r="O261" i="20" s="1"/>
  <c r="K201" i="20"/>
  <c r="P201" i="20" s="1"/>
  <c r="K205" i="20"/>
  <c r="P205" i="20" s="1"/>
  <c r="O205" i="20" s="1"/>
  <c r="K213" i="20"/>
  <c r="P213" i="20" s="1"/>
  <c r="K217" i="20"/>
  <c r="P217" i="20" s="1"/>
  <c r="K221" i="20"/>
  <c r="P221" i="20" s="1"/>
  <c r="K225" i="20"/>
  <c r="P225" i="20" s="1"/>
  <c r="K231" i="20"/>
  <c r="P231" i="20" s="1"/>
  <c r="O231" i="20" s="1"/>
  <c r="K235" i="20"/>
  <c r="P235" i="20" s="1"/>
  <c r="K239" i="20"/>
  <c r="P239" i="20" s="1"/>
  <c r="N239" i="20" s="1"/>
  <c r="K242" i="20"/>
  <c r="P242" i="20" s="1"/>
  <c r="K252" i="20"/>
  <c r="P252" i="20" s="1"/>
  <c r="O252" i="20" s="1"/>
  <c r="K255" i="20"/>
  <c r="P255" i="20" s="1"/>
  <c r="P301" i="20"/>
  <c r="O301" i="20" s="1"/>
  <c r="P309" i="20"/>
  <c r="O309" i="20" s="1"/>
  <c r="G69" i="21"/>
  <c r="I69" i="21" s="1"/>
  <c r="J69" i="21" s="1"/>
  <c r="O69" i="21" s="1"/>
  <c r="Q69" i="21" s="1"/>
  <c r="S69" i="21" s="1"/>
  <c r="G60" i="21"/>
  <c r="I60" i="21" s="1"/>
  <c r="J60" i="21" s="1"/>
  <c r="O60" i="21" s="1"/>
  <c r="Q60" i="21" s="1"/>
  <c r="R60" i="21" s="1"/>
  <c r="D102" i="7"/>
  <c r="D82" i="13"/>
  <c r="M92" i="13" s="1"/>
  <c r="K386" i="13"/>
  <c r="P386" i="13" s="1"/>
  <c r="O386" i="13" s="1"/>
  <c r="K382" i="13"/>
  <c r="P382" i="13" s="1"/>
  <c r="O382" i="13" s="1"/>
  <c r="K372" i="13"/>
  <c r="P372" i="13" s="1"/>
  <c r="N372" i="13" s="1"/>
  <c r="K368" i="13"/>
  <c r="P368" i="13" s="1"/>
  <c r="N368" i="13" s="1"/>
  <c r="K365" i="13"/>
  <c r="P365" i="13" s="1"/>
  <c r="N365" i="13" s="1"/>
  <c r="K361" i="13"/>
  <c r="P361" i="13" s="1"/>
  <c r="N361" i="13" s="1"/>
  <c r="K357" i="13"/>
  <c r="P357" i="13" s="1"/>
  <c r="K338" i="13"/>
  <c r="P338" i="13" s="1"/>
  <c r="N338" i="13" s="1"/>
  <c r="K328" i="13"/>
  <c r="P328" i="13" s="1"/>
  <c r="O328" i="13" s="1"/>
  <c r="K325" i="13"/>
  <c r="P325" i="13" s="1"/>
  <c r="N325" i="13" s="1"/>
  <c r="K323" i="13"/>
  <c r="P323" i="13" s="1"/>
  <c r="N323" i="13" s="1"/>
  <c r="K319" i="13"/>
  <c r="P319" i="13" s="1"/>
  <c r="N319" i="13" s="1"/>
  <c r="K317" i="13"/>
  <c r="P317" i="13" s="1"/>
  <c r="O317" i="13" s="1"/>
  <c r="K311" i="13"/>
  <c r="P311" i="13" s="1"/>
  <c r="O311" i="13" s="1"/>
  <c r="K305" i="13"/>
  <c r="P305" i="13" s="1"/>
  <c r="N305" i="13" s="1"/>
  <c r="P300" i="13"/>
  <c r="N300" i="13" s="1"/>
  <c r="K296" i="13"/>
  <c r="P296" i="13" s="1"/>
  <c r="O296" i="13" s="1"/>
  <c r="K280" i="13"/>
  <c r="P280" i="13" s="1"/>
  <c r="N280" i="13" s="1"/>
  <c r="K261" i="13"/>
  <c r="P261" i="13" s="1"/>
  <c r="N261" i="13" s="1"/>
  <c r="K259" i="13"/>
  <c r="P259" i="13" s="1"/>
  <c r="O259" i="13" s="1"/>
  <c r="K289" i="13"/>
  <c r="P289" i="13" s="1"/>
  <c r="O289" i="13" s="1"/>
  <c r="G4" i="21"/>
  <c r="I4" i="21" s="1"/>
  <c r="J4" i="21" s="1"/>
  <c r="O4" i="21" s="1"/>
  <c r="Q4" i="21" s="1"/>
  <c r="P372" i="20"/>
  <c r="P374" i="20"/>
  <c r="O374" i="20" s="1"/>
  <c r="P376" i="20"/>
  <c r="P378" i="20"/>
  <c r="N378" i="20" s="1"/>
  <c r="P380" i="20"/>
  <c r="O380" i="20" s="1"/>
  <c r="P382" i="20"/>
  <c r="P384" i="20"/>
  <c r="P386" i="20"/>
  <c r="P388" i="20"/>
  <c r="O388" i="20" s="1"/>
  <c r="P390" i="20"/>
  <c r="P392" i="20"/>
  <c r="P418" i="20"/>
  <c r="N418" i="20" s="1"/>
  <c r="K391" i="13"/>
  <c r="P391" i="13" s="1"/>
  <c r="K379" i="13"/>
  <c r="P379" i="13" s="1"/>
  <c r="O379" i="13" s="1"/>
  <c r="K331" i="13"/>
  <c r="P331" i="13" s="1"/>
  <c r="O331" i="13" s="1"/>
  <c r="K310" i="13"/>
  <c r="P310" i="13" s="1"/>
  <c r="K272" i="13"/>
  <c r="P272" i="13" s="1"/>
  <c r="N272" i="13" s="1"/>
  <c r="K254" i="13"/>
  <c r="P254" i="13" s="1"/>
  <c r="O254" i="13" s="1"/>
  <c r="K250" i="13"/>
  <c r="P250" i="13" s="1"/>
  <c r="K295" i="13"/>
  <c r="P295" i="13" s="1"/>
  <c r="N295" i="13" s="1"/>
  <c r="K293" i="13"/>
  <c r="P293" i="13" s="1"/>
  <c r="O293" i="13" s="1"/>
  <c r="K286" i="13"/>
  <c r="P286" i="13" s="1"/>
  <c r="N286" i="13" s="1"/>
  <c r="K204" i="20"/>
  <c r="P204" i="20" s="1"/>
  <c r="O204" i="20" s="1"/>
  <c r="K208" i="20"/>
  <c r="P208" i="20" s="1"/>
  <c r="N208" i="20" s="1"/>
  <c r="K212" i="20"/>
  <c r="P212" i="20" s="1"/>
  <c r="O212" i="20" s="1"/>
  <c r="K216" i="20"/>
  <c r="P216" i="20" s="1"/>
  <c r="N216" i="20" s="1"/>
  <c r="K220" i="20"/>
  <c r="P220" i="20" s="1"/>
  <c r="K224" i="20"/>
  <c r="P224" i="20" s="1"/>
  <c r="K230" i="20"/>
  <c r="P230" i="20" s="1"/>
  <c r="O230" i="20" s="1"/>
  <c r="K234" i="20"/>
  <c r="P234" i="20" s="1"/>
  <c r="O234" i="20" s="1"/>
  <c r="K238" i="20"/>
  <c r="P238" i="20" s="1"/>
  <c r="K241" i="20"/>
  <c r="P241" i="20" s="1"/>
  <c r="K245" i="20"/>
  <c r="P245" i="20" s="1"/>
  <c r="N245" i="20" s="1"/>
  <c r="K256" i="20"/>
  <c r="P256" i="20" s="1"/>
  <c r="K267" i="20"/>
  <c r="P267" i="20" s="1"/>
  <c r="N267" i="20" s="1"/>
  <c r="K276" i="20"/>
  <c r="P276" i="20" s="1"/>
  <c r="N276" i="20" s="1"/>
  <c r="K392" i="13"/>
  <c r="P392" i="13" s="1"/>
  <c r="O392" i="13" s="1"/>
  <c r="K378" i="13"/>
  <c r="P378" i="13" s="1"/>
  <c r="K370" i="13"/>
  <c r="P370" i="13" s="1"/>
  <c r="O370" i="13" s="1"/>
  <c r="K363" i="13"/>
  <c r="P363" i="13" s="1"/>
  <c r="N363" i="13" s="1"/>
  <c r="K359" i="13"/>
  <c r="P359" i="13" s="1"/>
  <c r="O359" i="13" s="1"/>
  <c r="P327" i="13"/>
  <c r="O327" i="13" s="1"/>
  <c r="K321" i="13"/>
  <c r="P321" i="13" s="1"/>
  <c r="O321" i="13" s="1"/>
  <c r="P307" i="13"/>
  <c r="O307" i="13" s="1"/>
  <c r="P263" i="13"/>
  <c r="O263" i="13" s="1"/>
  <c r="P247" i="13"/>
  <c r="O247" i="13" s="1"/>
  <c r="O256" i="13"/>
  <c r="K387" i="13"/>
  <c r="P387" i="13" s="1"/>
  <c r="K339" i="13"/>
  <c r="P339" i="13" s="1"/>
  <c r="K336" i="13"/>
  <c r="P336" i="13" s="1"/>
  <c r="O336" i="13" s="1"/>
  <c r="K324" i="13"/>
  <c r="P324" i="13" s="1"/>
  <c r="O324" i="13" s="1"/>
  <c r="K318" i="13"/>
  <c r="P318" i="13" s="1"/>
  <c r="K312" i="13"/>
  <c r="P312" i="13" s="1"/>
  <c r="N312" i="13" s="1"/>
  <c r="K270" i="13"/>
  <c r="P270" i="13" s="1"/>
  <c r="O270" i="13" s="1"/>
  <c r="K260" i="13"/>
  <c r="P260" i="13" s="1"/>
  <c r="N35" i="21"/>
  <c r="N334" i="20"/>
  <c r="G67" i="21"/>
  <c r="I67" i="21" s="1"/>
  <c r="J67" i="21" s="1"/>
  <c r="O67" i="21" s="1"/>
  <c r="Q67" i="21" s="1"/>
  <c r="S67" i="21" s="1"/>
  <c r="O336" i="20"/>
  <c r="D200" i="13"/>
  <c r="O79" i="21"/>
  <c r="O75" i="21"/>
  <c r="P75" i="21" s="1"/>
  <c r="R90" i="21" s="1"/>
  <c r="J17" i="13"/>
  <c r="N263" i="20"/>
  <c r="O278" i="13"/>
  <c r="N348" i="20"/>
  <c r="N364" i="20"/>
  <c r="O332" i="20"/>
  <c r="G64" i="21"/>
  <c r="I64" i="21" s="1"/>
  <c r="J64" i="21" s="1"/>
  <c r="O64" i="21" s="1"/>
  <c r="Q64" i="21" s="1"/>
  <c r="S64" i="21" s="1"/>
  <c r="N356" i="20"/>
  <c r="G66" i="21"/>
  <c r="I66" i="21" s="1"/>
  <c r="J66" i="21" s="1"/>
  <c r="O66" i="21" s="1"/>
  <c r="Q66" i="21" s="1"/>
  <c r="R66" i="21" s="1"/>
  <c r="O318" i="20"/>
  <c r="N360" i="20"/>
  <c r="J77" i="13"/>
  <c r="O395" i="20"/>
  <c r="O288" i="20"/>
  <c r="O302" i="20"/>
  <c r="O324" i="20"/>
  <c r="N397" i="20"/>
  <c r="N333" i="20"/>
  <c r="O285" i="20"/>
  <c r="O283" i="13"/>
  <c r="O316" i="13"/>
  <c r="N284" i="13"/>
  <c r="O313" i="13"/>
  <c r="N210" i="20"/>
  <c r="N341" i="20"/>
  <c r="O350" i="20"/>
  <c r="O312" i="20"/>
  <c r="O296" i="20"/>
  <c r="N214" i="20"/>
  <c r="N264" i="13"/>
  <c r="N285" i="13"/>
  <c r="O390" i="13"/>
  <c r="O413" i="13"/>
  <c r="O409" i="20"/>
  <c r="N403" i="20"/>
  <c r="O393" i="20"/>
  <c r="P226" i="13"/>
  <c r="N306" i="13"/>
  <c r="O265" i="13"/>
  <c r="N416" i="13"/>
  <c r="O302" i="13"/>
  <c r="O383" i="20"/>
  <c r="F90" i="21"/>
  <c r="N409" i="13"/>
  <c r="O403" i="13"/>
  <c r="N276" i="13"/>
  <c r="O288" i="13"/>
  <c r="O210" i="20"/>
  <c r="O339" i="20"/>
  <c r="H96" i="21"/>
  <c r="O308" i="20"/>
  <c r="N308" i="20"/>
  <c r="P232" i="13"/>
  <c r="N379" i="20"/>
  <c r="N291" i="20"/>
  <c r="N338" i="20"/>
  <c r="O338" i="20"/>
  <c r="O368" i="20"/>
  <c r="N368" i="20"/>
  <c r="O266" i="13"/>
  <c r="N266" i="13"/>
  <c r="N307" i="13"/>
  <c r="K102" i="7"/>
  <c r="O80" i="21"/>
  <c r="P80" i="21" s="1"/>
  <c r="R95" i="21" s="1"/>
  <c r="O76" i="21"/>
  <c r="G13" i="21"/>
  <c r="I13" i="21" s="1"/>
  <c r="J13" i="21" s="1"/>
  <c r="O13" i="21" s="1"/>
  <c r="Q13" i="21" s="1"/>
  <c r="R13" i="21" s="1"/>
  <c r="O367" i="20"/>
  <c r="N218" i="20"/>
  <c r="P231" i="13"/>
  <c r="P78" i="21"/>
  <c r="R93" i="21" s="1"/>
  <c r="N367" i="13"/>
  <c r="N292" i="13"/>
  <c r="N289" i="20"/>
  <c r="N206" i="20"/>
  <c r="F95" i="21"/>
  <c r="J92" i="21"/>
  <c r="L92" i="21" s="1"/>
  <c r="F92" i="21"/>
  <c r="G96" i="21"/>
  <c r="J75" i="20"/>
  <c r="J78" i="20" s="1"/>
  <c r="D78" i="20"/>
  <c r="N87" i="20" s="1"/>
  <c r="J94" i="21"/>
  <c r="L94" i="21" s="1"/>
  <c r="F94" i="21"/>
  <c r="G7" i="21"/>
  <c r="I7" i="21" s="1"/>
  <c r="J7" i="21" s="1"/>
  <c r="O7" i="21" s="1"/>
  <c r="Q7" i="21" s="1"/>
  <c r="R7" i="21" s="1"/>
  <c r="G8" i="21"/>
  <c r="I8" i="21" s="1"/>
  <c r="J8" i="21" s="1"/>
  <c r="O8" i="21" s="1"/>
  <c r="Q8" i="21" s="1"/>
  <c r="N364" i="13"/>
  <c r="N27" i="21"/>
  <c r="H19" i="13"/>
  <c r="I7" i="13"/>
  <c r="J7" i="13" s="1"/>
  <c r="N407" i="20"/>
  <c r="G6" i="21"/>
  <c r="I6" i="21" s="1"/>
  <c r="J6" i="21" s="1"/>
  <c r="O6" i="21" s="1"/>
  <c r="Q6" i="21" s="1"/>
  <c r="F93" i="21"/>
  <c r="N381" i="20"/>
  <c r="O381" i="20"/>
  <c r="G12" i="21"/>
  <c r="I12" i="21" s="1"/>
  <c r="J12" i="21" s="1"/>
  <c r="O12" i="21" s="1"/>
  <c r="Q12" i="21" s="1"/>
  <c r="L311" i="1"/>
  <c r="M311" i="1" s="1"/>
  <c r="Q311" i="1"/>
  <c r="I10" i="13"/>
  <c r="J10" i="13" s="1"/>
  <c r="O405" i="13"/>
  <c r="O343" i="13"/>
  <c r="N343" i="13"/>
  <c r="O226" i="20"/>
  <c r="G11" i="21"/>
  <c r="I11" i="21" s="1"/>
  <c r="J11" i="21" s="1"/>
  <c r="O11" i="21" s="1"/>
  <c r="Q11" i="21" s="1"/>
  <c r="O374" i="13"/>
  <c r="N374" i="13"/>
  <c r="D233" i="13"/>
  <c r="J230" i="13"/>
  <c r="P230" i="13" s="1"/>
  <c r="J187" i="13"/>
  <c r="E19" i="13"/>
  <c r="L90" i="21"/>
  <c r="G15" i="21"/>
  <c r="I15" i="21" s="1"/>
  <c r="J15" i="21" s="1"/>
  <c r="O15" i="21" s="1"/>
  <c r="Q15" i="21" s="1"/>
  <c r="N287" i="13"/>
  <c r="O287" i="13"/>
  <c r="N299" i="20"/>
  <c r="O299" i="20"/>
  <c r="N309" i="13"/>
  <c r="O309" i="13"/>
  <c r="N286" i="20"/>
  <c r="O286" i="20"/>
  <c r="N290" i="20"/>
  <c r="O290" i="20"/>
  <c r="G59" i="21"/>
  <c r="I59" i="21" s="1"/>
  <c r="J59" i="21" s="1"/>
  <c r="O59" i="21" s="1"/>
  <c r="Q59" i="21" s="1"/>
  <c r="G65" i="21"/>
  <c r="I65" i="21" s="1"/>
  <c r="J65" i="21" s="1"/>
  <c r="O65" i="21" s="1"/>
  <c r="Q65" i="21" s="1"/>
  <c r="R65" i="21" s="1"/>
  <c r="G68" i="21"/>
  <c r="I68" i="21" s="1"/>
  <c r="J68" i="21" s="1"/>
  <c r="O68" i="21" s="1"/>
  <c r="Q68" i="21" s="1"/>
  <c r="R68" i="21" s="1"/>
  <c r="G61" i="21"/>
  <c r="I61" i="21" s="1"/>
  <c r="J61" i="21" s="1"/>
  <c r="O61" i="21" s="1"/>
  <c r="Q61" i="21" s="1"/>
  <c r="R61" i="21" s="1"/>
  <c r="N415" i="20"/>
  <c r="O335" i="20"/>
  <c r="O275" i="13"/>
  <c r="N275" i="13"/>
  <c r="N281" i="20"/>
  <c r="O281" i="20"/>
  <c r="N222" i="20"/>
  <c r="O222" i="20"/>
  <c r="O262" i="13"/>
  <c r="N262" i="13"/>
  <c r="N268" i="13"/>
  <c r="O322" i="13"/>
  <c r="N322" i="13"/>
  <c r="O337" i="20"/>
  <c r="N337" i="20"/>
  <c r="O344" i="20"/>
  <c r="N344" i="20"/>
  <c r="O383" i="13"/>
  <c r="N301" i="13"/>
  <c r="O301" i="13"/>
  <c r="N293" i="20"/>
  <c r="O293" i="20"/>
  <c r="O300" i="20"/>
  <c r="N300" i="20"/>
  <c r="O352" i="20"/>
  <c r="N352" i="20"/>
  <c r="O401" i="13"/>
  <c r="O329" i="13"/>
  <c r="N329" i="13"/>
  <c r="O394" i="13"/>
  <c r="N394" i="13"/>
  <c r="N283" i="20"/>
  <c r="O317" i="20"/>
  <c r="O323" i="20"/>
  <c r="E96" i="21"/>
  <c r="I96" i="21"/>
  <c r="N258" i="20"/>
  <c r="O82" i="13"/>
  <c r="P82" i="13" s="1"/>
  <c r="O334" i="13"/>
  <c r="N273" i="13"/>
  <c r="S82" i="13"/>
  <c r="T82" i="13" s="1"/>
  <c r="N250" i="20"/>
  <c r="O229" i="20"/>
  <c r="O347" i="20"/>
  <c r="D96" i="21"/>
  <c r="O313" i="20"/>
  <c r="O373" i="20"/>
  <c r="O252" i="13"/>
  <c r="N252" i="13"/>
  <c r="N369" i="13"/>
  <c r="O369" i="13"/>
  <c r="O64" i="14"/>
  <c r="P64" i="14" s="1"/>
  <c r="N337" i="13"/>
  <c r="O337" i="13"/>
  <c r="O357" i="13"/>
  <c r="O281" i="13"/>
  <c r="N281" i="13"/>
  <c r="O304" i="13"/>
  <c r="N304" i="13"/>
  <c r="O315" i="13"/>
  <c r="N315" i="13"/>
  <c r="O279" i="13"/>
  <c r="N279" i="13"/>
  <c r="T79" i="13"/>
  <c r="J78" i="14"/>
  <c r="O343" i="20"/>
  <c r="N320" i="13"/>
  <c r="O320" i="13"/>
  <c r="K91" i="21"/>
  <c r="L91" i="21" s="1"/>
  <c r="F91" i="21"/>
  <c r="O264" i="20"/>
  <c r="N264" i="20"/>
  <c r="N381" i="13"/>
  <c r="O397" i="13"/>
  <c r="O366" i="13"/>
  <c r="N330" i="13"/>
  <c r="O353" i="20"/>
  <c r="N353" i="20"/>
  <c r="O399" i="20"/>
  <c r="N399" i="20"/>
  <c r="N398" i="20"/>
  <c r="O398" i="20"/>
  <c r="N361" i="20"/>
  <c r="O361" i="20"/>
  <c r="F45" i="21"/>
  <c r="J45" i="21"/>
  <c r="L45" i="21" s="1"/>
  <c r="O375" i="20"/>
  <c r="N375" i="20"/>
  <c r="N282" i="20"/>
  <c r="O282" i="20"/>
  <c r="O233" i="20"/>
  <c r="N233" i="20"/>
  <c r="O361" i="13"/>
  <c r="K95" i="21"/>
  <c r="L95" i="21" s="1"/>
  <c r="H46" i="21"/>
  <c r="O200" i="13"/>
  <c r="O209" i="13" s="1"/>
  <c r="S209" i="13" s="1"/>
  <c r="O376" i="13"/>
  <c r="N376" i="13"/>
  <c r="O384" i="13"/>
  <c r="N384" i="13"/>
  <c r="O297" i="13"/>
  <c r="N297" i="13"/>
  <c r="N341" i="13"/>
  <c r="O341" i="13"/>
  <c r="O335" i="13"/>
  <c r="N335" i="13"/>
  <c r="N358" i="13"/>
  <c r="O358" i="13"/>
  <c r="O332" i="13"/>
  <c r="N332" i="13"/>
  <c r="O413" i="20"/>
  <c r="N413" i="20"/>
  <c r="Q82" i="13"/>
  <c r="N321" i="20"/>
  <c r="O271" i="13"/>
  <c r="N271" i="13"/>
  <c r="N257" i="13"/>
  <c r="O257" i="13"/>
  <c r="O274" i="13"/>
  <c r="N360" i="13"/>
  <c r="O360" i="13"/>
  <c r="R75" i="13"/>
  <c r="O340" i="13"/>
  <c r="O308" i="13"/>
  <c r="D78" i="14"/>
  <c r="N385" i="13"/>
  <c r="O269" i="13"/>
  <c r="O299" i="13"/>
  <c r="N277" i="13"/>
  <c r="O277" i="13"/>
  <c r="O373" i="13"/>
  <c r="N373" i="13"/>
  <c r="O283" i="20"/>
  <c r="N298" i="20"/>
  <c r="O405" i="20"/>
  <c r="N405" i="20"/>
  <c r="N298" i="13"/>
  <c r="O298" i="13"/>
  <c r="N261" i="20"/>
  <c r="N314" i="20"/>
  <c r="O314" i="20"/>
  <c r="N316" i="20"/>
  <c r="O316" i="20"/>
  <c r="N330" i="20"/>
  <c r="O330" i="20"/>
  <c r="O340" i="20"/>
  <c r="N340" i="20"/>
  <c r="J42" i="21"/>
  <c r="F42" i="21"/>
  <c r="G9" i="21"/>
  <c r="I9" i="21" s="1"/>
  <c r="J9" i="21" s="1"/>
  <c r="O9" i="21" s="1"/>
  <c r="Q9" i="21" s="1"/>
  <c r="G14" i="21"/>
  <c r="I14" i="21" s="1"/>
  <c r="J14" i="21" s="1"/>
  <c r="O14" i="21" s="1"/>
  <c r="Q14" i="21" s="1"/>
  <c r="H47" i="21"/>
  <c r="I47" i="21"/>
  <c r="K31" i="21"/>
  <c r="F36" i="21"/>
  <c r="G10" i="21"/>
  <c r="I10" i="21" s="1"/>
  <c r="J10" i="21" s="1"/>
  <c r="O10" i="21" s="1"/>
  <c r="Q10" i="21" s="1"/>
  <c r="G5" i="21"/>
  <c r="I5" i="21" s="1"/>
  <c r="J5" i="21" s="1"/>
  <c r="O5" i="21" s="1"/>
  <c r="Q5" i="21" s="1"/>
  <c r="N351" i="20"/>
  <c r="N389" i="20"/>
  <c r="O315" i="20"/>
  <c r="N315" i="20"/>
  <c r="N297" i="20"/>
  <c r="O297" i="20"/>
  <c r="N295" i="20"/>
  <c r="O295" i="20"/>
  <c r="N417" i="13"/>
  <c r="O417" i="13"/>
  <c r="N306" i="20"/>
  <c r="O306" i="20"/>
  <c r="N333" i="13"/>
  <c r="O305" i="20"/>
  <c r="N345" i="20"/>
  <c r="N322" i="20"/>
  <c r="O319" i="20"/>
  <c r="N319" i="20"/>
  <c r="O202" i="20"/>
  <c r="O325" i="20"/>
  <c r="O303" i="20"/>
  <c r="N303" i="20"/>
  <c r="O287" i="20"/>
  <c r="N287" i="20"/>
  <c r="O292" i="20"/>
  <c r="N292" i="20"/>
  <c r="J13" i="13"/>
  <c r="N304" i="20"/>
  <c r="O304" i="20"/>
  <c r="I16" i="13"/>
  <c r="J16" i="13" s="1"/>
  <c r="I12" i="13"/>
  <c r="J11" i="13"/>
  <c r="D104" i="7"/>
  <c r="O423" i="13"/>
  <c r="N424" i="13"/>
  <c r="N422" i="13"/>
  <c r="N420" i="13"/>
  <c r="O113" i="7"/>
  <c r="P110" i="7"/>
  <c r="P100" i="7"/>
  <c r="S101" i="7"/>
  <c r="T101" i="7"/>
  <c r="K110" i="7"/>
  <c r="N106" i="7"/>
  <c r="V113" i="7"/>
  <c r="S110" i="7"/>
  <c r="V110" i="7"/>
  <c r="M101" i="7"/>
  <c r="K113" i="7"/>
  <c r="J112" i="7"/>
  <c r="M104" i="7"/>
  <c r="J100" i="7"/>
  <c r="O110" i="7"/>
  <c r="M106" i="7"/>
  <c r="S105" i="7"/>
  <c r="M112" i="7"/>
  <c r="V108" i="7"/>
  <c r="M100" i="7"/>
  <c r="M108" i="7"/>
  <c r="J107" i="7"/>
  <c r="U111" i="7"/>
  <c r="J108" i="7"/>
  <c r="J102" i="7"/>
  <c r="M102" i="7"/>
  <c r="M111" i="7"/>
  <c r="L106" i="7"/>
  <c r="U100" i="7"/>
  <c r="D112" i="7"/>
  <c r="K100" i="7"/>
  <c r="J106" i="7"/>
  <c r="J105" i="7"/>
  <c r="L110" i="7"/>
  <c r="J109" i="7"/>
  <c r="J113" i="7"/>
  <c r="L108" i="7"/>
  <c r="L112" i="7"/>
  <c r="M113" i="7"/>
  <c r="J104" i="7"/>
  <c r="N113" i="7"/>
  <c r="L113" i="7"/>
  <c r="L102" i="7"/>
  <c r="M110" i="7"/>
  <c r="D103" i="7"/>
  <c r="M105" i="7"/>
  <c r="L111" i="7"/>
  <c r="K105" i="7"/>
  <c r="K112" i="7"/>
  <c r="N104" i="7"/>
  <c r="V112" i="7"/>
  <c r="S113" i="7"/>
  <c r="T111" i="7"/>
  <c r="S111" i="7"/>
  <c r="D139" i="7"/>
  <c r="D144" i="7"/>
  <c r="D136" i="7"/>
  <c r="D147" i="7"/>
  <c r="O101" i="7"/>
  <c r="V103" i="7"/>
  <c r="Q102" i="7"/>
  <c r="T108" i="7"/>
  <c r="Q100" i="7"/>
  <c r="S108" i="7"/>
  <c r="U110" i="7"/>
  <c r="M109" i="7"/>
  <c r="Q110" i="7"/>
  <c r="O105" i="7"/>
  <c r="D141" i="7"/>
  <c r="Q101" i="7"/>
  <c r="P113" i="7"/>
  <c r="D148" i="7"/>
  <c r="D142" i="7"/>
  <c r="L198" i="13"/>
  <c r="K198" i="13"/>
  <c r="Q111" i="7"/>
  <c r="P111" i="7"/>
  <c r="D143" i="7"/>
  <c r="V105" i="7"/>
  <c r="U101" i="7"/>
  <c r="N102" i="7"/>
  <c r="J111" i="7"/>
  <c r="T102" i="7"/>
  <c r="T100" i="7"/>
  <c r="N109" i="7"/>
  <c r="N112" i="7"/>
  <c r="Q112" i="7"/>
  <c r="N108" i="7"/>
  <c r="T113" i="7"/>
  <c r="O111" i="7"/>
  <c r="L107" i="7"/>
  <c r="J101" i="7"/>
  <c r="D149" i="7"/>
  <c r="V111" i="7"/>
  <c r="D137" i="7"/>
  <c r="N101" i="7"/>
  <c r="P101" i="7"/>
  <c r="D135" i="7"/>
  <c r="N111" i="7"/>
  <c r="J110" i="7"/>
  <c r="S102" i="7"/>
  <c r="P102" i="7"/>
  <c r="S100" i="7"/>
  <c r="V100" i="7"/>
  <c r="P105" i="7"/>
  <c r="S103" i="7"/>
  <c r="G99" i="7"/>
  <c r="K111" i="7"/>
  <c r="T103" i="7"/>
  <c r="Q103" i="7"/>
  <c r="U112" i="7"/>
  <c r="P112" i="7"/>
  <c r="V101" i="7"/>
  <c r="K109" i="7"/>
  <c r="K107" i="7"/>
  <c r="O100" i="7"/>
  <c r="U113" i="7"/>
  <c r="L101" i="7"/>
  <c r="T105" i="7"/>
  <c r="V102" i="7"/>
  <c r="N110" i="7"/>
  <c r="T110" i="7"/>
  <c r="Q105" i="7"/>
  <c r="U105" i="7"/>
  <c r="S112" i="7"/>
  <c r="K101" i="7"/>
  <c r="Q113" i="7"/>
  <c r="L105" i="7"/>
  <c r="L100" i="7"/>
  <c r="U108" i="7"/>
  <c r="N105" i="7"/>
  <c r="N107" i="7"/>
  <c r="U102" i="7"/>
  <c r="P108" i="7"/>
  <c r="N100" i="7"/>
  <c r="T112" i="7"/>
  <c r="K108" i="7"/>
  <c r="K106" i="7"/>
  <c r="K150" i="7"/>
  <c r="E145" i="7"/>
  <c r="I145" i="7"/>
  <c r="I150" i="7"/>
  <c r="J150" i="7"/>
  <c r="Q138" i="7"/>
  <c r="K145" i="7"/>
  <c r="L150" i="7"/>
  <c r="O150" i="7"/>
  <c r="N150" i="7"/>
  <c r="Q150" i="7"/>
  <c r="G138" i="7"/>
  <c r="N138" i="7"/>
  <c r="E150" i="7"/>
  <c r="J138" i="7"/>
  <c r="K138" i="7"/>
  <c r="M138" i="7"/>
  <c r="Q145" i="7"/>
  <c r="N145" i="7"/>
  <c r="O145" i="7"/>
  <c r="L138" i="7"/>
  <c r="M150" i="7"/>
  <c r="J145" i="7"/>
  <c r="H138" i="7"/>
  <c r="I138" i="7"/>
  <c r="F138" i="7"/>
  <c r="H145" i="7"/>
  <c r="E151" i="7"/>
  <c r="E138" i="7"/>
  <c r="G145" i="7"/>
  <c r="L145" i="7"/>
  <c r="H150" i="7"/>
  <c r="F150" i="7"/>
  <c r="M145" i="7"/>
  <c r="P150" i="7"/>
  <c r="O138" i="7"/>
  <c r="P138" i="7"/>
  <c r="F145" i="7"/>
  <c r="G150" i="7"/>
  <c r="P145" i="7"/>
  <c r="O36" i="21" l="1"/>
  <c r="K84" i="21"/>
  <c r="P76" i="21"/>
  <c r="R91" i="21" s="1"/>
  <c r="N32" i="21"/>
  <c r="P28" i="21"/>
  <c r="N28" i="21"/>
  <c r="P25" i="21"/>
  <c r="N25" i="21"/>
  <c r="P79" i="21"/>
  <c r="R94" i="21" s="1"/>
  <c r="P77" i="21"/>
  <c r="R92" i="21" s="1"/>
  <c r="N31" i="21"/>
  <c r="N33" i="21"/>
  <c r="P33" i="21"/>
  <c r="M36" i="21"/>
  <c r="P83" i="21"/>
  <c r="R62" i="21"/>
  <c r="N272" i="20"/>
  <c r="O314" i="13"/>
  <c r="O394" i="20"/>
  <c r="K36" i="21"/>
  <c r="N342" i="13"/>
  <c r="O253" i="20"/>
  <c r="N410" i="20"/>
  <c r="O399" i="13"/>
  <c r="N366" i="20"/>
  <c r="R63" i="21"/>
  <c r="N362" i="13"/>
  <c r="L91" i="13"/>
  <c r="L90" i="13"/>
  <c r="N309" i="20"/>
  <c r="N359" i="13"/>
  <c r="O291" i="13"/>
  <c r="O207" i="20"/>
  <c r="O372" i="13"/>
  <c r="O305" i="13"/>
  <c r="N412" i="13"/>
  <c r="O300" i="13"/>
  <c r="O400" i="13"/>
  <c r="O178" i="20"/>
  <c r="P178" i="20" s="1"/>
  <c r="O358" i="20"/>
  <c r="K91" i="13"/>
  <c r="O243" i="20"/>
  <c r="O417" i="20"/>
  <c r="N327" i="13"/>
  <c r="O319" i="13"/>
  <c r="N254" i="13"/>
  <c r="N90" i="13"/>
  <c r="O375" i="13"/>
  <c r="N374" i="20"/>
  <c r="O408" i="13"/>
  <c r="N247" i="13"/>
  <c r="N234" i="20"/>
  <c r="N92" i="13"/>
  <c r="R67" i="21"/>
  <c r="O286" i="13"/>
  <c r="N270" i="13"/>
  <c r="O216" i="20"/>
  <c r="O276" i="20"/>
  <c r="O271" i="20"/>
  <c r="O274" i="20"/>
  <c r="M91" i="13"/>
  <c r="N415" i="13"/>
  <c r="N377" i="13"/>
  <c r="O266" i="20"/>
  <c r="O371" i="20"/>
  <c r="N252" i="20"/>
  <c r="N393" i="13"/>
  <c r="N328" i="13"/>
  <c r="N336" i="13"/>
  <c r="O338" i="13"/>
  <c r="N307" i="20"/>
  <c r="N400" i="20"/>
  <c r="K90" i="13"/>
  <c r="N402" i="20"/>
  <c r="N259" i="13"/>
  <c r="N396" i="13"/>
  <c r="N248" i="20"/>
  <c r="O418" i="13"/>
  <c r="N267" i="13"/>
  <c r="O278" i="20"/>
  <c r="O414" i="13"/>
  <c r="N349" i="20"/>
  <c r="N231" i="20"/>
  <c r="N91" i="13"/>
  <c r="N244" i="20"/>
  <c r="N310" i="20"/>
  <c r="O368" i="13"/>
  <c r="N357" i="20"/>
  <c r="N401" i="20"/>
  <c r="N326" i="20"/>
  <c r="O267" i="20"/>
  <c r="N204" i="20"/>
  <c r="I48" i="21"/>
  <c r="M90" i="13"/>
  <c r="K92" i="13"/>
  <c r="N379" i="13"/>
  <c r="L92" i="13"/>
  <c r="J82" i="13"/>
  <c r="G48" i="21"/>
  <c r="N406" i="20"/>
  <c r="N205" i="20"/>
  <c r="O323" i="13"/>
  <c r="N388" i="13"/>
  <c r="O174" i="20"/>
  <c r="P174" i="20" s="1"/>
  <c r="N236" i="20"/>
  <c r="O342" i="20"/>
  <c r="N293" i="13"/>
  <c r="N392" i="13"/>
  <c r="O355" i="20"/>
  <c r="N395" i="13"/>
  <c r="O172" i="20"/>
  <c r="P172" i="20" s="1"/>
  <c r="O77" i="20"/>
  <c r="P77" i="20" s="1"/>
  <c r="O251" i="20"/>
  <c r="O363" i="13"/>
  <c r="N380" i="13"/>
  <c r="N240" i="20"/>
  <c r="O303" i="13"/>
  <c r="O402" i="13"/>
  <c r="N411" i="13"/>
  <c r="O284" i="20"/>
  <c r="O75" i="20"/>
  <c r="P75" i="20" s="1"/>
  <c r="O177" i="20"/>
  <c r="P177" i="20" s="1"/>
  <c r="N416" i="20"/>
  <c r="O294" i="13"/>
  <c r="N294" i="13"/>
  <c r="N294" i="20"/>
  <c r="S60" i="21"/>
  <c r="O280" i="13"/>
  <c r="N311" i="13"/>
  <c r="O295" i="13"/>
  <c r="O232" i="20"/>
  <c r="N232" i="20"/>
  <c r="O325" i="13"/>
  <c r="O408" i="20"/>
  <c r="O371" i="13"/>
  <c r="N331" i="20"/>
  <c r="O418" i="20"/>
  <c r="O239" i="20"/>
  <c r="N414" i="20"/>
  <c r="O414" i="20"/>
  <c r="N363" i="20"/>
  <c r="O363" i="20"/>
  <c r="Y350" i="1"/>
  <c r="Z350" i="1"/>
  <c r="Z359" i="1"/>
  <c r="Y359" i="1"/>
  <c r="Y298" i="1"/>
  <c r="Z298" i="1"/>
  <c r="N327" i="20"/>
  <c r="O327" i="20"/>
  <c r="O269" i="20"/>
  <c r="N269" i="20"/>
  <c r="O396" i="20"/>
  <c r="N396" i="20"/>
  <c r="O377" i="20"/>
  <c r="N377" i="20"/>
  <c r="Y346" i="1"/>
  <c r="Z346" i="1"/>
  <c r="N203" i="20"/>
  <c r="R69" i="21"/>
  <c r="O209" i="20"/>
  <c r="S65" i="21"/>
  <c r="O219" i="20"/>
  <c r="N369" i="20"/>
  <c r="O369" i="20"/>
  <c r="O277" i="20"/>
  <c r="N277" i="20"/>
  <c r="O215" i="20"/>
  <c r="N215" i="20"/>
  <c r="O365" i="20"/>
  <c r="O173" i="20"/>
  <c r="P173" i="20" s="1"/>
  <c r="N321" i="13"/>
  <c r="O141" i="20"/>
  <c r="P141" i="20" s="1"/>
  <c r="N370" i="13"/>
  <c r="O365" i="13"/>
  <c r="N247" i="20"/>
  <c r="N296" i="13"/>
  <c r="N406" i="13"/>
  <c r="N260" i="20"/>
  <c r="O149" i="20"/>
  <c r="P149" i="20" s="1"/>
  <c r="N404" i="13"/>
  <c r="N289" i="13"/>
  <c r="N386" i="13"/>
  <c r="O65" i="14"/>
  <c r="P65" i="14" s="1"/>
  <c r="O76" i="20"/>
  <c r="P76" i="20" s="1"/>
  <c r="Z303" i="1"/>
  <c r="N412" i="20"/>
  <c r="O412" i="20"/>
  <c r="O329" i="20"/>
  <c r="N329" i="20"/>
  <c r="O227" i="20"/>
  <c r="N227" i="20"/>
  <c r="O211" i="20"/>
  <c r="N211" i="20"/>
  <c r="O391" i="20"/>
  <c r="N391" i="20"/>
  <c r="Z305" i="1"/>
  <c r="Y305" i="1"/>
  <c r="N324" i="13"/>
  <c r="N317" i="13"/>
  <c r="O404" i="20"/>
  <c r="N404" i="20"/>
  <c r="N268" i="20"/>
  <c r="O268" i="20"/>
  <c r="N223" i="20"/>
  <c r="O223" i="20"/>
  <c r="O290" i="13"/>
  <c r="N290" i="13"/>
  <c r="O385" i="20"/>
  <c r="N385" i="20"/>
  <c r="N410" i="13"/>
  <c r="O410" i="13"/>
  <c r="O339" i="13"/>
  <c r="N339" i="13"/>
  <c r="O391" i="13"/>
  <c r="N391" i="13"/>
  <c r="O372" i="20"/>
  <c r="N372" i="20"/>
  <c r="Y293" i="1"/>
  <c r="Z293" i="1"/>
  <c r="O312" i="13"/>
  <c r="O176" i="20"/>
  <c r="P176" i="20" s="1"/>
  <c r="O272" i="13"/>
  <c r="N387" i="13"/>
  <c r="O387" i="13"/>
  <c r="O224" i="20"/>
  <c r="N224" i="20"/>
  <c r="N310" i="13"/>
  <c r="O310" i="13"/>
  <c r="N386" i="20"/>
  <c r="O386" i="20"/>
  <c r="O201" i="20"/>
  <c r="N201" i="20"/>
  <c r="O407" i="13"/>
  <c r="N407" i="13"/>
  <c r="N88" i="20"/>
  <c r="N301" i="20"/>
  <c r="O171" i="20"/>
  <c r="P171" i="20" s="1"/>
  <c r="K426" i="13"/>
  <c r="P426" i="13"/>
  <c r="N275" i="20"/>
  <c r="N230" i="20"/>
  <c r="L87" i="20"/>
  <c r="N388" i="20"/>
  <c r="K88" i="20"/>
  <c r="N382" i="13"/>
  <c r="N357" i="13"/>
  <c r="O261" i="13"/>
  <c r="N380" i="20"/>
  <c r="O245" i="20"/>
  <c r="N212" i="20"/>
  <c r="O398" i="13"/>
  <c r="O259" i="20"/>
  <c r="N260" i="13"/>
  <c r="O260" i="13"/>
  <c r="N238" i="20"/>
  <c r="O238" i="20"/>
  <c r="N220" i="20"/>
  <c r="O220" i="20"/>
  <c r="O250" i="13"/>
  <c r="N250" i="13"/>
  <c r="N392" i="20"/>
  <c r="O392" i="20"/>
  <c r="N384" i="20"/>
  <c r="O384" i="20"/>
  <c r="O376" i="20"/>
  <c r="N376" i="20"/>
  <c r="O255" i="20"/>
  <c r="N255" i="20"/>
  <c r="N235" i="20"/>
  <c r="O235" i="20"/>
  <c r="O217" i="20"/>
  <c r="N217" i="20"/>
  <c r="Z349" i="1"/>
  <c r="Y349" i="1"/>
  <c r="U352" i="1"/>
  <c r="T352" i="1"/>
  <c r="N242" i="20"/>
  <c r="O242" i="20"/>
  <c r="N225" i="20"/>
  <c r="O225" i="20"/>
  <c r="Z353" i="1"/>
  <c r="Y353" i="1"/>
  <c r="Z297" i="1"/>
  <c r="Y297" i="1"/>
  <c r="Z301" i="1"/>
  <c r="Y301" i="1"/>
  <c r="K86" i="20"/>
  <c r="N263" i="13"/>
  <c r="N318" i="13"/>
  <c r="O318" i="13"/>
  <c r="O241" i="20"/>
  <c r="N241" i="20"/>
  <c r="N221" i="20"/>
  <c r="O221" i="20"/>
  <c r="Y354" i="1"/>
  <c r="Z354" i="1"/>
  <c r="O378" i="20"/>
  <c r="L88" i="20"/>
  <c r="O175" i="20"/>
  <c r="P175" i="20" s="1"/>
  <c r="R64" i="21"/>
  <c r="O208" i="20"/>
  <c r="N378" i="13"/>
  <c r="O378" i="13"/>
  <c r="O256" i="20"/>
  <c r="N256" i="20"/>
  <c r="N390" i="20"/>
  <c r="O390" i="20"/>
  <c r="O382" i="20"/>
  <c r="N382" i="20"/>
  <c r="O213" i="20"/>
  <c r="N213" i="20"/>
  <c r="N331" i="13"/>
  <c r="Y300" i="1"/>
  <c r="Z300" i="1"/>
  <c r="Y291" i="1"/>
  <c r="Z291" i="1"/>
  <c r="Z355" i="1"/>
  <c r="Y355" i="1"/>
  <c r="S66" i="21"/>
  <c r="O311" i="1"/>
  <c r="F96" i="21"/>
  <c r="O84" i="21"/>
  <c r="J96" i="21"/>
  <c r="S7" i="21"/>
  <c r="S68" i="21"/>
  <c r="D138" i="7"/>
  <c r="S13" i="21"/>
  <c r="O70" i="21"/>
  <c r="S61" i="21"/>
  <c r="K96" i="21"/>
  <c r="R59" i="21"/>
  <c r="S59" i="21"/>
  <c r="R11" i="21"/>
  <c r="S11" i="21"/>
  <c r="R8" i="21"/>
  <c r="S8" i="21"/>
  <c r="J233" i="13"/>
  <c r="Q70" i="21"/>
  <c r="N90" i="21" s="1"/>
  <c r="N93" i="21" s="1"/>
  <c r="R12" i="21"/>
  <c r="D46" i="21" s="1"/>
  <c r="J46" i="21" s="1"/>
  <c r="S12" i="21"/>
  <c r="L86" i="20"/>
  <c r="K87" i="20"/>
  <c r="M88" i="20"/>
  <c r="M87" i="20"/>
  <c r="N86" i="20"/>
  <c r="M86" i="20"/>
  <c r="N311" i="1"/>
  <c r="P311" i="1" s="1"/>
  <c r="S15" i="21"/>
  <c r="R15" i="21"/>
  <c r="R6" i="21"/>
  <c r="S6" i="21"/>
  <c r="I19" i="13"/>
  <c r="H48" i="21"/>
  <c r="L96" i="21"/>
  <c r="J12" i="13"/>
  <c r="J19" i="13" s="1"/>
  <c r="S14" i="21"/>
  <c r="R14" i="21"/>
  <c r="O16" i="21"/>
  <c r="S10" i="21"/>
  <c r="R10" i="21"/>
  <c r="L42" i="21"/>
  <c r="R9" i="21"/>
  <c r="S9" i="21"/>
  <c r="Q16" i="21"/>
  <c r="N42" i="21" s="1"/>
  <c r="N45" i="21" s="1"/>
  <c r="S4" i="21"/>
  <c r="R4" i="21"/>
  <c r="R82" i="13"/>
  <c r="O90" i="13"/>
  <c r="S90" i="13" s="1"/>
  <c r="R5" i="21"/>
  <c r="D43" i="21" s="1"/>
  <c r="S5" i="21"/>
  <c r="E43" i="21" s="1"/>
  <c r="D145" i="7"/>
  <c r="D123" i="7"/>
  <c r="D150" i="7"/>
  <c r="N114" i="7"/>
  <c r="H151" i="7"/>
  <c r="K114" i="7"/>
  <c r="Q114" i="7"/>
  <c r="S114" i="7"/>
  <c r="P114" i="7"/>
  <c r="J114" i="7"/>
  <c r="U114" i="7"/>
  <c r="M114" i="7"/>
  <c r="J198" i="13"/>
  <c r="J200" i="13" s="1"/>
  <c r="M198" i="13"/>
  <c r="N198" i="13"/>
  <c r="P198" i="13"/>
  <c r="L200" i="13"/>
  <c r="F151" i="7"/>
  <c r="Q151" i="7"/>
  <c r="O151" i="7"/>
  <c r="J151" i="7"/>
  <c r="K151" i="7"/>
  <c r="L114" i="7"/>
  <c r="O114" i="7"/>
  <c r="V114" i="7"/>
  <c r="T114" i="7"/>
  <c r="L151" i="7"/>
  <c r="I151" i="7"/>
  <c r="G151" i="7"/>
  <c r="P151" i="7"/>
  <c r="M151" i="7"/>
  <c r="N151" i="7"/>
  <c r="R89" i="21" l="1"/>
  <c r="P84" i="21"/>
  <c r="R45" i="21"/>
  <c r="R41" i="21" s="1"/>
  <c r="P36" i="21"/>
  <c r="S75" i="20"/>
  <c r="O78" i="20"/>
  <c r="P78" i="20" s="1"/>
  <c r="Q75" i="20"/>
  <c r="R75" i="20" s="1"/>
  <c r="Q77" i="20"/>
  <c r="R77" i="20" s="1"/>
  <c r="Q76" i="20"/>
  <c r="R76" i="20" s="1"/>
  <c r="R70" i="21"/>
  <c r="S77" i="20"/>
  <c r="T77" i="20" s="1"/>
  <c r="S76" i="20"/>
  <c r="T76" i="20" s="1"/>
  <c r="O426" i="13"/>
  <c r="N426" i="13"/>
  <c r="Y352" i="1"/>
  <c r="Z352" i="1"/>
  <c r="S70" i="21"/>
  <c r="D47" i="21"/>
  <c r="J47" i="21" s="1"/>
  <c r="E46" i="21"/>
  <c r="F46" i="21" s="1"/>
  <c r="E47" i="21"/>
  <c r="K47" i="21" s="1"/>
  <c r="T75" i="20"/>
  <c r="F43" i="21"/>
  <c r="K43" i="21"/>
  <c r="R16" i="21"/>
  <c r="D44" i="21"/>
  <c r="J44" i="21" s="1"/>
  <c r="J43" i="21"/>
  <c r="E44" i="21"/>
  <c r="S16" i="21"/>
  <c r="D151" i="7"/>
  <c r="L205" i="13"/>
  <c r="N208" i="13" s="1"/>
  <c r="L204" i="13"/>
  <c r="M208" i="13" s="1"/>
  <c r="L202" i="13"/>
  <c r="K208" i="13" s="1"/>
  <c r="L203" i="13"/>
  <c r="L208" i="13" s="1"/>
  <c r="T198" i="13"/>
  <c r="N200" i="13"/>
  <c r="R198" i="13"/>
  <c r="M200" i="13"/>
  <c r="S71" i="21" l="1"/>
  <c r="Q78" i="20"/>
  <c r="R78" i="20" s="1"/>
  <c r="L47" i="21"/>
  <c r="S78" i="20"/>
  <c r="T78" i="20" s="1"/>
  <c r="K46" i="21"/>
  <c r="L46" i="21" s="1"/>
  <c r="F47" i="21"/>
  <c r="D48" i="21"/>
  <c r="K44" i="21"/>
  <c r="F44" i="21"/>
  <c r="L43" i="21"/>
  <c r="J48" i="21"/>
  <c r="E48" i="21"/>
  <c r="S17" i="21"/>
  <c r="M203" i="13"/>
  <c r="L209" i="13" s="1"/>
  <c r="M205" i="13"/>
  <c r="N209" i="13" s="1"/>
  <c r="M202" i="13"/>
  <c r="K209" i="13" s="1"/>
  <c r="M204" i="13"/>
  <c r="M209" i="13" s="1"/>
  <c r="N203" i="13"/>
  <c r="L210" i="13" s="1"/>
  <c r="N204" i="13"/>
  <c r="M210" i="13" s="1"/>
  <c r="N202" i="13"/>
  <c r="K210" i="13" s="1"/>
  <c r="N205" i="13"/>
  <c r="N210" i="13" s="1"/>
  <c r="F48" i="21" l="1"/>
  <c r="K48" i="21"/>
  <c r="L44" i="21"/>
  <c r="L48" i="21" s="1"/>
  <c r="M49" i="22"/>
  <c r="M52" i="22"/>
  <c r="M62" i="22"/>
  <c r="M21" i="22"/>
  <c r="M44" i="22"/>
  <c r="M16" i="22"/>
  <c r="M55" i="22"/>
  <c r="M35" i="22"/>
  <c r="M60" i="22"/>
  <c r="M14" i="22"/>
  <c r="M13" i="22"/>
  <c r="M38" i="22"/>
  <c r="M7" i="22"/>
  <c r="M28" i="22"/>
  <c r="M51" i="22"/>
  <c r="M53" i="22"/>
  <c r="M15" i="22"/>
  <c r="M23" i="22"/>
  <c r="M19" i="22"/>
  <c r="M40" i="22"/>
  <c r="M12" i="22"/>
  <c r="M18" i="22"/>
  <c r="M5" i="22"/>
  <c r="M30" i="22"/>
  <c r="M45" i="22"/>
  <c r="M42" i="22"/>
  <c r="M33" i="22"/>
  <c r="M32" i="22"/>
  <c r="M36" i="22"/>
  <c r="M39" i="22"/>
  <c r="M29" i="22"/>
  <c r="M41" i="22"/>
  <c r="M50" i="22"/>
  <c r="M17" i="22"/>
  <c r="M8" i="22"/>
  <c r="M43" i="22"/>
  <c r="M47" i="22"/>
  <c r="M24" i="22"/>
  <c r="M11" i="22"/>
  <c r="M59" i="22"/>
  <c r="M57" i="22"/>
  <c r="M61" i="22"/>
  <c r="M34" i="22"/>
  <c r="M58" i="22"/>
  <c r="M26" i="22"/>
  <c r="M37" i="22"/>
  <c r="M6" i="22"/>
  <c r="M9" i="22"/>
  <c r="M22" i="22"/>
  <c r="M20" i="22"/>
  <c r="M48" i="22"/>
  <c r="M46" i="22"/>
  <c r="M31" i="22"/>
  <c r="M27" i="22"/>
  <c r="M25" i="22"/>
  <c r="M56" i="22"/>
  <c r="M54" i="22"/>
  <c r="M10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2018 MCCENTLLCMASTER.xlsm!FFTBL" type="102" refreshedVersion="8" minRefreshableVersion="5">
    <extLst>
      <ext xmlns:x15="http://schemas.microsoft.com/office/spreadsheetml/2010/11/main" uri="{DE250136-89BD-433C-8126-D09CA5730AF9}">
        <x15:connection id="FFTBL">
          <x15:rangePr sourceName="_xlcn.WorksheetConnection_2018MCCENTLLCMASTER.xlsmFFTBL1"/>
        </x15:connection>
      </ext>
    </extLst>
  </connection>
  <connection id="3" xr16:uid="{00000000-0015-0000-FFFF-FFFF02000000}" name="WorksheetConnection_2018 MCCENTLLCMASTER.xlsm!ROTATIONTBL" type="102" refreshedVersion="8" minRefreshableVersion="5">
    <extLst>
      <ext xmlns:x15="http://schemas.microsoft.com/office/spreadsheetml/2010/11/main" uri="{DE250136-89BD-433C-8126-D09CA5730AF9}">
        <x15:connection id="ROTATIONTBL" autoDelete="1">
          <x15:rangePr sourceName="_xlcn.WorksheetConnection_2018MCCENTLLCMASTER.xlsmROTATIONTBL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<sst xmlns="http://schemas.openxmlformats.org/spreadsheetml/2006/main" count="6589" uniqueCount="832">
  <si>
    <t>WHEAT CROP INSURANCE PREMIUM EXPENSE BREAKDOWN</t>
  </si>
  <si>
    <t>CLIENT</t>
  </si>
  <si>
    <t>FARM</t>
  </si>
  <si>
    <t>FIELD</t>
  </si>
  <si>
    <t>COUNTY FIELD IS LOCATED IN</t>
  </si>
  <si>
    <t>LEGAL DESCRIPTION</t>
  </si>
  <si>
    <t>TOTAL ACRES IN FIELD</t>
  </si>
  <si>
    <t>TOTAL ACRES IN COUNTY ALL OWNERS</t>
  </si>
  <si>
    <t>COUNTY PREMIUMS</t>
  </si>
  <si>
    <t>PREMIUM PER ACRE COST</t>
  </si>
  <si>
    <t>TOTAL PREMIUM ACRE COST</t>
  </si>
  <si>
    <t>DATE PREMIUM BILL WAS DUE</t>
  </si>
  <si>
    <t>DATE PREMIUM PAYMENTS CAME</t>
  </si>
  <si>
    <t>TOTAL DAYS OF INTERST</t>
  </si>
  <si>
    <t>INTEREST RATE</t>
  </si>
  <si>
    <t>TOTAL INTEREST</t>
  </si>
  <si>
    <t>INSURANCE ADMIN FEES</t>
  </si>
  <si>
    <t>TOTAL INSURANCE PREMIUM PAID</t>
  </si>
  <si>
    <t>M77AG 65% EXPENSE</t>
  </si>
  <si>
    <t>LAND LORD 35% EXPENSE</t>
  </si>
  <si>
    <t>MCC. ENT.</t>
  </si>
  <si>
    <t>LAFARMS</t>
  </si>
  <si>
    <t>10.S OURS</t>
  </si>
  <si>
    <t>12.W BAM W</t>
  </si>
  <si>
    <t>14 BAM S</t>
  </si>
  <si>
    <t>17 MULVIHILL</t>
  </si>
  <si>
    <t>KBFARMS</t>
  </si>
  <si>
    <t>23-24</t>
  </si>
  <si>
    <t>PETERSON</t>
  </si>
  <si>
    <t>32.S HIGHLAND W</t>
  </si>
  <si>
    <t>35 POLE RD SEC 14</t>
  </si>
  <si>
    <t>36 POLE SEC 15</t>
  </si>
  <si>
    <t>HDFARMS</t>
  </si>
  <si>
    <t>43.E E/2 S/4</t>
  </si>
  <si>
    <t>44.E S. TOWN</t>
  </si>
  <si>
    <t>MEFARMS</t>
  </si>
  <si>
    <t>55.S KIRBY HOUSE</t>
  </si>
  <si>
    <t>56 KIRBY SOUTH</t>
  </si>
  <si>
    <t>Total</t>
  </si>
  <si>
    <t>WHEAT CROP INSURANCE CLAIM BREAKDOWN</t>
  </si>
  <si>
    <t xml:space="preserve">FARM </t>
  </si>
  <si>
    <t>COUNTY FIELD IS LOCATED 2</t>
  </si>
  <si>
    <t>ACRES</t>
  </si>
  <si>
    <t>BUSHELS PRODUCED</t>
  </si>
  <si>
    <t>HARVEST PRICE / PLANTING PRICE USED</t>
  </si>
  <si>
    <t>AVERAGE PRODUCTION HISTORY (APH)</t>
  </si>
  <si>
    <t>PER ACRE GARAUNTEE $</t>
  </si>
  <si>
    <t>TOTAL REVENUE PROTECTION GARUANTEE</t>
  </si>
  <si>
    <t>TOTAL GARAUNTEE</t>
  </si>
  <si>
    <t>DEFICIENCY</t>
  </si>
  <si>
    <t>PER ACRE REVENUE DEFICIENCY</t>
  </si>
  <si>
    <t>TOTAL PRODUCTION$ PRODUCED</t>
  </si>
  <si>
    <t>TOTAL REVENUE DEFICIENCY</t>
  </si>
  <si>
    <t>PAYMENT FROM INSURANCE</t>
  </si>
  <si>
    <t>M77AG 65% INSURANCE PAYMENT</t>
  </si>
  <si>
    <t>LAND LORD 35% INSURANCE PAYMENT</t>
  </si>
  <si>
    <t xml:space="preserve">    27.E  NW MICHAEL</t>
  </si>
  <si>
    <t xml:space="preserve">28.W SW MICHAEL </t>
  </si>
  <si>
    <t>23.W SW PAULI</t>
  </si>
  <si>
    <t xml:space="preserve">24.W SE PAULI </t>
  </si>
  <si>
    <t>WHEATCROP INSURANCE PAYOUT TABLE TO ALL OWNERS</t>
  </si>
  <si>
    <t>FINAL TOTALS</t>
  </si>
  <si>
    <t>COUNTY FIELD IS LOCATED IN 3</t>
  </si>
  <si>
    <t>M77AG PREMIUM PAID BY M77AG</t>
  </si>
  <si>
    <t>LAND LORD PREMIUM PAID BY M77AG</t>
  </si>
  <si>
    <t>TOTAL INSURANCE PREMIUM PAID BY M77AG</t>
  </si>
  <si>
    <t>TOTAL INSURANCE PAID TO M77AG</t>
  </si>
  <si>
    <t>M77AG 65% OF PREMIUM CLAIM</t>
  </si>
  <si>
    <t>LAND LORD 35% OF INSURANCE CLAIM</t>
  </si>
  <si>
    <t>INSURANCE OWED TO M77 AG 65% AFTER PREMIUM DEDUCTED</t>
  </si>
  <si>
    <t>INSURANCE OWED TO LAND LORDS 35% PREMIUM DEDUCTED</t>
  </si>
  <si>
    <t>TOTAL INSURANCE PAID OUT PREMIUM DEDUCTED</t>
  </si>
  <si>
    <t>TOTAL INSURANCE CLAIM</t>
  </si>
  <si>
    <t>TOTAL AMOUNT WHEAT INSURANCE DIFFERENCE</t>
  </si>
  <si>
    <t>MCC. ENT</t>
  </si>
  <si>
    <t>BBIFARMS</t>
  </si>
  <si>
    <t>LOGAN</t>
  </si>
  <si>
    <t>TOTAL INSURANCE EXPENSE</t>
  </si>
  <si>
    <t>PAYMENT DEFICIENCY BY FIELD</t>
  </si>
  <si>
    <t>PHILLIPS</t>
  </si>
  <si>
    <t>A1FARMS</t>
  </si>
  <si>
    <t>TOTAL PAYOUT TO ALL OWNERS</t>
  </si>
  <si>
    <t>CORN CROP INSURANCE INFORMATION</t>
  </si>
  <si>
    <t>CORN CROP INSURANCE PREMIUM EXPENSE BREAKDOWN</t>
  </si>
  <si>
    <t>CORN CROP INSURANCE CLAIM BREAKDOWN</t>
  </si>
  <si>
    <t>COUNTY CORN IS LOCATED</t>
  </si>
  <si>
    <t>PLANTING PRICE</t>
  </si>
  <si>
    <t>HARVEST PRICE</t>
  </si>
  <si>
    <t>PER ACRE GARUNTEE $</t>
  </si>
  <si>
    <t>ACTUAL FIELD PRODUCTION</t>
  </si>
  <si>
    <t>RP GARAUNTEE - ACTUAL PRODUCTION</t>
  </si>
  <si>
    <t>CORN CROP INSURANCE PAYOUT TABLE TO ALL OWNERS</t>
  </si>
  <si>
    <t>TOTAL DIFFERENCE CORN INSURANCE</t>
  </si>
  <si>
    <t>SEDGWICK</t>
  </si>
  <si>
    <t>43 E/2 S/4</t>
  </si>
  <si>
    <t>44 S. TOWN</t>
  </si>
  <si>
    <t>45 W. TOWN</t>
  </si>
  <si>
    <t>55 KIRBY HOUSE</t>
  </si>
  <si>
    <t>55 KIRBY HOUSEB</t>
  </si>
  <si>
    <t>16.0 BIG FIELD COMBO</t>
  </si>
  <si>
    <t>FARMS</t>
  </si>
  <si>
    <t xml:space="preserve">BS </t>
  </si>
  <si>
    <t>BUILDING SITE</t>
  </si>
  <si>
    <t>CBS</t>
  </si>
  <si>
    <t>CAN'T BE SPLIT</t>
  </si>
  <si>
    <t>F</t>
  </si>
  <si>
    <t>FULL FIELD</t>
  </si>
  <si>
    <t xml:space="preserve">P </t>
  </si>
  <si>
    <t>PASTURE</t>
  </si>
  <si>
    <t>S</t>
  </si>
  <si>
    <t>SPLIT FIELD</t>
  </si>
  <si>
    <t>COMBO</t>
  </si>
  <si>
    <t>W</t>
  </si>
  <si>
    <t>WASTE</t>
  </si>
  <si>
    <t>FIELDS</t>
  </si>
  <si>
    <t>Client</t>
  </si>
  <si>
    <t>Farm</t>
  </si>
  <si>
    <t>SPLIT</t>
  </si>
  <si>
    <t>Field</t>
  </si>
  <si>
    <t>Acres</t>
  </si>
  <si>
    <t>LEGAL</t>
  </si>
  <si>
    <t>FSA FARM</t>
  </si>
  <si>
    <t>TRACT</t>
  </si>
  <si>
    <t>COUNTY</t>
  </si>
  <si>
    <t>COUNTY2</t>
  </si>
  <si>
    <t>CROSS ROADS</t>
  </si>
  <si>
    <t>INTERSECTION</t>
  </si>
  <si>
    <t>10 OURS</t>
  </si>
  <si>
    <t>NE4 2-6-47</t>
  </si>
  <si>
    <t xml:space="preserve">HARD </t>
  </si>
  <si>
    <t>11 &amp; 14</t>
  </si>
  <si>
    <t>SOUTHWEST</t>
  </si>
  <si>
    <t>10.N OURS</t>
  </si>
  <si>
    <t>BS</t>
  </si>
  <si>
    <t>1001 ROSCOE HOME</t>
  </si>
  <si>
    <t>W/4 8-9-46</t>
  </si>
  <si>
    <t>15 &amp; 4</t>
  </si>
  <si>
    <t>NORTHEAST</t>
  </si>
  <si>
    <t>P</t>
  </si>
  <si>
    <t>101   WEST L</t>
  </si>
  <si>
    <t>NE4 1-8-48</t>
  </si>
  <si>
    <t>97 &amp; 38</t>
  </si>
  <si>
    <t>102 ROSCOE BIG PAST</t>
  </si>
  <si>
    <t>E/2 7-9-46</t>
  </si>
  <si>
    <t>NORTHWEST</t>
  </si>
  <si>
    <t>102 ROSCOE HOME</t>
  </si>
  <si>
    <t>12 BAM W</t>
  </si>
  <si>
    <t>SW4 14-7-48</t>
  </si>
  <si>
    <t>93 &amp; 20</t>
  </si>
  <si>
    <t>12.E BAM W</t>
  </si>
  <si>
    <t>13 BAM  E</t>
  </si>
  <si>
    <t>SE4 14-7-48</t>
  </si>
  <si>
    <t>95 &amp; 20</t>
  </si>
  <si>
    <t>13.E BAM  E</t>
  </si>
  <si>
    <t>13.W BAM  E</t>
  </si>
  <si>
    <t>SW4 31-7-47</t>
  </si>
  <si>
    <t>1 &amp; 14</t>
  </si>
  <si>
    <t>14.N BAM S</t>
  </si>
  <si>
    <t>14.S BAM S</t>
  </si>
  <si>
    <t>SAND</t>
  </si>
  <si>
    <t>16.E BIG FIELD</t>
  </si>
  <si>
    <t>E2 7-9-46</t>
  </si>
  <si>
    <t>16.M BIG FIELD</t>
  </si>
  <si>
    <t>16.W BIG FIELD</t>
  </si>
  <si>
    <t>E2 13-9-47</t>
  </si>
  <si>
    <t>13 &amp; 4</t>
  </si>
  <si>
    <t>17.E MULVIHILL</t>
  </si>
  <si>
    <t>17.W MULVIHILL</t>
  </si>
  <si>
    <t>198 BAM E</t>
  </si>
  <si>
    <t xml:space="preserve">WASTE  </t>
  </si>
  <si>
    <t>199 BAM S</t>
  </si>
  <si>
    <t>20 NORTH</t>
  </si>
  <si>
    <t>N/2 17-6-47</t>
  </si>
  <si>
    <t>5 &amp; 10</t>
  </si>
  <si>
    <t>201  BY NEAL'S</t>
  </si>
  <si>
    <t>NW4 17-7-48</t>
  </si>
  <si>
    <t>87 &amp; 22</t>
  </si>
  <si>
    <t>SOUTHEAST</t>
  </si>
  <si>
    <t xml:space="preserve">202  SECTION </t>
  </si>
  <si>
    <t>17-6-47</t>
  </si>
  <si>
    <t>21 SMALL</t>
  </si>
  <si>
    <t>NE 17-6-47</t>
  </si>
  <si>
    <t>22 TOP HILL</t>
  </si>
  <si>
    <t>N2 17-6-47</t>
  </si>
  <si>
    <t>COM</t>
  </si>
  <si>
    <t>SW 17-6-47</t>
  </si>
  <si>
    <t xml:space="preserve">3 &amp; 8 </t>
  </si>
  <si>
    <t>23 SW PAULI</t>
  </si>
  <si>
    <t>23.E SW PAULI</t>
  </si>
  <si>
    <t>24 SE PAULI</t>
  </si>
  <si>
    <t>SE 17-6-47</t>
  </si>
  <si>
    <t>5 &amp; 8</t>
  </si>
  <si>
    <t>24.E SE PAULI</t>
  </si>
  <si>
    <t>25.C NW MICHAEL CROP</t>
  </si>
  <si>
    <t>NW13-9-47</t>
  </si>
  <si>
    <t>4&amp;11</t>
  </si>
  <si>
    <t>25.P NW MICHAEL PAST</t>
  </si>
  <si>
    <t>27 NW MICHAEL</t>
  </si>
  <si>
    <t xml:space="preserve">    27.W  NW MICHAEL</t>
  </si>
  <si>
    <t xml:space="preserve">28 SW MICHAEL </t>
  </si>
  <si>
    <t>28.E SW MICHAEL</t>
  </si>
  <si>
    <t>SW13-9-47</t>
  </si>
  <si>
    <t>2&amp;11</t>
  </si>
  <si>
    <t>29 SE MICHAEL</t>
  </si>
  <si>
    <t xml:space="preserve">29.N MICHAEL </t>
  </si>
  <si>
    <t>SE13-9-47</t>
  </si>
  <si>
    <t>2&amp;13</t>
  </si>
  <si>
    <t xml:space="preserve">29.S MICHAEL </t>
  </si>
  <si>
    <t>298 HWY HOUSE</t>
  </si>
  <si>
    <t>299 BY NEALS</t>
  </si>
  <si>
    <t xml:space="preserve">WASTE </t>
  </si>
  <si>
    <t>32 HIGHLAND W</t>
  </si>
  <si>
    <t>SW4 35-7-47</t>
  </si>
  <si>
    <t>9 &amp; 14</t>
  </si>
  <si>
    <t>32.N HIGHLAND W</t>
  </si>
  <si>
    <t>33 ORPHAS</t>
  </si>
  <si>
    <t>NE4 6-6-46</t>
  </si>
  <si>
    <t>15 &amp; 14</t>
  </si>
  <si>
    <t>33.N ORPHAS</t>
  </si>
  <si>
    <t>33.S ORPHAS</t>
  </si>
  <si>
    <t>NE 14-7-48</t>
  </si>
  <si>
    <t>93 &amp; 22</t>
  </si>
  <si>
    <t>35.E POLE RD SEC 14</t>
  </si>
  <si>
    <t>35.W POLE RD SEC 14</t>
  </si>
  <si>
    <t>NE 15-7-48</t>
  </si>
  <si>
    <t>36.E POLE RD SEC 15</t>
  </si>
  <si>
    <t>36.W POLE RD SEC 15</t>
  </si>
  <si>
    <t>4001 HQ HOME</t>
  </si>
  <si>
    <t>NW 4 8-8-47</t>
  </si>
  <si>
    <t>5 &amp; 36</t>
  </si>
  <si>
    <t>401  HOME PLACE</t>
  </si>
  <si>
    <t>41 E/4</t>
  </si>
  <si>
    <t>NE4 11-8-47</t>
  </si>
  <si>
    <t>LOAM</t>
  </si>
  <si>
    <t>11 &amp; 36</t>
  </si>
  <si>
    <t>41.E E/4</t>
  </si>
  <si>
    <t>41.W E/4</t>
  </si>
  <si>
    <t>42 E/2 N/4</t>
  </si>
  <si>
    <t>NW4 12-8-47</t>
  </si>
  <si>
    <t>42.E E/2 N/4</t>
  </si>
  <si>
    <t>42.W E/2 N/4</t>
  </si>
  <si>
    <t>SW4 12-8-47</t>
  </si>
  <si>
    <t>11 &amp; 34</t>
  </si>
  <si>
    <t>43.W  E/2 S/4</t>
  </si>
  <si>
    <t>44 S TOWN</t>
  </si>
  <si>
    <t>NE4 32-8-47</t>
  </si>
  <si>
    <t>5 &amp; 28</t>
  </si>
  <si>
    <t>44.W S. TOWN</t>
  </si>
  <si>
    <t>SW4 20-8-47</t>
  </si>
  <si>
    <t>3 &amp; 30</t>
  </si>
  <si>
    <t>46 HOME W</t>
  </si>
  <si>
    <t>3 &amp; 36</t>
  </si>
  <si>
    <t>47 HOME E</t>
  </si>
  <si>
    <t>NE4 8-8-47</t>
  </si>
  <si>
    <t>499 S TOWN</t>
  </si>
  <si>
    <t>53 Dicks</t>
  </si>
  <si>
    <t>SE4 8-9-47</t>
  </si>
  <si>
    <t>5 &amp; 4</t>
  </si>
  <si>
    <t>53 DICKS N</t>
  </si>
  <si>
    <t>53 DICKS S</t>
  </si>
  <si>
    <t>54 PAULS</t>
  </si>
  <si>
    <t>SW 33-7-46</t>
  </si>
  <si>
    <t>17 &amp; 14</t>
  </si>
  <si>
    <t>54.N PAULS</t>
  </si>
  <si>
    <t>54.S PAULS</t>
  </si>
  <si>
    <t>NE 20-8-47</t>
  </si>
  <si>
    <t>5 &amp; 32</t>
  </si>
  <si>
    <t>55.N KIRBY HOUSE</t>
  </si>
  <si>
    <t>NW 29-7-47</t>
  </si>
  <si>
    <t>3 &amp; 18</t>
  </si>
  <si>
    <t>56.E KIRBY SOUTH</t>
  </si>
  <si>
    <t>56.W KIRBY SOUTH</t>
  </si>
  <si>
    <t xml:space="preserve">599 PAULS </t>
  </si>
  <si>
    <t>60 DAILEYRD</t>
  </si>
  <si>
    <t>NE4 28-7-48</t>
  </si>
  <si>
    <t>91 &amp; 18</t>
  </si>
  <si>
    <t>60.W DAILEYRD</t>
  </si>
  <si>
    <t>60.E DAILEYRD</t>
  </si>
  <si>
    <t>61 HIGHLAND E</t>
  </si>
  <si>
    <t>SE4 35-7-47</t>
  </si>
  <si>
    <t>61.N HIGHLAND E</t>
  </si>
  <si>
    <t>61.S HIGHLAND E</t>
  </si>
  <si>
    <t>CROP</t>
  </si>
  <si>
    <t>CORN</t>
  </si>
  <si>
    <t>FALL GRAZED</t>
  </si>
  <si>
    <t>FALLOW</t>
  </si>
  <si>
    <t>FORG/ WHEAT</t>
  </si>
  <si>
    <t>GOLDEN GERMAN</t>
  </si>
  <si>
    <t>OAT/WHEAT</t>
  </si>
  <si>
    <t>PEARL MILLET</t>
  </si>
  <si>
    <t>PROSO MILLET</t>
  </si>
  <si>
    <t>SORGHUM</t>
  </si>
  <si>
    <t>SORGHUM SUDAN</t>
  </si>
  <si>
    <t>SPRING GRAZED</t>
  </si>
  <si>
    <t>TRITICALE</t>
  </si>
  <si>
    <t>WHEAT</t>
  </si>
  <si>
    <t>Splits</t>
  </si>
  <si>
    <t>MCC.ENT</t>
  </si>
  <si>
    <t>LAND LORD</t>
  </si>
  <si>
    <t>SHARES</t>
  </si>
  <si>
    <t>Shareable</t>
  </si>
  <si>
    <t>MCCENT</t>
  </si>
  <si>
    <t>SEED TYPE</t>
  </si>
  <si>
    <t>VARIETY</t>
  </si>
  <si>
    <t>UOM</t>
  </si>
  <si>
    <t>$/UOM</t>
  </si>
  <si>
    <t>BYRD CL</t>
  </si>
  <si>
    <t>LB</t>
  </si>
  <si>
    <t>CARLSON CRESTON</t>
  </si>
  <si>
    <t>ANDERSON AVERY</t>
  </si>
  <si>
    <t>ANDER AMPLIFLY</t>
  </si>
  <si>
    <t>ANDERSON - BYRD CL</t>
  </si>
  <si>
    <t>ACRE</t>
  </si>
  <si>
    <t>P0622AML</t>
  </si>
  <si>
    <t>P9489AM</t>
  </si>
  <si>
    <t>P9955AM</t>
  </si>
  <si>
    <t>FORAGE</t>
  </si>
  <si>
    <t>HIBRED PEARL MILLET</t>
  </si>
  <si>
    <t>CROPOP</t>
  </si>
  <si>
    <t>WHEATOP</t>
  </si>
  <si>
    <t>CORNOP</t>
  </si>
  <si>
    <t>FORAGEOP</t>
  </si>
  <si>
    <t>SORGHUMOP</t>
  </si>
  <si>
    <t>EQUIPMENT</t>
  </si>
  <si>
    <t>INSURANCE</t>
  </si>
  <si>
    <t>CUSTOMHIRE</t>
  </si>
  <si>
    <t xml:space="preserve">RENT </t>
  </si>
  <si>
    <t>LABOR</t>
  </si>
  <si>
    <t>LAND</t>
  </si>
  <si>
    <t>TRUCKS</t>
  </si>
  <si>
    <t>03</t>
  </si>
  <si>
    <t>04</t>
  </si>
  <si>
    <t>VANDENBARK</t>
  </si>
  <si>
    <t>CUSTOM TRUCK</t>
  </si>
  <si>
    <t>FED</t>
  </si>
  <si>
    <t>YEAR</t>
  </si>
  <si>
    <t>COST TO ACCOUNT FOR</t>
  </si>
  <si>
    <t>OPERATION</t>
  </si>
  <si>
    <t>WOPOST HARVEST SPRAY</t>
  </si>
  <si>
    <t>WOPOST HARVEST SPRAY 2</t>
  </si>
  <si>
    <t>WOFALL ATRAZINE</t>
  </si>
  <si>
    <t>WOSPRING PREDRILL</t>
  </si>
  <si>
    <t>WOSUMMER PREDRILL 2</t>
  </si>
  <si>
    <t>WOSUMMER PREDRILL 3</t>
  </si>
  <si>
    <t>CUSTOM PARAQUAT</t>
  </si>
  <si>
    <t>WOSTARTER</t>
  </si>
  <si>
    <t>WOFERTSTREAMING</t>
  </si>
  <si>
    <t xml:space="preserve">WOTOPDRESS </t>
  </si>
  <si>
    <t>WOHARVEST</t>
  </si>
  <si>
    <t>WOHAULING</t>
  </si>
  <si>
    <t>/QTY</t>
  </si>
  <si>
    <t>WOSTORAGE</t>
  </si>
  <si>
    <t>WOCARLSONBRAWL</t>
  </si>
  <si>
    <t>QTY</t>
  </si>
  <si>
    <t>WOCARLSONCRESTON</t>
  </si>
  <si>
    <t>WOAWFFORTIFY</t>
  </si>
  <si>
    <t>WOBYRD</t>
  </si>
  <si>
    <t>WOINSURANCE</t>
  </si>
  <si>
    <t>WOMARKETING</t>
  </si>
  <si>
    <t>PREMIUM</t>
  </si>
  <si>
    <t>$$</t>
  </si>
  <si>
    <t>CLAIM</t>
  </si>
  <si>
    <t>RENT</t>
  </si>
  <si>
    <t>RENT EXPENSE</t>
  </si>
  <si>
    <t>RENT INCOME</t>
  </si>
  <si>
    <t>COPOST HARVEST SPRAY</t>
  </si>
  <si>
    <t>COPOST HARVEST SPRAY 2</t>
  </si>
  <si>
    <t>COFALL ATRAZINE</t>
  </si>
  <si>
    <t>COSPRING SPRAYBD 1</t>
  </si>
  <si>
    <t>COSPRING SPRAY 2</t>
  </si>
  <si>
    <t>COPREPLANT TILLAGE</t>
  </si>
  <si>
    <t>COSEEDING</t>
  </si>
  <si>
    <t>CO C STARTER</t>
  </si>
  <si>
    <t>COPOST EMERGE SPRAY 1</t>
  </si>
  <si>
    <t>COPOST EMERGE SPRAY 2</t>
  </si>
  <si>
    <t>COPOST EMERGE SPRAY 3</t>
  </si>
  <si>
    <t>COPOST EMERGE FERTILIZER</t>
  </si>
  <si>
    <t>COMANURE</t>
  </si>
  <si>
    <t>COLIME</t>
  </si>
  <si>
    <t>COHARVEST</t>
  </si>
  <si>
    <t>COINSURANCE</t>
  </si>
  <si>
    <t>COHAULING BUSHELS</t>
  </si>
  <si>
    <t xml:space="preserve">COSEED </t>
  </si>
  <si>
    <t>COSTORAGE</t>
  </si>
  <si>
    <t>COMARKETING</t>
  </si>
  <si>
    <t>POST HARVEST SPRAY 1</t>
  </si>
  <si>
    <t>POST HARVEST SPRAY 2</t>
  </si>
  <si>
    <t>DISKING</t>
  </si>
  <si>
    <t>FIELD FINISH</t>
  </si>
  <si>
    <t>PREDRILL TILLAGE 2</t>
  </si>
  <si>
    <t>SPRING GRAZED 2.5 TONS</t>
  </si>
  <si>
    <t>LUEKING WHEAT</t>
  </si>
  <si>
    <t>PREDRILL SPRAY</t>
  </si>
  <si>
    <t>POST EMERGE SPRAY</t>
  </si>
  <si>
    <t>KNOCKDOWN</t>
  </si>
  <si>
    <t>HARVEST</t>
  </si>
  <si>
    <t>CUSTOM SPRAY APPL</t>
  </si>
  <si>
    <t>HAULING BALES</t>
  </si>
  <si>
    <t>STORAGE</t>
  </si>
  <si>
    <t>MARKETING</t>
  </si>
  <si>
    <t>TOTAL</t>
  </si>
  <si>
    <t>GOLDEN GERMAN SEED</t>
  </si>
  <si>
    <t>MCCONNELL TRIT</t>
  </si>
  <si>
    <t>BALING</t>
  </si>
  <si>
    <t>COMBINE HARVEST</t>
  </si>
  <si>
    <t>ACE</t>
  </si>
  <si>
    <t>SEEDING</t>
  </si>
  <si>
    <t>FIELD CULTIVATOR</t>
  </si>
  <si>
    <t>SPRAY APPLICATION</t>
  </si>
  <si>
    <t>SWATHING</t>
  </si>
  <si>
    <t>TRUCKING BALES</t>
  </si>
  <si>
    <t>TRUCKING BUSHELS</t>
  </si>
  <si>
    <t>OVERHEAD</t>
  </si>
  <si>
    <t>HIRED</t>
  </si>
  <si>
    <t>COST OF LIVING</t>
  </si>
  <si>
    <t xml:space="preserve">LAND </t>
  </si>
  <si>
    <t>SOMANURE</t>
  </si>
  <si>
    <t>SOLIME</t>
  </si>
  <si>
    <t>SPREADING</t>
  </si>
  <si>
    <t>DESTINATIONS</t>
  </si>
  <si>
    <t>LOCATIONS</t>
  </si>
  <si>
    <t>PHONE NUMBER</t>
  </si>
  <si>
    <t>CONTANCT PERSON</t>
  </si>
  <si>
    <t>Column1</t>
  </si>
  <si>
    <t>ELEVATOR</t>
  </si>
  <si>
    <t>GLAND HAXTUN</t>
  </si>
  <si>
    <t>970-774-6166</t>
  </si>
  <si>
    <t>LORI</t>
  </si>
  <si>
    <t>CHS YUMA</t>
  </si>
  <si>
    <t>970-848-5432</t>
  </si>
  <si>
    <t>DALTON OR TIM</t>
  </si>
  <si>
    <t>PAOLI FARMERS ELEV.</t>
  </si>
  <si>
    <t>SHAWNA OR STEVE</t>
  </si>
  <si>
    <t>BINS</t>
  </si>
  <si>
    <t>NE BIN</t>
  </si>
  <si>
    <t>SE BIN</t>
  </si>
  <si>
    <t>NW BIN</t>
  </si>
  <si>
    <t>SW BIN</t>
  </si>
  <si>
    <t>OUTBOUND</t>
  </si>
  <si>
    <t>SOLD</t>
  </si>
  <si>
    <t>Date</t>
  </si>
  <si>
    <t>Harvested By</t>
  </si>
  <si>
    <t>Truck</t>
  </si>
  <si>
    <t>Location</t>
  </si>
  <si>
    <t>Ticket</t>
  </si>
  <si>
    <t>CROP2</t>
  </si>
  <si>
    <t>Gross</t>
  </si>
  <si>
    <t>Tare</t>
  </si>
  <si>
    <t>Net</t>
  </si>
  <si>
    <t>TW</t>
  </si>
  <si>
    <t>Mois.</t>
  </si>
  <si>
    <t>Dockage</t>
  </si>
  <si>
    <t>Protien</t>
  </si>
  <si>
    <t>Gross Units</t>
  </si>
  <si>
    <t>Shrink</t>
  </si>
  <si>
    <t>Dockage2</t>
  </si>
  <si>
    <t>Net Units</t>
  </si>
  <si>
    <t>Shares</t>
  </si>
  <si>
    <t>L.L.</t>
  </si>
  <si>
    <t>MCC. ENT. BU</t>
  </si>
  <si>
    <t>L.L. BU</t>
  </si>
  <si>
    <t>T</t>
  </si>
  <si>
    <t>31 POLE RD HOME</t>
  </si>
  <si>
    <t>BRAWL</t>
  </si>
  <si>
    <t>E</t>
  </si>
  <si>
    <t>M</t>
  </si>
  <si>
    <t>L</t>
  </si>
  <si>
    <t>A</t>
  </si>
  <si>
    <t>TOTALS</t>
  </si>
  <si>
    <t>TEMPLATE</t>
  </si>
  <si>
    <t>DATE</t>
  </si>
  <si>
    <t>QTY/A</t>
  </si>
  <si>
    <t>TOT.QTY</t>
  </si>
  <si>
    <t>$M.E.</t>
  </si>
  <si>
    <t>$L.L.</t>
  </si>
  <si>
    <t xml:space="preserve">30 W /4 </t>
  </si>
  <si>
    <t>Destination</t>
  </si>
  <si>
    <t>Crop</t>
  </si>
  <si>
    <t>Variety</t>
  </si>
  <si>
    <t>Dry $</t>
  </si>
  <si>
    <t>Yield Performance</t>
  </si>
  <si>
    <t xml:space="preserve">Client </t>
  </si>
  <si>
    <t xml:space="preserve">Farm </t>
  </si>
  <si>
    <t>Legal</t>
  </si>
  <si>
    <t>FSA Farm</t>
  </si>
  <si>
    <t>Tract</t>
  </si>
  <si>
    <t>Yield/ Acre</t>
  </si>
  <si>
    <t>Total #'s</t>
  </si>
  <si>
    <t>Total Bushels</t>
  </si>
  <si>
    <t>Total MCCENT</t>
  </si>
  <si>
    <t>Total L.L.</t>
  </si>
  <si>
    <t>CORNSPRAY</t>
  </si>
  <si>
    <t>WHEATSPRAY</t>
  </si>
  <si>
    <t>MILOSPRAY</t>
  </si>
  <si>
    <t>FORAGESPRAY</t>
  </si>
  <si>
    <t>SPRAYING</t>
  </si>
  <si>
    <t>TANKMIX</t>
  </si>
  <si>
    <t>BURNDOWN 1</t>
  </si>
  <si>
    <t>BURNDOWN 2</t>
  </si>
  <si>
    <t>POST EMERGE 1</t>
  </si>
  <si>
    <t>POST EMERGE 2</t>
  </si>
  <si>
    <t>POST HARVEST</t>
  </si>
  <si>
    <t>POST WHEAT BRDWN1</t>
  </si>
  <si>
    <t>POST WHEAT BRDWN2</t>
  </si>
  <si>
    <t>FALL ATRAZINE</t>
  </si>
  <si>
    <t>LATE SEASON</t>
  </si>
  <si>
    <t>CORN STARTER</t>
  </si>
  <si>
    <t>CORN TOPDRESS</t>
  </si>
  <si>
    <t>POST HRVST BURNDOWN 1</t>
  </si>
  <si>
    <t>POST HRVST BURNDOWN 2</t>
  </si>
  <si>
    <t>SPRING BURNDOWN</t>
  </si>
  <si>
    <t>SUMMER BURNDOWN 1</t>
  </si>
  <si>
    <t>SUMMER BURNDOWN 2</t>
  </si>
  <si>
    <t>FINAL BURNDOWN</t>
  </si>
  <si>
    <t>WHEAT STARTER</t>
  </si>
  <si>
    <t>WHEAT TODRESS</t>
  </si>
  <si>
    <t>WHEAT STREAMING</t>
  </si>
  <si>
    <t>MILO STARTER</t>
  </si>
  <si>
    <t>MILO TOPDRESS</t>
  </si>
  <si>
    <t>BURNDOWN 3</t>
  </si>
  <si>
    <t>RESIDUAL BURNDOWN</t>
  </si>
  <si>
    <t>FERTILIZER STARTER</t>
  </si>
  <si>
    <t>FERTILIZER TOPDRESS</t>
  </si>
  <si>
    <t>RENTAL AGREEMENTS</t>
  </si>
  <si>
    <t>RENTAL AGREEMENT</t>
  </si>
  <si>
    <t>RENTAL RATE / ACRE</t>
  </si>
  <si>
    <t xml:space="preserve">TOTAL RENT </t>
  </si>
  <si>
    <t>AMOUNT PAID</t>
  </si>
  <si>
    <t>AMT OWED</t>
  </si>
  <si>
    <t>DATE PAID</t>
  </si>
  <si>
    <t xml:space="preserve"> / ACRE</t>
  </si>
  <si>
    <t>/ ACRE</t>
  </si>
  <si>
    <t xml:space="preserve">M77AG WHEAT PRODUCTION </t>
  </si>
  <si>
    <t>Ticket #</t>
  </si>
  <si>
    <t>Dock</t>
  </si>
  <si>
    <t>Prot</t>
  </si>
  <si>
    <t>GROSS BU</t>
  </si>
  <si>
    <t>Dock BU</t>
  </si>
  <si>
    <t>Net Bushels</t>
  </si>
  <si>
    <t>Wheat</t>
  </si>
  <si>
    <t>X042853</t>
  </si>
  <si>
    <t>X042865</t>
  </si>
  <si>
    <t>X042913</t>
  </si>
  <si>
    <t>X042927</t>
  </si>
  <si>
    <t>X042957</t>
  </si>
  <si>
    <t>X042967</t>
  </si>
  <si>
    <t>X042985</t>
  </si>
  <si>
    <t>X04299</t>
  </si>
  <si>
    <t>X042996</t>
  </si>
  <si>
    <t>X043001</t>
  </si>
  <si>
    <t>X043008</t>
  </si>
  <si>
    <t>X043413</t>
  </si>
  <si>
    <t>TOTAL EXP</t>
  </si>
  <si>
    <t>BREAKEVEN</t>
  </si>
  <si>
    <t>TOTME</t>
  </si>
  <si>
    <t>ME BE</t>
  </si>
  <si>
    <t>TOT LL</t>
  </si>
  <si>
    <t>LL BE</t>
  </si>
  <si>
    <t>GROSS BUSHELS</t>
  </si>
  <si>
    <t>MCCONNELL ENTERPRISES MARKETING</t>
  </si>
  <si>
    <t>Speculating</t>
  </si>
  <si>
    <t>Settlement #</t>
  </si>
  <si>
    <t>Price</t>
  </si>
  <si>
    <t>Bushels</t>
  </si>
  <si>
    <t>INT $</t>
  </si>
  <si>
    <t>Bonus</t>
  </si>
  <si>
    <t>DISCOUNTS</t>
  </si>
  <si>
    <t>TOTAL $</t>
  </si>
  <si>
    <t>LOCATION</t>
  </si>
  <si>
    <t>XB3005-P</t>
  </si>
  <si>
    <t>PROFIT / LOSS WHEAT</t>
  </si>
  <si>
    <t>XB3012-P</t>
  </si>
  <si>
    <t>TOTAL M77 AG EXPENSE</t>
  </si>
  <si>
    <t>TOTAL M77 AG INCOME OF CROPS SOLD</t>
  </si>
  <si>
    <t>AVERAGE $</t>
  </si>
  <si>
    <t>RETURN / A</t>
  </si>
  <si>
    <t>ME $</t>
  </si>
  <si>
    <t>LL $</t>
  </si>
  <si>
    <t>Tick/ %Full</t>
  </si>
  <si>
    <t>AVG</t>
  </si>
  <si>
    <t>~#</t>
  </si>
  <si>
    <t>Gross/ -Truck Net</t>
  </si>
  <si>
    <t>X043887</t>
  </si>
  <si>
    <t>X043908</t>
  </si>
  <si>
    <t>X043909</t>
  </si>
  <si>
    <t>*</t>
  </si>
  <si>
    <t xml:space="preserve"> </t>
  </si>
  <si>
    <t>24.W SW Pauli</t>
  </si>
  <si>
    <t>23.E SE Pauli</t>
  </si>
  <si>
    <t>Field Load</t>
  </si>
  <si>
    <t>Bob</t>
  </si>
  <si>
    <t>BIN LOAD</t>
  </si>
  <si>
    <t>Cameron</t>
  </si>
  <si>
    <t>Mike</t>
  </si>
  <si>
    <t>Bo</t>
  </si>
  <si>
    <t>10. S. OURS</t>
  </si>
  <si>
    <t>10.S. Ours</t>
  </si>
  <si>
    <t>Gary</t>
  </si>
  <si>
    <t>44. E. STown</t>
  </si>
  <si>
    <t>26. W SW MICHAEL</t>
  </si>
  <si>
    <t>TOT #</t>
  </si>
  <si>
    <t>TOT BU</t>
  </si>
  <si>
    <t>TOT. M77</t>
  </si>
  <si>
    <t>TOTM77</t>
  </si>
  <si>
    <t>TOT LL2</t>
  </si>
  <si>
    <t>BUSHEL ADJUSTMENTS AFTER WEIGHING</t>
  </si>
  <si>
    <t xml:space="preserve">Land Lord </t>
  </si>
  <si>
    <t>TOT BUSHELS</t>
  </si>
  <si>
    <t>L.L. OWNED</t>
  </si>
  <si>
    <t>ME -&gt; LL</t>
  </si>
  <si>
    <t xml:space="preserve">26 SW MICHAEL </t>
  </si>
  <si>
    <t>DISC BU</t>
  </si>
  <si>
    <t>SOLD BU</t>
  </si>
  <si>
    <t>TOT $</t>
  </si>
  <si>
    <t>DEDUCTIONS</t>
  </si>
  <si>
    <t>PAID BUSHELS</t>
  </si>
  <si>
    <t>PROFIT / LOSS CORN</t>
  </si>
  <si>
    <t>XB3196-P</t>
  </si>
  <si>
    <t>RETURN$ / A</t>
  </si>
  <si>
    <t>ME .65</t>
  </si>
  <si>
    <t>LL .35</t>
  </si>
  <si>
    <t>FORAGE YIELD</t>
  </si>
  <si>
    <t>TOT BALES</t>
  </si>
  <si>
    <t>TOT. ME</t>
  </si>
  <si>
    <t>TOT EXP$</t>
  </si>
  <si>
    <t xml:space="preserve">27 SE.N MICHAEL </t>
  </si>
  <si>
    <t xml:space="preserve">27 SE.S MICHAEL </t>
  </si>
  <si>
    <t>Wheat Sales</t>
  </si>
  <si>
    <t>CONTRACTS</t>
  </si>
  <si>
    <t>SOLD TO</t>
  </si>
  <si>
    <t>$/TON</t>
  </si>
  <si>
    <t>TRANS PRICE</t>
  </si>
  <si>
    <t>TONS</t>
  </si>
  <si>
    <t>TRANS $</t>
  </si>
  <si>
    <t>Bale $</t>
  </si>
  <si>
    <t>Total $</t>
  </si>
  <si>
    <t>Return / Acre</t>
  </si>
  <si>
    <t>Forage</t>
  </si>
  <si>
    <t>60.S DAILEYRD</t>
  </si>
  <si>
    <t>26.E SW MICHAEL</t>
  </si>
  <si>
    <t xml:space="preserve">26.W SW MICHAEL </t>
  </si>
  <si>
    <t xml:space="preserve">Marketing </t>
  </si>
  <si>
    <t>Principle</t>
  </si>
  <si>
    <t>Interest</t>
  </si>
  <si>
    <t>Pymt</t>
  </si>
  <si>
    <t>Pymt Date</t>
  </si>
  <si>
    <t>Balance</t>
  </si>
  <si>
    <t>Maturity</t>
  </si>
  <si>
    <t>DEBT</t>
  </si>
  <si>
    <t>LOC</t>
  </si>
  <si>
    <t>PHI</t>
  </si>
  <si>
    <t>SBA</t>
  </si>
  <si>
    <t>Monthly</t>
  </si>
  <si>
    <t>PW 19679</t>
  </si>
  <si>
    <t>Equipment</t>
  </si>
  <si>
    <t>PW 19713</t>
  </si>
  <si>
    <t>Bale Mover</t>
  </si>
  <si>
    <t>PW 19719</t>
  </si>
  <si>
    <t>Cat Loader</t>
  </si>
  <si>
    <t>PW 19803</t>
  </si>
  <si>
    <t>Pickups</t>
  </si>
  <si>
    <t>PW 19843</t>
  </si>
  <si>
    <t>Corn Planter</t>
  </si>
  <si>
    <t>PW 19885</t>
  </si>
  <si>
    <t>JD Tractors</t>
  </si>
  <si>
    <t>PW 19910</t>
  </si>
  <si>
    <t>Corn Head</t>
  </si>
  <si>
    <t>PW 19914</t>
  </si>
  <si>
    <t>JD 8370RT</t>
  </si>
  <si>
    <t>CNH</t>
  </si>
  <si>
    <t>Baler</t>
  </si>
  <si>
    <t>Claas</t>
  </si>
  <si>
    <t>Combine</t>
  </si>
  <si>
    <t>Yearly</t>
  </si>
  <si>
    <t>PW 19767</t>
  </si>
  <si>
    <t>Section</t>
  </si>
  <si>
    <t>PW 19826</t>
  </si>
  <si>
    <t>Madsen Pasture</t>
  </si>
  <si>
    <t>PW 19860</t>
  </si>
  <si>
    <t>Michael Ground</t>
  </si>
  <si>
    <t>PERSONAL</t>
  </si>
  <si>
    <t>Cadillac</t>
  </si>
  <si>
    <t>Camry</t>
  </si>
  <si>
    <t>CROPPING ROTATION</t>
  </si>
  <si>
    <t xml:space="preserve">CLIENT </t>
  </si>
  <si>
    <t>KIND</t>
  </si>
  <si>
    <t>2018 CROP</t>
  </si>
  <si>
    <t>2019 CROP</t>
  </si>
  <si>
    <t>2020 CROP</t>
  </si>
  <si>
    <t>2021 CROP</t>
  </si>
  <si>
    <t>2022 CROP</t>
  </si>
  <si>
    <t>2023 CROP</t>
  </si>
  <si>
    <t>2024 CROP</t>
  </si>
  <si>
    <t>2025 CROP</t>
  </si>
  <si>
    <t>2025 Reporting</t>
  </si>
  <si>
    <t>2026 CROP</t>
  </si>
  <si>
    <t>2027 CROP</t>
  </si>
  <si>
    <t>2028 CROP</t>
  </si>
  <si>
    <t>2029 CROP</t>
  </si>
  <si>
    <t>21 Plant Date</t>
  </si>
  <si>
    <t>22 Plant Date</t>
  </si>
  <si>
    <t>23 Plant Date</t>
  </si>
  <si>
    <t>23 Variety</t>
  </si>
  <si>
    <t>2024 crop reporting2</t>
  </si>
  <si>
    <t>2024 plant date3</t>
  </si>
  <si>
    <t>2024 VARIETY</t>
  </si>
  <si>
    <t>Forage/ Grain</t>
  </si>
  <si>
    <t>K&amp;B 100%</t>
  </si>
  <si>
    <t>FORAGE SORGHUM</t>
  </si>
  <si>
    <t>kyle mcconnell  100%</t>
  </si>
  <si>
    <t>klyle mcconnell 50%  M77ag%</t>
  </si>
  <si>
    <t>M77Ag</t>
  </si>
  <si>
    <t>5/19/22</t>
  </si>
  <si>
    <t>m77 ag %</t>
  </si>
  <si>
    <t>m77 ag 100%</t>
  </si>
  <si>
    <t>Prevent Plant</t>
  </si>
  <si>
    <t>McConnell Ent</t>
  </si>
  <si>
    <t>GRAZED</t>
  </si>
  <si>
    <t>m77ag 100%</t>
  </si>
  <si>
    <t>50% Mcconnell Ent 50% m77 ag</t>
  </si>
  <si>
    <t>m77ag</t>
  </si>
  <si>
    <t>5/20/22</t>
  </si>
  <si>
    <t>5/16/22</t>
  </si>
  <si>
    <t>kyle mcconnell 50% m77ag%</t>
  </si>
  <si>
    <t>100% m77 ag</t>
  </si>
  <si>
    <t>BUILDING</t>
  </si>
  <si>
    <t>5/22/22</t>
  </si>
  <si>
    <t>5/21/22</t>
  </si>
  <si>
    <t>50/50 ME/M77</t>
  </si>
  <si>
    <t>5/18/22</t>
  </si>
  <si>
    <t>100% M77 AG</t>
  </si>
  <si>
    <t>100% Kyle</t>
  </si>
  <si>
    <t>TOTAL ACRES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</si>
  <si>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</si>
  <si>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</si>
  <si>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</si>
  <si>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</si>
  <si>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</si>
  <si>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</si>
  <si>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</si>
  <si>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</si>
  <si>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</si>
  <si>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</si>
  <si>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</si>
  <si>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</si>
  <si>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GOVERNMENT PROGRAM INFORMATION</t>
  </si>
  <si>
    <t>CHOOSE THE CROP YEAR</t>
  </si>
  <si>
    <t>PLANTING PLAN</t>
  </si>
  <si>
    <t>Order</t>
  </si>
  <si>
    <t>RATE</t>
  </si>
  <si>
    <t>#'S</t>
  </si>
  <si>
    <t>BAGS1</t>
  </si>
  <si>
    <t>SKS/A</t>
  </si>
  <si>
    <t>BAGS 80K</t>
  </si>
  <si>
    <t xml:space="preserve">BAGS </t>
  </si>
  <si>
    <t>54.W PAULS</t>
  </si>
  <si>
    <t>60.N DAILEYRD</t>
  </si>
  <si>
    <t>LOAD 1</t>
  </si>
  <si>
    <t>LOAD 5</t>
  </si>
  <si>
    <t>LOAD 9</t>
  </si>
  <si>
    <t>LOAD 13</t>
  </si>
  <si>
    <t>BOX 1</t>
  </si>
  <si>
    <t>BOX 2</t>
  </si>
  <si>
    <t>P1548AM</t>
  </si>
  <si>
    <t>P1413AM</t>
  </si>
  <si>
    <t>P05081AML</t>
  </si>
  <si>
    <t>9845PCE</t>
  </si>
  <si>
    <t>9489AM</t>
  </si>
  <si>
    <t>LOAD 2</t>
  </si>
  <si>
    <t>LOAD 6</t>
  </si>
  <si>
    <t>LOAD 10</t>
  </si>
  <si>
    <t>LOAD 14</t>
  </si>
  <si>
    <t>6133V B</t>
  </si>
  <si>
    <t>P1244AM</t>
  </si>
  <si>
    <t>P0487PCE</t>
  </si>
  <si>
    <t>5625AM B</t>
  </si>
  <si>
    <t xml:space="preserve">LOAD 3 </t>
  </si>
  <si>
    <t>LOAD 7</t>
  </si>
  <si>
    <t>LOAD 11</t>
  </si>
  <si>
    <t>LOAD 15</t>
  </si>
  <si>
    <t>P1151AM</t>
  </si>
  <si>
    <t>P1122AML</t>
  </si>
  <si>
    <t>P0339Q</t>
  </si>
  <si>
    <t>P0404AM</t>
  </si>
  <si>
    <t xml:space="preserve">LOAD 4 </t>
  </si>
  <si>
    <t>LOAD 8</t>
  </si>
  <si>
    <t>LOAD 12</t>
  </si>
  <si>
    <t>LOAD 16</t>
  </si>
  <si>
    <t>P0995AM</t>
  </si>
  <si>
    <t>P0859AM</t>
  </si>
  <si>
    <t>P0157AMXT</t>
  </si>
  <si>
    <t>P0075AM</t>
  </si>
  <si>
    <t>Ins Cost / A</t>
  </si>
  <si>
    <t>APH</t>
  </si>
  <si>
    <t>Spec Yield</t>
  </si>
  <si>
    <t>Spec Bu</t>
  </si>
  <si>
    <t>M77%</t>
  </si>
  <si>
    <t>LL %</t>
  </si>
  <si>
    <t>M77 BU</t>
  </si>
  <si>
    <t>LL BU</t>
  </si>
  <si>
    <t>ActBu2</t>
  </si>
  <si>
    <t>Ins %2</t>
  </si>
  <si>
    <t>54.E PAULS</t>
  </si>
  <si>
    <t xml:space="preserve">Income </t>
  </si>
  <si>
    <t>m77 Bu</t>
  </si>
  <si>
    <t>LL Bu</t>
  </si>
  <si>
    <t>Soil</t>
  </si>
  <si>
    <t>County</t>
  </si>
  <si>
    <t>SPEC YI</t>
  </si>
  <si>
    <t>SPEC BU</t>
  </si>
  <si>
    <t>M77 %</t>
  </si>
  <si>
    <t>SP M77 BU</t>
  </si>
  <si>
    <t xml:space="preserve">SP LL BU </t>
  </si>
  <si>
    <t>Spec $</t>
  </si>
  <si>
    <t>M77$</t>
  </si>
  <si>
    <t>LL$</t>
  </si>
  <si>
    <t>MCCONNELL ENT 2024 WHEAT</t>
  </si>
  <si>
    <t xml:space="preserve">Wheat Yield </t>
  </si>
  <si>
    <t>ANDERSON BRAWL</t>
  </si>
  <si>
    <t>CARLSON BRAWL</t>
  </si>
  <si>
    <t>Corn Yield Performance</t>
  </si>
  <si>
    <t>Land Load Square Up</t>
  </si>
  <si>
    <t>LAND LORD SQUARE UP</t>
  </si>
  <si>
    <t>10 - OURS</t>
  </si>
  <si>
    <t>Total Sold</t>
  </si>
  <si>
    <t>Left to Sell</t>
  </si>
  <si>
    <t>23 SW</t>
  </si>
  <si>
    <t>24 SE</t>
  </si>
  <si>
    <t>53 DICKS</t>
  </si>
  <si>
    <t>R/Acre</t>
  </si>
  <si>
    <t>HEERMANN RYE</t>
  </si>
  <si>
    <t>35 POLE RD COMBO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</si>
</sst>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&quot;$&quot;#,##0.00;[Red]&quot;$&quot;#,##0.00"/>
    <numFmt numFmtId="165" formatCode="0.000%"/>
    <numFmt numFmtId="166" formatCode="[$$-409]#,##0.00;[Red][$$-409]#,##0.00"/>
    <numFmt numFmtId="167" formatCode="0.00;[Red]0.00"/>
    <numFmt numFmtId="168" formatCode="0.00000"/>
    <numFmt numFmtId="169" formatCode="0.0000"/>
    <numFmt numFmtId="170" formatCode="0.0"/>
    <numFmt numFmtId="171" formatCode="&quot;$&quot;#,##0.00"/>
    <numFmt numFmtId="172" formatCode="&quot;$&quot;#,##0;[Red]&quot;$&quot;#,##0"/>
    <numFmt numFmtId="173" formatCode="m/d/yy;@"/>
    <numFmt numFmtId="174" formatCode="&quot;$&quot;#,##0"/>
  </numFmts>
  <fonts count="9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4"/>
      <color theme="1"/>
      <name val="Arial Black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rgb="FFFFFFFF"/>
      <name val="Calibri"/>
      <family val="2"/>
    </font>
    <font>
      <b/>
      <sz val="2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rgb="FFFFFFFF"/>
      <name val="Calibri"/>
      <family val="2"/>
    </font>
    <font>
      <sz val="11"/>
      <color theme="1"/>
      <name val="Calibri"/>
      <family val="2"/>
    </font>
    <font>
      <b/>
      <i/>
      <sz val="11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color rgb="FFFF0000"/>
      <name val="Calibri"/>
      <family val="2"/>
    </font>
    <font>
      <sz val="11"/>
      <color rgb="FFFFFFFF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0"/>
      <name val="Arial Black"/>
      <family val="2"/>
    </font>
    <font>
      <b/>
      <sz val="14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1"/>
      <name val="Calibri"/>
      <family val="2"/>
    </font>
    <font>
      <b/>
      <sz val="18"/>
      <color rgb="FFFF0000"/>
      <name val="Calibri"/>
      <family val="2"/>
    </font>
    <font>
      <sz val="18"/>
      <color rgb="FFFFFFFF"/>
      <name val="Calibri"/>
      <family val="2"/>
    </font>
    <font>
      <sz val="18"/>
      <name val="Calibri"/>
      <family val="2"/>
    </font>
    <font>
      <b/>
      <sz val="36"/>
      <color theme="1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24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8"/>
      <name val="Calibri"/>
      <family val="2"/>
    </font>
    <font>
      <b/>
      <i/>
      <sz val="11"/>
      <name val="Calibri"/>
      <family val="2"/>
    </font>
    <font>
      <b/>
      <sz val="11"/>
      <name val="Calibri"/>
      <family val="2"/>
    </font>
    <font>
      <sz val="18"/>
      <name val="Calibri"/>
      <family val="2"/>
      <scheme val="minor"/>
    </font>
    <font>
      <b/>
      <sz val="24"/>
      <name val="Calibri"/>
      <family val="2"/>
      <scheme val="minor"/>
    </font>
    <font>
      <sz val="24"/>
      <name val="Calibri"/>
      <family val="2"/>
      <scheme val="minor"/>
    </font>
    <font>
      <b/>
      <sz val="14"/>
      <name val="Calibri"/>
      <family val="2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9" tint="-0.249977111117893"/>
      <name val="Calibri"/>
      <family val="2"/>
      <scheme val="minor"/>
    </font>
    <font>
      <b/>
      <sz val="9"/>
      <color theme="9" tint="-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theme="4"/>
      <name val="Calibri"/>
      <family val="2"/>
      <scheme val="minor"/>
    </font>
    <font>
      <b/>
      <sz val="18"/>
      <color theme="7"/>
      <name val="Calibri"/>
      <family val="2"/>
      <scheme val="minor"/>
    </font>
    <font>
      <sz val="28"/>
      <color theme="7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48"/>
      <color rgb="FF002060"/>
      <name val="Calibri"/>
      <family val="2"/>
      <scheme val="minor"/>
    </font>
    <font>
      <sz val="20"/>
      <color theme="7"/>
      <name val="Calibri"/>
      <family val="2"/>
      <scheme val="minor"/>
    </font>
    <font>
      <sz val="24"/>
      <color theme="7"/>
      <name val="Calibri"/>
      <family val="2"/>
      <scheme val="minor"/>
    </font>
    <font>
      <sz val="20"/>
      <color theme="9"/>
      <name val="Calibri"/>
      <family val="2"/>
      <scheme val="minor"/>
    </font>
    <font>
      <sz val="24"/>
      <color theme="9"/>
      <name val="Calibri"/>
      <family val="2"/>
      <scheme val="minor"/>
    </font>
    <font>
      <sz val="28"/>
      <color theme="9"/>
      <name val="Calibri"/>
      <family val="2"/>
      <scheme val="minor"/>
    </font>
    <font>
      <b/>
      <sz val="18"/>
      <color theme="9"/>
      <name val="Calibri"/>
      <family val="2"/>
      <scheme val="minor"/>
    </font>
    <font>
      <sz val="14"/>
      <color theme="1"/>
      <name val="Calibri"/>
      <family val="2"/>
      <scheme val="minor"/>
    </font>
    <font>
      <sz val="48"/>
      <color theme="0"/>
      <name val="Calibri"/>
      <family val="2"/>
      <scheme val="minor"/>
    </font>
    <font>
      <b/>
      <sz val="28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48"/>
      <name val="Arial Black"/>
      <family val="2"/>
    </font>
    <font>
      <b/>
      <sz val="26"/>
      <color theme="2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11"/>
      <name val="Arial Black"/>
      <family val="2"/>
    </font>
    <font>
      <b/>
      <sz val="20"/>
      <color theme="1"/>
      <name val="Calibri"/>
      <family val="2"/>
      <scheme val="minor"/>
    </font>
    <font>
      <b/>
      <sz val="12"/>
      <name val="Calibri"/>
      <family val="2"/>
    </font>
    <font>
      <b/>
      <sz val="18"/>
      <color theme="0"/>
      <name val="Calibri"/>
      <family val="2"/>
    </font>
    <font>
      <b/>
      <sz val="12"/>
      <color theme="0"/>
      <name val="Calibri"/>
      <family val="2"/>
    </font>
    <font>
      <sz val="11"/>
      <color theme="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AD47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0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/>
        <bgColor rgb="FF000000"/>
      </patternFill>
    </fill>
  </fills>
  <borders count="72">
    <border>
      <left/>
      <right/>
      <top/>
      <bottom/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 style="thin">
        <color rgb="FFFFFF00"/>
      </right>
      <top/>
      <bottom style="thin">
        <color rgb="FFFFFF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000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44" fontId="10" fillId="0" borderId="0" applyFont="0" applyFill="0" applyBorder="0" applyAlignment="0" applyProtection="0"/>
  </cellStyleXfs>
  <cellXfs count="766">
    <xf numFmtId="0" fontId="0" fillId="0" borderId="0" xfId="0"/>
    <xf numFmtId="164" fontId="0" fillId="0" borderId="0" xfId="0" applyNumberFormat="1"/>
    <xf numFmtId="0" fontId="6" fillId="5" borderId="0" xfId="0" applyFont="1" applyFill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165" fontId="7" fillId="5" borderId="0" xfId="0" applyNumberFormat="1" applyFont="1" applyFill="1" applyAlignment="1">
      <alignment horizontal="left" vertical="center"/>
    </xf>
    <xf numFmtId="2" fontId="7" fillId="5" borderId="0" xfId="0" applyNumberFormat="1" applyFont="1" applyFill="1" applyAlignment="1">
      <alignment horizontal="left" vertical="center"/>
    </xf>
    <xf numFmtId="14" fontId="0" fillId="4" borderId="3" xfId="0" applyNumberFormat="1" applyFill="1" applyBorder="1" applyAlignment="1">
      <alignment horizontal="left" vertical="center"/>
    </xf>
    <xf numFmtId="0" fontId="0" fillId="4" borderId="3" xfId="0" applyFill="1" applyBorder="1" applyAlignment="1">
      <alignment horizontal="left" vertical="center"/>
    </xf>
    <xf numFmtId="0" fontId="0" fillId="4" borderId="4" xfId="0" applyFill="1" applyBorder="1" applyAlignment="1">
      <alignment horizontal="left" vertical="center"/>
    </xf>
    <xf numFmtId="0" fontId="3" fillId="5" borderId="5" xfId="0" applyFont="1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165" fontId="0" fillId="4" borderId="3" xfId="0" applyNumberFormat="1" applyFill="1" applyBorder="1" applyAlignment="1">
      <alignment horizontal="left" vertical="center"/>
    </xf>
    <xf numFmtId="2" fontId="3" fillId="5" borderId="5" xfId="0" applyNumberFormat="1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/>
    </xf>
    <xf numFmtId="0" fontId="3" fillId="5" borderId="8" xfId="0" applyFont="1" applyFill="1" applyBorder="1" applyAlignment="1">
      <alignment horizontal="left" vertical="center"/>
    </xf>
    <xf numFmtId="2" fontId="3" fillId="5" borderId="8" xfId="0" applyNumberFormat="1" applyFont="1" applyFill="1" applyBorder="1" applyAlignment="1">
      <alignment horizontal="left" vertical="center"/>
    </xf>
    <xf numFmtId="9" fontId="0" fillId="0" borderId="0" xfId="0" applyNumberFormat="1"/>
    <xf numFmtId="0" fontId="5" fillId="2" borderId="9" xfId="0" applyFont="1" applyFill="1" applyBorder="1"/>
    <xf numFmtId="0" fontId="5" fillId="2" borderId="10" xfId="0" applyFont="1" applyFill="1" applyBorder="1"/>
    <xf numFmtId="0" fontId="0" fillId="0" borderId="10" xfId="0" applyBorder="1"/>
    <xf numFmtId="0" fontId="5" fillId="2" borderId="0" xfId="0" applyFont="1" applyFill="1"/>
    <xf numFmtId="0" fontId="3" fillId="5" borderId="11" xfId="0" applyFont="1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0" fillId="4" borderId="13" xfId="0" applyFill="1" applyBorder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3" fillId="4" borderId="12" xfId="0" applyFont="1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0" fillId="4" borderId="14" xfId="0" applyFill="1" applyBorder="1" applyAlignment="1">
      <alignment horizontal="left" vertical="center"/>
    </xf>
    <xf numFmtId="0" fontId="0" fillId="4" borderId="15" xfId="0" applyFill="1" applyBorder="1" applyAlignment="1">
      <alignment horizontal="left" vertical="center"/>
    </xf>
    <xf numFmtId="0" fontId="3" fillId="5" borderId="16" xfId="0" applyFont="1" applyFill="1" applyBorder="1" applyAlignment="1">
      <alignment horizontal="left" vertical="center"/>
    </xf>
    <xf numFmtId="165" fontId="0" fillId="4" borderId="6" xfId="0" applyNumberFormat="1" applyFill="1" applyBorder="1" applyAlignment="1">
      <alignment horizontal="left" vertical="center"/>
    </xf>
    <xf numFmtId="165" fontId="0" fillId="4" borderId="17" xfId="0" applyNumberFormat="1" applyFill="1" applyBorder="1" applyAlignment="1">
      <alignment horizontal="left" vertical="center"/>
    </xf>
    <xf numFmtId="165" fontId="0" fillId="4" borderId="18" xfId="0" applyNumberFormat="1" applyFill="1" applyBorder="1" applyAlignment="1">
      <alignment horizontal="left" vertical="center"/>
    </xf>
    <xf numFmtId="165" fontId="3" fillId="4" borderId="3" xfId="0" applyNumberFormat="1" applyFont="1" applyFill="1" applyBorder="1" applyAlignment="1">
      <alignment horizontal="left" vertical="center"/>
    </xf>
    <xf numFmtId="165" fontId="3" fillId="4" borderId="12" xfId="0" applyNumberFormat="1" applyFont="1" applyFill="1" applyBorder="1" applyAlignment="1">
      <alignment horizontal="left" vertical="center"/>
    </xf>
    <xf numFmtId="165" fontId="3" fillId="4" borderId="13" xfId="0" applyNumberFormat="1" applyFont="1" applyFill="1" applyBorder="1" applyAlignment="1">
      <alignment horizontal="left" vertical="center"/>
    </xf>
    <xf numFmtId="0" fontId="8" fillId="4" borderId="4" xfId="0" applyFont="1" applyFill="1" applyBorder="1" applyAlignment="1">
      <alignment horizontal="left" vertical="center"/>
    </xf>
    <xf numFmtId="0" fontId="8" fillId="4" borderId="14" xfId="0" applyFont="1" applyFill="1" applyBorder="1" applyAlignment="1">
      <alignment horizontal="left" vertical="center"/>
    </xf>
    <xf numFmtId="0" fontId="8" fillId="4" borderId="15" xfId="0" applyFont="1" applyFill="1" applyBorder="1" applyAlignment="1">
      <alignment horizontal="left" vertical="center"/>
    </xf>
    <xf numFmtId="2" fontId="3" fillId="5" borderId="16" xfId="0" applyNumberFormat="1" applyFont="1" applyFill="1" applyBorder="1" applyAlignment="1">
      <alignment horizontal="left" vertical="center"/>
    </xf>
    <xf numFmtId="2" fontId="3" fillId="5" borderId="11" xfId="0" applyNumberFormat="1" applyFont="1" applyFill="1" applyBorder="1" applyAlignment="1">
      <alignment horizontal="left" vertical="center"/>
    </xf>
    <xf numFmtId="2" fontId="8" fillId="4" borderId="7" xfId="0" applyNumberFormat="1" applyFont="1" applyFill="1" applyBorder="1" applyAlignment="1">
      <alignment horizontal="left" vertical="center"/>
    </xf>
    <xf numFmtId="2" fontId="8" fillId="4" borderId="19" xfId="0" applyNumberFormat="1" applyFont="1" applyFill="1" applyBorder="1" applyAlignment="1">
      <alignment horizontal="left" vertical="center"/>
    </xf>
    <xf numFmtId="2" fontId="8" fillId="4" borderId="20" xfId="0" applyNumberFormat="1" applyFont="1" applyFill="1" applyBorder="1" applyAlignment="1">
      <alignment horizontal="left" vertical="center"/>
    </xf>
    <xf numFmtId="9" fontId="0" fillId="4" borderId="6" xfId="0" applyNumberFormat="1" applyFill="1" applyBorder="1" applyAlignment="1">
      <alignment horizontal="left" vertical="center"/>
    </xf>
    <xf numFmtId="9" fontId="0" fillId="4" borderId="17" xfId="0" applyNumberFormat="1" applyFill="1" applyBorder="1" applyAlignment="1">
      <alignment horizontal="left" vertical="center"/>
    </xf>
    <xf numFmtId="9" fontId="0" fillId="4" borderId="18" xfId="0" applyNumberFormat="1" applyFill="1" applyBorder="1" applyAlignment="1">
      <alignment horizontal="left" vertical="center"/>
    </xf>
    <xf numFmtId="9" fontId="3" fillId="4" borderId="3" xfId="0" applyNumberFormat="1" applyFont="1" applyFill="1" applyBorder="1" applyAlignment="1">
      <alignment horizontal="left" vertical="center"/>
    </xf>
    <xf numFmtId="9" fontId="3" fillId="4" borderId="12" xfId="0" applyNumberFormat="1" applyFont="1" applyFill="1" applyBorder="1" applyAlignment="1">
      <alignment horizontal="left" vertical="center"/>
    </xf>
    <xf numFmtId="9" fontId="3" fillId="4" borderId="13" xfId="0" applyNumberFormat="1" applyFont="1" applyFill="1" applyBorder="1" applyAlignment="1">
      <alignment horizontal="left" vertical="center"/>
    </xf>
    <xf numFmtId="9" fontId="3" fillId="4" borderId="4" xfId="0" applyNumberFormat="1" applyFont="1" applyFill="1" applyBorder="1" applyAlignment="1">
      <alignment horizontal="left" vertical="center"/>
    </xf>
    <xf numFmtId="9" fontId="3" fillId="4" borderId="14" xfId="0" applyNumberFormat="1" applyFont="1" applyFill="1" applyBorder="1" applyAlignment="1">
      <alignment horizontal="left" vertical="center"/>
    </xf>
    <xf numFmtId="9" fontId="3" fillId="4" borderId="15" xfId="0" applyNumberFormat="1" applyFont="1" applyFill="1" applyBorder="1" applyAlignment="1">
      <alignment horizontal="left" vertical="center"/>
    </xf>
    <xf numFmtId="0" fontId="0" fillId="5" borderId="0" xfId="0" applyFill="1"/>
    <xf numFmtId="14" fontId="0" fillId="6" borderId="3" xfId="0" applyNumberFormat="1" applyFill="1" applyBorder="1" applyAlignment="1">
      <alignment horizontal="left" vertical="center"/>
    </xf>
    <xf numFmtId="0" fontId="0" fillId="6" borderId="12" xfId="0" applyFill="1" applyBorder="1" applyAlignment="1">
      <alignment horizontal="left" vertical="center"/>
    </xf>
    <xf numFmtId="0" fontId="3" fillId="6" borderId="12" xfId="0" applyFont="1" applyFill="1" applyBorder="1" applyAlignment="1">
      <alignment horizontal="left" vertical="center"/>
    </xf>
    <xf numFmtId="0" fontId="0" fillId="6" borderId="14" xfId="0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3" fillId="6" borderId="3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0" fontId="0" fillId="6" borderId="13" xfId="0" applyFill="1" applyBorder="1" applyAlignment="1">
      <alignment horizontal="left" vertical="center"/>
    </xf>
    <xf numFmtId="0" fontId="3" fillId="6" borderId="13" xfId="0" applyFont="1" applyFill="1" applyBorder="1" applyAlignment="1">
      <alignment horizontal="left" vertical="center"/>
    </xf>
    <xf numFmtId="0" fontId="0" fillId="6" borderId="15" xfId="0" applyFill="1" applyBorder="1" applyAlignment="1">
      <alignment horizontal="left" vertical="center"/>
    </xf>
    <xf numFmtId="165" fontId="0" fillId="6" borderId="17" xfId="0" applyNumberFormat="1" applyFill="1" applyBorder="1" applyAlignment="1">
      <alignment horizontal="left" vertical="center"/>
    </xf>
    <xf numFmtId="165" fontId="3" fillId="6" borderId="12" xfId="0" applyNumberFormat="1" applyFont="1" applyFill="1" applyBorder="1" applyAlignment="1">
      <alignment horizontal="left" vertical="center"/>
    </xf>
    <xf numFmtId="0" fontId="8" fillId="6" borderId="14" xfId="0" applyFont="1" applyFill="1" applyBorder="1" applyAlignment="1">
      <alignment horizontal="left" vertical="center"/>
    </xf>
    <xf numFmtId="165" fontId="0" fillId="6" borderId="6" xfId="0" applyNumberFormat="1" applyFill="1" applyBorder="1" applyAlignment="1">
      <alignment horizontal="left" vertical="center"/>
    </xf>
    <xf numFmtId="165" fontId="3" fillId="6" borderId="3" xfId="0" applyNumberFormat="1" applyFont="1" applyFill="1" applyBorder="1" applyAlignment="1">
      <alignment horizontal="left" vertical="center"/>
    </xf>
    <xf numFmtId="0" fontId="8" fillId="6" borderId="4" xfId="0" applyFont="1" applyFill="1" applyBorder="1" applyAlignment="1">
      <alignment horizontal="left" vertical="center"/>
    </xf>
    <xf numFmtId="165" fontId="0" fillId="6" borderId="18" xfId="0" applyNumberFormat="1" applyFill="1" applyBorder="1" applyAlignment="1">
      <alignment horizontal="left" vertical="center"/>
    </xf>
    <xf numFmtId="165" fontId="3" fillId="6" borderId="13" xfId="0" applyNumberFormat="1" applyFont="1" applyFill="1" applyBorder="1" applyAlignment="1">
      <alignment horizontal="left" vertical="center"/>
    </xf>
    <xf numFmtId="0" fontId="8" fillId="6" borderId="15" xfId="0" applyFont="1" applyFill="1" applyBorder="1" applyAlignment="1">
      <alignment horizontal="left" vertical="center"/>
    </xf>
    <xf numFmtId="2" fontId="8" fillId="6" borderId="19" xfId="0" applyNumberFormat="1" applyFont="1" applyFill="1" applyBorder="1" applyAlignment="1">
      <alignment horizontal="left" vertical="center"/>
    </xf>
    <xf numFmtId="2" fontId="8" fillId="6" borderId="7" xfId="0" applyNumberFormat="1" applyFont="1" applyFill="1" applyBorder="1" applyAlignment="1">
      <alignment horizontal="left" vertical="center"/>
    </xf>
    <xf numFmtId="2" fontId="8" fillId="6" borderId="20" xfId="0" applyNumberFormat="1" applyFont="1" applyFill="1" applyBorder="1" applyAlignment="1">
      <alignment horizontal="left" vertical="center"/>
    </xf>
    <xf numFmtId="9" fontId="0" fillId="6" borderId="17" xfId="0" applyNumberFormat="1" applyFill="1" applyBorder="1" applyAlignment="1">
      <alignment horizontal="left" vertical="center"/>
    </xf>
    <xf numFmtId="9" fontId="3" fillId="6" borderId="12" xfId="0" applyNumberFormat="1" applyFont="1" applyFill="1" applyBorder="1" applyAlignment="1">
      <alignment horizontal="left" vertical="center"/>
    </xf>
    <xf numFmtId="9" fontId="3" fillId="6" borderId="14" xfId="0" applyNumberFormat="1" applyFont="1" applyFill="1" applyBorder="1" applyAlignment="1">
      <alignment horizontal="left" vertical="center"/>
    </xf>
    <xf numFmtId="9" fontId="0" fillId="6" borderId="6" xfId="0" applyNumberFormat="1" applyFill="1" applyBorder="1" applyAlignment="1">
      <alignment horizontal="left" vertical="center"/>
    </xf>
    <xf numFmtId="9" fontId="3" fillId="6" borderId="3" xfId="0" applyNumberFormat="1" applyFont="1" applyFill="1" applyBorder="1" applyAlignment="1">
      <alignment horizontal="left" vertical="center"/>
    </xf>
    <xf numFmtId="9" fontId="3" fillId="6" borderId="4" xfId="0" applyNumberFormat="1" applyFont="1" applyFill="1" applyBorder="1" applyAlignment="1">
      <alignment horizontal="left" vertical="center"/>
    </xf>
    <xf numFmtId="9" fontId="0" fillId="6" borderId="18" xfId="0" applyNumberFormat="1" applyFill="1" applyBorder="1" applyAlignment="1">
      <alignment horizontal="left" vertical="center"/>
    </xf>
    <xf numFmtId="9" fontId="3" fillId="6" borderId="13" xfId="0" applyNumberFormat="1" applyFont="1" applyFill="1" applyBorder="1" applyAlignment="1">
      <alignment horizontal="left" vertical="center"/>
    </xf>
    <xf numFmtId="9" fontId="3" fillId="6" borderId="15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4" fillId="3" borderId="0" xfId="0" applyFont="1" applyFill="1"/>
    <xf numFmtId="0" fontId="0" fillId="0" borderId="9" xfId="0" applyBorder="1"/>
    <xf numFmtId="0" fontId="0" fillId="4" borderId="3" xfId="0" applyFill="1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center" vertical="center"/>
    </xf>
    <xf numFmtId="0" fontId="0" fillId="6" borderId="0" xfId="0" applyFill="1"/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0" xfId="0" applyNumberForma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2" fontId="0" fillId="5" borderId="0" xfId="0" applyNumberFormat="1" applyFill="1"/>
    <xf numFmtId="2" fontId="3" fillId="5" borderId="0" xfId="0" applyNumberFormat="1" applyFont="1" applyFill="1"/>
    <xf numFmtId="2" fontId="13" fillId="5" borderId="8" xfId="0" applyNumberFormat="1" applyFont="1" applyFill="1" applyBorder="1" applyAlignment="1">
      <alignment horizontal="center" vertical="center"/>
    </xf>
    <xf numFmtId="2" fontId="13" fillId="5" borderId="0" xfId="0" applyNumberFormat="1" applyFont="1" applyFill="1"/>
    <xf numFmtId="0" fontId="0" fillId="7" borderId="0" xfId="0" applyFill="1"/>
    <xf numFmtId="0" fontId="11" fillId="7" borderId="0" xfId="0" applyFont="1" applyFill="1" applyAlignment="1">
      <alignment horizontal="left" vertical="center"/>
    </xf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2" fontId="0" fillId="0" borderId="14" xfId="0" applyNumberFormat="1" applyBorder="1" applyAlignment="1">
      <alignment horizontal="center" vertical="center"/>
    </xf>
    <xf numFmtId="0" fontId="3" fillId="5" borderId="0" xfId="0" applyFont="1" applyFill="1"/>
    <xf numFmtId="0" fontId="8" fillId="4" borderId="0" xfId="0" applyFont="1" applyFill="1" applyAlignment="1">
      <alignment horizontal="left"/>
    </xf>
    <xf numFmtId="2" fontId="13" fillId="5" borderId="0" xfId="0" applyNumberFormat="1" applyFont="1" applyFill="1" applyAlignment="1">
      <alignment horizontal="center" vertical="center"/>
    </xf>
    <xf numFmtId="2" fontId="0" fillId="8" borderId="21" xfId="0" applyNumberFormat="1" applyFill="1" applyBorder="1"/>
    <xf numFmtId="2" fontId="0" fillId="8" borderId="22" xfId="0" applyNumberFormat="1" applyFill="1" applyBorder="1"/>
    <xf numFmtId="0" fontId="0" fillId="8" borderId="22" xfId="0" applyFill="1" applyBorder="1"/>
    <xf numFmtId="0" fontId="0" fillId="8" borderId="23" xfId="0" applyFill="1" applyBorder="1"/>
    <xf numFmtId="0" fontId="0" fillId="8" borderId="24" xfId="0" applyFill="1" applyBorder="1"/>
    <xf numFmtId="0" fontId="0" fillId="8" borderId="0" xfId="0" applyFill="1"/>
    <xf numFmtId="0" fontId="0" fillId="8" borderId="25" xfId="0" applyFill="1" applyBorder="1"/>
    <xf numFmtId="0" fontId="0" fillId="8" borderId="24" xfId="0" applyFill="1" applyBorder="1" applyAlignment="1">
      <alignment horizontal="center" vertical="center"/>
    </xf>
    <xf numFmtId="164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2" fontId="0" fillId="8" borderId="24" xfId="0" applyNumberForma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8" borderId="26" xfId="0" applyFill="1" applyBorder="1"/>
    <xf numFmtId="0" fontId="0" fillId="8" borderId="27" xfId="0" applyFill="1" applyBorder="1"/>
    <xf numFmtId="2" fontId="0" fillId="8" borderId="27" xfId="0" applyNumberFormat="1" applyFill="1" applyBorder="1"/>
    <xf numFmtId="0" fontId="0" fillId="8" borderId="28" xfId="0" applyFill="1" applyBorder="1"/>
    <xf numFmtId="164" fontId="13" fillId="5" borderId="0" xfId="0" applyNumberFormat="1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2" fillId="4" borderId="0" xfId="0" applyFont="1" applyFill="1"/>
    <xf numFmtId="2" fontId="2" fillId="4" borderId="0" xfId="0" applyNumberFormat="1" applyFont="1" applyFill="1"/>
    <xf numFmtId="164" fontId="2" fillId="4" borderId="0" xfId="0" applyNumberFormat="1" applyFont="1" applyFill="1"/>
    <xf numFmtId="0" fontId="16" fillId="5" borderId="0" xfId="0" applyFont="1" applyFill="1"/>
    <xf numFmtId="164" fontId="17" fillId="5" borderId="0" xfId="0" applyNumberFormat="1" applyFont="1" applyFill="1" applyAlignment="1">
      <alignment horizontal="center" vertical="center"/>
    </xf>
    <xf numFmtId="0" fontId="18" fillId="5" borderId="0" xfId="0" applyFont="1" applyFill="1"/>
    <xf numFmtId="164" fontId="18" fillId="5" borderId="0" xfId="0" applyNumberFormat="1" applyFont="1" applyFill="1"/>
    <xf numFmtId="166" fontId="13" fillId="5" borderId="0" xfId="1" applyNumberFormat="1" applyFont="1" applyFill="1" applyAlignment="1">
      <alignment horizontal="center" vertical="center"/>
    </xf>
    <xf numFmtId="2" fontId="17" fillId="5" borderId="0" xfId="0" applyNumberFormat="1" applyFont="1" applyFill="1" applyAlignment="1">
      <alignment horizontal="center" vertical="center"/>
    </xf>
    <xf numFmtId="166" fontId="17" fillId="5" borderId="0" xfId="1" applyNumberFormat="1" applyFont="1" applyFill="1" applyAlignment="1">
      <alignment horizontal="center" vertical="center"/>
    </xf>
    <xf numFmtId="0" fontId="17" fillId="5" borderId="0" xfId="0" applyFont="1" applyFill="1"/>
    <xf numFmtId="0" fontId="20" fillId="9" borderId="8" xfId="0" applyFont="1" applyFill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0" xfId="0" applyNumberFormat="1" applyBorder="1"/>
    <xf numFmtId="0" fontId="1" fillId="0" borderId="9" xfId="0" applyFont="1" applyBorder="1"/>
    <xf numFmtId="0" fontId="1" fillId="0" borderId="0" xfId="0" applyFont="1"/>
    <xf numFmtId="164" fontId="13" fillId="5" borderId="8" xfId="0" applyNumberFormat="1" applyFont="1" applyFill="1" applyBorder="1" applyAlignment="1">
      <alignment horizontal="center" vertical="center"/>
    </xf>
    <xf numFmtId="167" fontId="13" fillId="5" borderId="8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30" xfId="0" applyFont="1" applyBorder="1"/>
    <xf numFmtId="9" fontId="4" fillId="0" borderId="30" xfId="0" applyNumberFormat="1" applyFont="1" applyBorder="1"/>
    <xf numFmtId="0" fontId="4" fillId="0" borderId="29" xfId="0" applyFont="1" applyBorder="1"/>
    <xf numFmtId="0" fontId="4" fillId="0" borderId="0" xfId="0" applyFont="1"/>
    <xf numFmtId="0" fontId="4" fillId="0" borderId="2" xfId="0" applyFont="1" applyBorder="1"/>
    <xf numFmtId="0" fontId="3" fillId="5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5" fontId="3" fillId="5" borderId="8" xfId="0" applyNumberFormat="1" applyFont="1" applyFill="1" applyBorder="1" applyAlignment="1">
      <alignment horizontal="left" vertical="center"/>
    </xf>
    <xf numFmtId="168" fontId="2" fillId="4" borderId="0" xfId="0" applyNumberFormat="1" applyFont="1" applyFill="1"/>
    <xf numFmtId="164" fontId="27" fillId="4" borderId="0" xfId="0" applyNumberFormat="1" applyFont="1" applyFill="1"/>
    <xf numFmtId="0" fontId="28" fillId="9" borderId="0" xfId="0" applyFont="1" applyFill="1" applyAlignment="1">
      <alignment horizontal="left" vertical="center"/>
    </xf>
    <xf numFmtId="0" fontId="29" fillId="9" borderId="0" xfId="0" applyFont="1" applyFill="1"/>
    <xf numFmtId="0" fontId="29" fillId="0" borderId="0" xfId="0" applyFont="1"/>
    <xf numFmtId="0" fontId="30" fillId="9" borderId="0" xfId="0" applyFont="1" applyFill="1" applyAlignment="1">
      <alignment horizontal="left" vertical="center"/>
    </xf>
    <xf numFmtId="165" fontId="30" fillId="9" borderId="0" xfId="0" applyNumberFormat="1" applyFont="1" applyFill="1" applyAlignment="1">
      <alignment horizontal="left" vertical="center"/>
    </xf>
    <xf numFmtId="2" fontId="30" fillId="9" borderId="0" xfId="0" applyNumberFormat="1" applyFont="1" applyFill="1" applyAlignment="1">
      <alignment horizontal="left" vertical="center"/>
    </xf>
    <xf numFmtId="14" fontId="29" fillId="16" borderId="3" xfId="0" applyNumberFormat="1" applyFont="1" applyFill="1" applyBorder="1" applyAlignment="1">
      <alignment horizontal="center" vertical="center"/>
    </xf>
    <xf numFmtId="0" fontId="29" fillId="16" borderId="12" xfId="0" applyFont="1" applyFill="1" applyBorder="1" applyAlignment="1">
      <alignment horizontal="center" vertical="center"/>
    </xf>
    <xf numFmtId="0" fontId="31" fillId="16" borderId="12" xfId="0" applyFont="1" applyFill="1" applyBorder="1" applyAlignment="1">
      <alignment horizontal="center" vertical="center"/>
    </xf>
    <xf numFmtId="0" fontId="32" fillId="16" borderId="14" xfId="0" applyFont="1" applyFill="1" applyBorder="1" applyAlignment="1">
      <alignment horizontal="center" vertical="center"/>
    </xf>
    <xf numFmtId="0" fontId="33" fillId="9" borderId="31" xfId="0" applyFont="1" applyFill="1" applyBorder="1" applyAlignment="1">
      <alignment horizontal="center" vertical="center"/>
    </xf>
    <xf numFmtId="0" fontId="29" fillId="16" borderId="17" xfId="0" applyFont="1" applyFill="1" applyBorder="1" applyAlignment="1">
      <alignment horizontal="center" vertical="center"/>
    </xf>
    <xf numFmtId="165" fontId="33" fillId="16" borderId="12" xfId="0" applyNumberFormat="1" applyFont="1" applyFill="1" applyBorder="1" applyAlignment="1">
      <alignment horizontal="center" vertical="center"/>
    </xf>
    <xf numFmtId="0" fontId="34" fillId="16" borderId="14" xfId="0" applyFont="1" applyFill="1" applyBorder="1" applyAlignment="1">
      <alignment horizontal="center" vertical="center"/>
    </xf>
    <xf numFmtId="2" fontId="33" fillId="9" borderId="31" xfId="0" applyNumberFormat="1" applyFont="1" applyFill="1" applyBorder="1" applyAlignment="1">
      <alignment horizontal="center" vertical="center"/>
    </xf>
    <xf numFmtId="2" fontId="34" fillId="16" borderId="19" xfId="0" applyNumberFormat="1" applyFont="1" applyFill="1" applyBorder="1" applyAlignment="1">
      <alignment horizontal="center" vertical="center"/>
    </xf>
    <xf numFmtId="9" fontId="29" fillId="16" borderId="17" xfId="0" applyNumberFormat="1" applyFont="1" applyFill="1" applyBorder="1" applyAlignment="1">
      <alignment horizontal="center" vertical="center"/>
    </xf>
    <xf numFmtId="9" fontId="33" fillId="16" borderId="3" xfId="0" applyNumberFormat="1" applyFont="1" applyFill="1" applyBorder="1" applyAlignment="1">
      <alignment horizontal="center" vertical="center"/>
    </xf>
    <xf numFmtId="9" fontId="33" fillId="16" borderId="4" xfId="0" applyNumberFormat="1" applyFont="1" applyFill="1" applyBorder="1" applyAlignment="1">
      <alignment horizontal="center" vertical="center"/>
    </xf>
    <xf numFmtId="2" fontId="33" fillId="9" borderId="32" xfId="0" applyNumberFormat="1" applyFont="1" applyFill="1" applyBorder="1" applyAlignment="1">
      <alignment horizontal="center" vertical="center"/>
    </xf>
    <xf numFmtId="0" fontId="29" fillId="16" borderId="3" xfId="0" applyFont="1" applyFill="1" applyBorder="1" applyAlignment="1">
      <alignment horizontal="center" vertical="center"/>
    </xf>
    <xf numFmtId="0" fontId="29" fillId="16" borderId="14" xfId="0" applyFont="1" applyFill="1" applyBorder="1" applyAlignment="1">
      <alignment horizontal="center" vertical="center"/>
    </xf>
    <xf numFmtId="0" fontId="32" fillId="16" borderId="7" xfId="0" applyFont="1" applyFill="1" applyBorder="1" applyAlignment="1">
      <alignment horizontal="center" vertical="center"/>
    </xf>
    <xf numFmtId="0" fontId="29" fillId="16" borderId="6" xfId="0" applyFont="1" applyFill="1" applyBorder="1" applyAlignment="1">
      <alignment horizontal="center" vertical="center"/>
    </xf>
    <xf numFmtId="165" fontId="33" fillId="16" borderId="3" xfId="0" applyNumberFormat="1" applyFont="1" applyFill="1" applyBorder="1" applyAlignment="1">
      <alignment horizontal="center" vertical="center"/>
    </xf>
    <xf numFmtId="0" fontId="34" fillId="16" borderId="4" xfId="0" applyFont="1" applyFill="1" applyBorder="1" applyAlignment="1">
      <alignment horizontal="center" vertical="center"/>
    </xf>
    <xf numFmtId="2" fontId="33" fillId="9" borderId="34" xfId="0" applyNumberFormat="1" applyFont="1" applyFill="1" applyBorder="1" applyAlignment="1">
      <alignment horizontal="center" vertical="center"/>
    </xf>
    <xf numFmtId="2" fontId="34" fillId="16" borderId="7" xfId="0" applyNumberFormat="1" applyFont="1" applyFill="1" applyBorder="1" applyAlignment="1">
      <alignment horizontal="center" vertical="center"/>
    </xf>
    <xf numFmtId="2" fontId="33" fillId="9" borderId="33" xfId="0" applyNumberFormat="1" applyFont="1" applyFill="1" applyBorder="1" applyAlignment="1">
      <alignment horizontal="center" vertical="center"/>
    </xf>
    <xf numFmtId="9" fontId="29" fillId="16" borderId="6" xfId="0" applyNumberFormat="1" applyFont="1" applyFill="1" applyBorder="1" applyAlignment="1">
      <alignment horizontal="center" vertical="center"/>
    </xf>
    <xf numFmtId="2" fontId="36" fillId="5" borderId="0" xfId="0" applyNumberFormat="1" applyFont="1" applyFill="1" applyAlignment="1">
      <alignment horizontal="center" vertical="center"/>
    </xf>
    <xf numFmtId="2" fontId="36" fillId="5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left" vertical="center"/>
    </xf>
    <xf numFmtId="2" fontId="0" fillId="0" borderId="1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0" fontId="22" fillId="6" borderId="3" xfId="0" applyFont="1" applyFill="1" applyBorder="1" applyAlignment="1">
      <alignment horizontal="center" vertical="center"/>
    </xf>
    <xf numFmtId="2" fontId="22" fillId="6" borderId="3" xfId="0" applyNumberFormat="1" applyFont="1" applyFill="1" applyBorder="1" applyAlignment="1">
      <alignment horizontal="center" vertical="center"/>
    </xf>
    <xf numFmtId="2" fontId="37" fillId="16" borderId="12" xfId="0" applyNumberFormat="1" applyFont="1" applyFill="1" applyBorder="1" applyAlignment="1">
      <alignment horizontal="center" vertical="center"/>
    </xf>
    <xf numFmtId="2" fontId="37" fillId="16" borderId="3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left"/>
    </xf>
    <xf numFmtId="2" fontId="35" fillId="6" borderId="3" xfId="0" applyNumberFormat="1" applyFont="1" applyFill="1" applyBorder="1" applyAlignment="1">
      <alignment horizontal="left"/>
    </xf>
    <xf numFmtId="2" fontId="5" fillId="6" borderId="3" xfId="0" applyNumberFormat="1" applyFont="1" applyFill="1" applyBorder="1" applyAlignment="1">
      <alignment horizontal="left"/>
    </xf>
    <xf numFmtId="0" fontId="5" fillId="6" borderId="8" xfId="0" applyFont="1" applyFill="1" applyBorder="1" applyAlignment="1">
      <alignment horizontal="left"/>
    </xf>
    <xf numFmtId="2" fontId="5" fillId="6" borderId="8" xfId="0" applyNumberFormat="1" applyFont="1" applyFill="1" applyBorder="1" applyAlignment="1">
      <alignment horizontal="left"/>
    </xf>
    <xf numFmtId="0" fontId="22" fillId="6" borderId="38" xfId="0" applyFont="1" applyFill="1" applyBorder="1" applyAlignment="1">
      <alignment horizontal="center" vertical="center"/>
    </xf>
    <xf numFmtId="44" fontId="22" fillId="6" borderId="3" xfId="1" applyFont="1" applyFill="1" applyBorder="1" applyAlignment="1">
      <alignment horizontal="center" vertical="center"/>
    </xf>
    <xf numFmtId="44" fontId="37" fillId="16" borderId="12" xfId="1" applyFont="1" applyFill="1" applyBorder="1" applyAlignment="1">
      <alignment horizontal="center" vertical="center"/>
    </xf>
    <xf numFmtId="44" fontId="37" fillId="16" borderId="3" xfId="1" applyFont="1" applyFill="1" applyBorder="1" applyAlignment="1">
      <alignment horizontal="center" vertical="center"/>
    </xf>
    <xf numFmtId="44" fontId="37" fillId="16" borderId="13" xfId="1" applyFont="1" applyFill="1" applyBorder="1" applyAlignment="1">
      <alignment horizontal="center" vertical="center"/>
    </xf>
    <xf numFmtId="44" fontId="22" fillId="6" borderId="38" xfId="1" applyFont="1" applyFill="1" applyBorder="1" applyAlignment="1">
      <alignment horizontal="center" vertical="center"/>
    </xf>
    <xf numFmtId="164" fontId="37" fillId="16" borderId="12" xfId="1" applyNumberFormat="1" applyFont="1" applyFill="1" applyBorder="1" applyAlignment="1">
      <alignment horizontal="center" vertical="center"/>
    </xf>
    <xf numFmtId="164" fontId="37" fillId="16" borderId="3" xfId="1" applyNumberFormat="1" applyFont="1" applyFill="1" applyBorder="1" applyAlignment="1">
      <alignment horizontal="center" vertical="center"/>
    </xf>
    <xf numFmtId="164" fontId="37" fillId="16" borderId="13" xfId="1" applyNumberFormat="1" applyFont="1" applyFill="1" applyBorder="1" applyAlignment="1">
      <alignment horizontal="center" vertical="center"/>
    </xf>
    <xf numFmtId="0" fontId="22" fillId="6" borderId="6" xfId="0" applyFont="1" applyFill="1" applyBorder="1" applyAlignment="1">
      <alignment horizontal="center" vertical="center"/>
    </xf>
    <xf numFmtId="44" fontId="22" fillId="6" borderId="4" xfId="1" applyFont="1" applyFill="1" applyBorder="1" applyAlignment="1">
      <alignment horizontal="center" vertical="center"/>
    </xf>
    <xf numFmtId="0" fontId="33" fillId="9" borderId="40" xfId="0" applyFont="1" applyFill="1" applyBorder="1" applyAlignment="1">
      <alignment horizontal="center" vertical="center"/>
    </xf>
    <xf numFmtId="14" fontId="29" fillId="16" borderId="12" xfId="0" applyNumberFormat="1" applyFont="1" applyFill="1" applyBorder="1" applyAlignment="1">
      <alignment horizontal="center" vertical="center"/>
    </xf>
    <xf numFmtId="14" fontId="39" fillId="16" borderId="39" xfId="0" applyNumberFormat="1" applyFont="1" applyFill="1" applyBorder="1" applyAlignment="1">
      <alignment horizontal="center" vertical="center"/>
    </xf>
    <xf numFmtId="0" fontId="39" fillId="16" borderId="39" xfId="0" applyFont="1" applyFill="1" applyBorder="1" applyAlignment="1">
      <alignment horizontal="center" vertical="center"/>
    </xf>
    <xf numFmtId="0" fontId="40" fillId="16" borderId="39" xfId="0" applyFont="1" applyFill="1" applyBorder="1" applyAlignment="1">
      <alignment horizontal="center" vertical="center"/>
    </xf>
    <xf numFmtId="0" fontId="27" fillId="16" borderId="39" xfId="0" applyFont="1" applyFill="1" applyBorder="1" applyAlignment="1">
      <alignment horizontal="center" vertical="center"/>
    </xf>
    <xf numFmtId="0" fontId="42" fillId="0" borderId="0" xfId="0" applyFont="1"/>
    <xf numFmtId="0" fontId="32" fillId="16" borderId="19" xfId="0" applyFont="1" applyFill="1" applyBorder="1" applyAlignment="1">
      <alignment horizontal="center" vertical="center"/>
    </xf>
    <xf numFmtId="0" fontId="33" fillId="9" borderId="37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0" fontId="31" fillId="16" borderId="3" xfId="0" applyFont="1" applyFill="1" applyBorder="1" applyAlignment="1">
      <alignment horizontal="center" vertical="center"/>
    </xf>
    <xf numFmtId="14" fontId="39" fillId="16" borderId="3" xfId="0" applyNumberFormat="1" applyFont="1" applyFill="1" applyBorder="1" applyAlignment="1">
      <alignment horizontal="center" vertical="center"/>
    </xf>
    <xf numFmtId="0" fontId="39" fillId="16" borderId="3" xfId="0" applyFont="1" applyFill="1" applyBorder="1" applyAlignment="1">
      <alignment horizontal="center" vertical="center"/>
    </xf>
    <xf numFmtId="0" fontId="33" fillId="9" borderId="33" xfId="0" applyFont="1" applyFill="1" applyBorder="1" applyAlignment="1">
      <alignment horizontal="center" vertical="center"/>
    </xf>
    <xf numFmtId="14" fontId="29" fillId="16" borderId="39" xfId="0" applyNumberFormat="1" applyFont="1" applyFill="1" applyBorder="1" applyAlignment="1">
      <alignment horizontal="center" vertical="center"/>
    </xf>
    <xf numFmtId="0" fontId="29" fillId="16" borderId="39" xfId="0" applyFont="1" applyFill="1" applyBorder="1" applyAlignment="1">
      <alignment horizontal="center" vertical="center"/>
    </xf>
    <xf numFmtId="0" fontId="31" fillId="16" borderId="39" xfId="0" applyFont="1" applyFill="1" applyBorder="1" applyAlignment="1">
      <alignment horizontal="center" vertical="center"/>
    </xf>
    <xf numFmtId="0" fontId="32" fillId="16" borderId="39" xfId="0" applyFont="1" applyFill="1" applyBorder="1" applyAlignment="1">
      <alignment horizontal="center" vertical="center"/>
    </xf>
    <xf numFmtId="14" fontId="39" fillId="16" borderId="41" xfId="0" applyNumberFormat="1" applyFont="1" applyFill="1" applyBorder="1" applyAlignment="1">
      <alignment horizontal="center" vertical="center"/>
    </xf>
    <xf numFmtId="0" fontId="39" fillId="16" borderId="41" xfId="0" applyFont="1" applyFill="1" applyBorder="1" applyAlignment="1">
      <alignment horizontal="center" vertical="center"/>
    </xf>
    <xf numFmtId="0" fontId="40" fillId="16" borderId="41" xfId="0" applyFont="1" applyFill="1" applyBorder="1" applyAlignment="1">
      <alignment horizontal="center" vertical="center"/>
    </xf>
    <xf numFmtId="0" fontId="27" fillId="16" borderId="41" xfId="0" applyFont="1" applyFill="1" applyBorder="1" applyAlignment="1">
      <alignment horizontal="center" vertical="center"/>
    </xf>
    <xf numFmtId="14" fontId="39" fillId="16" borderId="42" xfId="0" applyNumberFormat="1" applyFont="1" applyFill="1" applyBorder="1" applyAlignment="1">
      <alignment horizontal="center" vertical="center"/>
    </xf>
    <xf numFmtId="0" fontId="39" fillId="16" borderId="42" xfId="0" applyFont="1" applyFill="1" applyBorder="1" applyAlignment="1">
      <alignment horizontal="center" vertical="center"/>
    </xf>
    <xf numFmtId="0" fontId="40" fillId="16" borderId="42" xfId="0" applyFont="1" applyFill="1" applyBorder="1" applyAlignment="1">
      <alignment horizontal="center" vertical="center"/>
    </xf>
    <xf numFmtId="0" fontId="27" fillId="16" borderId="42" xfId="0" applyFont="1" applyFill="1" applyBorder="1" applyAlignment="1">
      <alignment horizontal="center" vertical="center"/>
    </xf>
    <xf numFmtId="0" fontId="41" fillId="6" borderId="43" xfId="0" applyFont="1" applyFill="1" applyBorder="1"/>
    <xf numFmtId="0" fontId="42" fillId="16" borderId="43" xfId="0" applyFont="1" applyFill="1" applyBorder="1" applyAlignment="1">
      <alignment horizontal="center" vertical="center"/>
    </xf>
    <xf numFmtId="0" fontId="28" fillId="16" borderId="43" xfId="0" applyFont="1" applyFill="1" applyBorder="1" applyAlignment="1">
      <alignment horizontal="center" vertical="center"/>
    </xf>
    <xf numFmtId="0" fontId="43" fillId="16" borderId="43" xfId="0" applyFont="1" applyFill="1" applyBorder="1" applyAlignment="1">
      <alignment horizontal="center" vertical="center"/>
    </xf>
    <xf numFmtId="14" fontId="29" fillId="16" borderId="8" xfId="0" applyNumberFormat="1" applyFont="1" applyFill="1" applyBorder="1" applyAlignment="1">
      <alignment horizontal="center" vertical="center"/>
    </xf>
    <xf numFmtId="0" fontId="29" fillId="16" borderId="8" xfId="0" applyFont="1" applyFill="1" applyBorder="1" applyAlignment="1">
      <alignment horizontal="center" vertical="center"/>
    </xf>
    <xf numFmtId="0" fontId="29" fillId="16" borderId="13" xfId="0" applyFont="1" applyFill="1" applyBorder="1" applyAlignment="1">
      <alignment horizontal="center" vertical="center"/>
    </xf>
    <xf numFmtId="0" fontId="29" fillId="16" borderId="35" xfId="0" applyFont="1" applyFill="1" applyBorder="1" applyAlignment="1">
      <alignment horizontal="center" vertical="center"/>
    </xf>
    <xf numFmtId="0" fontId="31" fillId="16" borderId="15" xfId="0" applyFont="1" applyFill="1" applyBorder="1" applyAlignment="1">
      <alignment horizontal="center" vertical="center"/>
    </xf>
    <xf numFmtId="0" fontId="32" fillId="16" borderId="20" xfId="0" applyFont="1" applyFill="1" applyBorder="1" applyAlignment="1">
      <alignment horizontal="center" vertical="center"/>
    </xf>
    <xf numFmtId="0" fontId="33" fillId="9" borderId="36" xfId="0" applyFont="1" applyFill="1" applyBorder="1" applyAlignment="1">
      <alignment horizontal="center" vertical="center"/>
    </xf>
    <xf numFmtId="0" fontId="44" fillId="16" borderId="43" xfId="0" applyFont="1" applyFill="1" applyBorder="1" applyAlignment="1">
      <alignment horizontal="center" vertical="center"/>
    </xf>
    <xf numFmtId="0" fontId="45" fillId="16" borderId="43" xfId="0" applyFont="1" applyFill="1" applyBorder="1" applyAlignment="1">
      <alignment horizontal="center" vertical="center"/>
    </xf>
    <xf numFmtId="0" fontId="44" fillId="9" borderId="43" xfId="0" applyFont="1" applyFill="1" applyBorder="1" applyAlignment="1">
      <alignment horizontal="center" vertical="center"/>
    </xf>
    <xf numFmtId="0" fontId="44" fillId="9" borderId="44" xfId="0" applyFont="1" applyFill="1" applyBorder="1" applyAlignment="1">
      <alignment horizontal="center" vertical="center"/>
    </xf>
    <xf numFmtId="0" fontId="29" fillId="16" borderId="18" xfId="0" applyFont="1" applyFill="1" applyBorder="1" applyAlignment="1">
      <alignment horizontal="center" vertical="center"/>
    </xf>
    <xf numFmtId="165" fontId="33" fillId="16" borderId="13" xfId="0" applyNumberFormat="1" applyFont="1" applyFill="1" applyBorder="1" applyAlignment="1">
      <alignment horizontal="center" vertical="center"/>
    </xf>
    <xf numFmtId="0" fontId="34" fillId="16" borderId="15" xfId="0" applyFont="1" applyFill="1" applyBorder="1" applyAlignment="1">
      <alignment horizontal="center" vertical="center"/>
    </xf>
    <xf numFmtId="2" fontId="33" fillId="9" borderId="45" xfId="0" applyNumberFormat="1" applyFont="1" applyFill="1" applyBorder="1" applyAlignment="1">
      <alignment horizontal="center" vertical="center"/>
    </xf>
    <xf numFmtId="2" fontId="34" fillId="16" borderId="20" xfId="0" applyNumberFormat="1" applyFont="1" applyFill="1" applyBorder="1" applyAlignment="1">
      <alignment horizontal="center" vertical="center"/>
    </xf>
    <xf numFmtId="2" fontId="33" fillId="9" borderId="46" xfId="0" applyNumberFormat="1" applyFont="1" applyFill="1" applyBorder="1" applyAlignment="1">
      <alignment horizontal="center" vertical="center"/>
    </xf>
    <xf numFmtId="2" fontId="33" fillId="9" borderId="47" xfId="0" applyNumberFormat="1" applyFont="1" applyFill="1" applyBorder="1" applyAlignment="1">
      <alignment horizontal="center" vertical="center"/>
    </xf>
    <xf numFmtId="9" fontId="29" fillId="16" borderId="18" xfId="0" applyNumberFormat="1" applyFont="1" applyFill="1" applyBorder="1" applyAlignment="1">
      <alignment horizontal="center" vertical="center"/>
    </xf>
    <xf numFmtId="9" fontId="33" fillId="16" borderId="13" xfId="0" applyNumberFormat="1" applyFont="1" applyFill="1" applyBorder="1" applyAlignment="1">
      <alignment horizontal="center" vertical="center"/>
    </xf>
    <xf numFmtId="9" fontId="33" fillId="16" borderId="15" xfId="0" applyNumberFormat="1" applyFont="1" applyFill="1" applyBorder="1" applyAlignment="1">
      <alignment horizontal="center" vertical="center"/>
    </xf>
    <xf numFmtId="2" fontId="33" fillId="20" borderId="0" xfId="0" applyNumberFormat="1" applyFont="1" applyFill="1" applyAlignment="1">
      <alignment horizontal="center" vertical="center"/>
    </xf>
    <xf numFmtId="2" fontId="34" fillId="20" borderId="0" xfId="0" applyNumberFormat="1" applyFont="1" applyFill="1" applyAlignment="1">
      <alignment horizontal="center" vertical="center"/>
    </xf>
    <xf numFmtId="9" fontId="29" fillId="20" borderId="0" xfId="0" applyNumberFormat="1" applyFont="1" applyFill="1" applyAlignment="1">
      <alignment horizontal="center" vertical="center"/>
    </xf>
    <xf numFmtId="9" fontId="33" fillId="20" borderId="0" xfId="0" applyNumberFormat="1" applyFont="1" applyFill="1" applyAlignment="1">
      <alignment horizontal="center" vertical="center"/>
    </xf>
    <xf numFmtId="0" fontId="0" fillId="21" borderId="0" xfId="0" applyFill="1"/>
    <xf numFmtId="2" fontId="45" fillId="16" borderId="43" xfId="0" applyNumberFormat="1" applyFont="1" applyFill="1" applyBorder="1" applyAlignment="1">
      <alignment horizontal="center" vertical="center"/>
    </xf>
    <xf numFmtId="2" fontId="13" fillId="22" borderId="0" xfId="0" applyNumberFormat="1" applyFont="1" applyFill="1" applyAlignment="1">
      <alignment horizontal="center" vertical="center"/>
    </xf>
    <xf numFmtId="2" fontId="13" fillId="22" borderId="0" xfId="0" applyNumberFormat="1" applyFont="1" applyFill="1"/>
    <xf numFmtId="0" fontId="20" fillId="23" borderId="0" xfId="0" applyFont="1" applyFill="1" applyAlignment="1">
      <alignment horizontal="center" vertical="center"/>
    </xf>
    <xf numFmtId="2" fontId="44" fillId="9" borderId="43" xfId="0" applyNumberFormat="1" applyFont="1" applyFill="1" applyBorder="1" applyAlignment="1">
      <alignment horizontal="center" vertical="center"/>
    </xf>
    <xf numFmtId="0" fontId="0" fillId="24" borderId="0" xfId="0" applyFill="1" applyAlignment="1">
      <alignment horizontal="left"/>
    </xf>
    <xf numFmtId="2" fontId="0" fillId="24" borderId="0" xfId="0" applyNumberFormat="1" applyFill="1"/>
    <xf numFmtId="0" fontId="0" fillId="24" borderId="0" xfId="0" applyFill="1"/>
    <xf numFmtId="2" fontId="0" fillId="21" borderId="0" xfId="0" applyNumberFormat="1" applyFill="1"/>
    <xf numFmtId="2" fontId="49" fillId="5" borderId="32" xfId="0" applyNumberFormat="1" applyFont="1" applyFill="1" applyBorder="1" applyAlignment="1">
      <alignment horizontal="center"/>
    </xf>
    <xf numFmtId="2" fontId="49" fillId="5" borderId="34" xfId="0" applyNumberFormat="1" applyFont="1" applyFill="1" applyBorder="1"/>
    <xf numFmtId="2" fontId="49" fillId="5" borderId="33" xfId="0" applyNumberFormat="1" applyFont="1" applyFill="1" applyBorder="1"/>
    <xf numFmtId="2" fontId="49" fillId="24" borderId="32" xfId="0" applyNumberFormat="1" applyFont="1" applyFill="1" applyBorder="1" applyAlignment="1">
      <alignment horizontal="center"/>
    </xf>
    <xf numFmtId="9" fontId="0" fillId="4" borderId="3" xfId="0" applyNumberFormat="1" applyFill="1" applyBorder="1" applyAlignment="1">
      <alignment horizontal="left" vertical="center"/>
    </xf>
    <xf numFmtId="9" fontId="0" fillId="4" borderId="4" xfId="0" applyNumberFormat="1" applyFill="1" applyBorder="1" applyAlignment="1">
      <alignment horizontal="left" vertical="center"/>
    </xf>
    <xf numFmtId="169" fontId="3" fillId="5" borderId="5" xfId="0" applyNumberFormat="1" applyFont="1" applyFill="1" applyBorder="1" applyAlignment="1">
      <alignment horizontal="left" vertical="center"/>
    </xf>
    <xf numFmtId="1" fontId="0" fillId="4" borderId="3" xfId="0" applyNumberFormat="1" applyFill="1" applyBorder="1" applyAlignment="1">
      <alignment horizontal="left" vertical="center"/>
    </xf>
    <xf numFmtId="0" fontId="4" fillId="0" borderId="10" xfId="0" applyFont="1" applyBorder="1"/>
    <xf numFmtId="0" fontId="3" fillId="5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left" vertical="center"/>
    </xf>
    <xf numFmtId="2" fontId="3" fillId="5" borderId="0" xfId="0" applyNumberFormat="1" applyFont="1" applyFill="1" applyAlignment="1">
      <alignment horizontal="left" vertical="center"/>
    </xf>
    <xf numFmtId="170" fontId="4" fillId="0" borderId="10" xfId="0" applyNumberFormat="1" applyFont="1" applyBorder="1"/>
    <xf numFmtId="0" fontId="57" fillId="0" borderId="0" xfId="0" applyFont="1" applyAlignment="1">
      <alignment horizontal="center"/>
    </xf>
    <xf numFmtId="2" fontId="57" fillId="0" borderId="0" xfId="0" applyNumberFormat="1" applyFont="1" applyAlignment="1">
      <alignment horizontal="center"/>
    </xf>
    <xf numFmtId="2" fontId="57" fillId="0" borderId="3" xfId="0" applyNumberFormat="1" applyFont="1" applyBorder="1" applyAlignment="1">
      <alignment horizontal="center" vertical="center"/>
    </xf>
    <xf numFmtId="0" fontId="58" fillId="2" borderId="55" xfId="0" applyFont="1" applyFill="1" applyBorder="1" applyAlignment="1">
      <alignment horizontal="left"/>
    </xf>
    <xf numFmtId="0" fontId="59" fillId="5" borderId="0" xfId="0" applyFont="1" applyFill="1"/>
    <xf numFmtId="0" fontId="57" fillId="0" borderId="0" xfId="0" applyFont="1" applyAlignment="1">
      <alignment horizontal="center" vertical="center" wrapText="1"/>
    </xf>
    <xf numFmtId="2" fontId="57" fillId="0" borderId="0" xfId="0" applyNumberFormat="1" applyFont="1" applyAlignment="1">
      <alignment horizontal="center" vertical="center" wrapText="1"/>
    </xf>
    <xf numFmtId="0" fontId="62" fillId="0" borderId="0" xfId="0" applyFont="1" applyAlignment="1">
      <alignment horizontal="center"/>
    </xf>
    <xf numFmtId="2" fontId="63" fillId="0" borderId="3" xfId="0" applyNumberFormat="1" applyFont="1" applyBorder="1" applyAlignment="1">
      <alignment horizontal="center" vertical="center"/>
    </xf>
    <xf numFmtId="2" fontId="63" fillId="3" borderId="3" xfId="0" applyNumberFormat="1" applyFont="1" applyFill="1" applyBorder="1" applyAlignment="1">
      <alignment horizontal="center" vertical="center"/>
    </xf>
    <xf numFmtId="171" fontId="63" fillId="0" borderId="0" xfId="0" applyNumberFormat="1" applyFont="1" applyAlignment="1">
      <alignment horizontal="center"/>
    </xf>
    <xf numFmtId="0" fontId="63" fillId="0" borderId="0" xfId="0" applyFont="1" applyAlignment="1">
      <alignment horizontal="center"/>
    </xf>
    <xf numFmtId="164" fontId="63" fillId="0" borderId="0" xfId="0" applyNumberFormat="1" applyFont="1" applyAlignment="1">
      <alignment horizontal="center"/>
    </xf>
    <xf numFmtId="172" fontId="63" fillId="0" borderId="0" xfId="0" applyNumberFormat="1" applyFont="1" applyAlignment="1">
      <alignment horizontal="center"/>
    </xf>
    <xf numFmtId="170" fontId="63" fillId="0" borderId="0" xfId="0" applyNumberFormat="1" applyFont="1" applyAlignment="1">
      <alignment horizontal="center"/>
    </xf>
    <xf numFmtId="2" fontId="63" fillId="0" borderId="0" xfId="0" applyNumberFormat="1" applyFont="1" applyAlignment="1">
      <alignment horizontal="center" vertical="center"/>
    </xf>
    <xf numFmtId="2" fontId="63" fillId="0" borderId="0" xfId="0" applyNumberFormat="1" applyFont="1" applyAlignment="1">
      <alignment horizontal="center"/>
    </xf>
    <xf numFmtId="2" fontId="64" fillId="0" borderId="3" xfId="0" applyNumberFormat="1" applyFont="1" applyBorder="1" applyAlignment="1">
      <alignment horizontal="center" vertical="center"/>
    </xf>
    <xf numFmtId="170" fontId="64" fillId="0" borderId="3" xfId="0" applyNumberFormat="1" applyFont="1" applyBorder="1" applyAlignment="1">
      <alignment horizontal="center" vertical="center"/>
    </xf>
    <xf numFmtId="0" fontId="64" fillId="0" borderId="0" xfId="0" applyFont="1" applyAlignment="1">
      <alignment horizontal="center"/>
    </xf>
    <xf numFmtId="171" fontId="64" fillId="0" borderId="0" xfId="0" applyNumberFormat="1" applyFont="1" applyAlignment="1">
      <alignment horizontal="center"/>
    </xf>
    <xf numFmtId="164" fontId="64" fillId="0" borderId="0" xfId="0" applyNumberFormat="1" applyFont="1" applyAlignment="1">
      <alignment horizontal="center"/>
    </xf>
    <xf numFmtId="1" fontId="64" fillId="0" borderId="0" xfId="0" applyNumberFormat="1" applyFont="1" applyAlignment="1">
      <alignment horizontal="center"/>
    </xf>
    <xf numFmtId="9" fontId="64" fillId="0" borderId="0" xfId="0" applyNumberFormat="1" applyFont="1" applyAlignment="1">
      <alignment horizontal="center"/>
    </xf>
    <xf numFmtId="2" fontId="64" fillId="0" borderId="53" xfId="0" applyNumberFormat="1" applyFont="1" applyBorder="1" applyAlignment="1">
      <alignment horizontal="center"/>
    </xf>
    <xf numFmtId="170" fontId="64" fillId="0" borderId="53" xfId="0" applyNumberFormat="1" applyFont="1" applyBorder="1" applyAlignment="1">
      <alignment horizontal="center"/>
    </xf>
    <xf numFmtId="0" fontId="61" fillId="5" borderId="8" xfId="0" applyFont="1" applyFill="1" applyBorder="1" applyAlignment="1">
      <alignment horizontal="center" vertical="center"/>
    </xf>
    <xf numFmtId="0" fontId="61" fillId="5" borderId="0" xfId="0" applyFont="1" applyFill="1" applyAlignment="1">
      <alignment horizontal="center" vertical="center"/>
    </xf>
    <xf numFmtId="0" fontId="61" fillId="5" borderId="0" xfId="0" applyFont="1" applyFill="1" applyAlignment="1">
      <alignment horizontal="center"/>
    </xf>
    <xf numFmtId="164" fontId="61" fillId="5" borderId="0" xfId="0" applyNumberFormat="1" applyFont="1" applyFill="1" applyAlignment="1">
      <alignment horizontal="center"/>
    </xf>
    <xf numFmtId="171" fontId="61" fillId="5" borderId="0" xfId="0" applyNumberFormat="1" applyFont="1" applyFill="1" applyAlignment="1">
      <alignment horizontal="center"/>
    </xf>
    <xf numFmtId="0" fontId="61" fillId="0" borderId="0" xfId="0" applyFont="1" applyAlignment="1">
      <alignment horizontal="center"/>
    </xf>
    <xf numFmtId="0" fontId="62" fillId="5" borderId="0" xfId="0" applyFont="1" applyFill="1" applyAlignment="1">
      <alignment horizontal="center"/>
    </xf>
    <xf numFmtId="0" fontId="62" fillId="5" borderId="0" xfId="0" applyFont="1" applyFill="1" applyAlignment="1">
      <alignment horizontal="center" vertical="center"/>
    </xf>
    <xf numFmtId="171" fontId="62" fillId="5" borderId="0" xfId="0" applyNumberFormat="1" applyFont="1" applyFill="1" applyAlignment="1">
      <alignment horizontal="center"/>
    </xf>
    <xf numFmtId="164" fontId="63" fillId="5" borderId="0" xfId="0" applyNumberFormat="1" applyFont="1" applyFill="1" applyAlignment="1">
      <alignment horizontal="center"/>
    </xf>
    <xf numFmtId="172" fontId="63" fillId="5" borderId="0" xfId="0" applyNumberFormat="1" applyFont="1" applyFill="1" applyAlignment="1">
      <alignment horizontal="center"/>
    </xf>
    <xf numFmtId="0" fontId="58" fillId="2" borderId="54" xfId="0" applyFont="1" applyFill="1" applyBorder="1" applyAlignment="1">
      <alignment horizontal="center" vertical="center" wrapText="1"/>
    </xf>
    <xf numFmtId="0" fontId="58" fillId="2" borderId="52" xfId="0" applyFont="1" applyFill="1" applyBorder="1" applyAlignment="1">
      <alignment horizontal="center" vertical="center" wrapText="1"/>
    </xf>
    <xf numFmtId="0" fontId="58" fillId="2" borderId="53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2" borderId="0" xfId="0" applyFont="1" applyFill="1" applyAlignment="1">
      <alignment horizontal="center" vertical="center" wrapText="1"/>
    </xf>
    <xf numFmtId="2" fontId="58" fillId="2" borderId="0" xfId="0" applyNumberFormat="1" applyFont="1" applyFill="1" applyAlignment="1">
      <alignment horizontal="center" vertical="center" wrapText="1"/>
    </xf>
    <xf numFmtId="0" fontId="64" fillId="2" borderId="54" xfId="0" applyFont="1" applyFill="1" applyBorder="1" applyAlignment="1">
      <alignment horizontal="center" vertical="center" wrapText="1"/>
    </xf>
    <xf numFmtId="0" fontId="63" fillId="2" borderId="54" xfId="0" applyFont="1" applyFill="1" applyBorder="1" applyAlignment="1">
      <alignment horizontal="center" vertical="center" wrapText="1"/>
    </xf>
    <xf numFmtId="2" fontId="65" fillId="0" borderId="3" xfId="0" applyNumberFormat="1" applyFont="1" applyBorder="1" applyAlignment="1">
      <alignment horizontal="center" vertical="center"/>
    </xf>
    <xf numFmtId="164" fontId="64" fillId="0" borderId="3" xfId="0" applyNumberFormat="1" applyFont="1" applyBorder="1" applyAlignment="1">
      <alignment horizontal="center" vertical="center"/>
    </xf>
    <xf numFmtId="164" fontId="63" fillId="0" borderId="3" xfId="0" applyNumberFormat="1" applyFont="1" applyBorder="1" applyAlignment="1">
      <alignment horizontal="center" vertical="center"/>
    </xf>
    <xf numFmtId="0" fontId="58" fillId="5" borderId="0" xfId="0" applyFont="1" applyFill="1"/>
    <xf numFmtId="0" fontId="58" fillId="5" borderId="56" xfId="0" applyFont="1" applyFill="1" applyBorder="1"/>
    <xf numFmtId="164" fontId="64" fillId="5" borderId="56" xfId="0" applyNumberFormat="1" applyFont="1" applyFill="1" applyBorder="1"/>
    <xf numFmtId="164" fontId="64" fillId="5" borderId="8" xfId="0" applyNumberFormat="1" applyFont="1" applyFill="1" applyBorder="1"/>
    <xf numFmtId="164" fontId="64" fillId="5" borderId="35" xfId="0" applyNumberFormat="1" applyFont="1" applyFill="1" applyBorder="1"/>
    <xf numFmtId="164" fontId="63" fillId="5" borderId="0" xfId="0" applyNumberFormat="1" applyFont="1" applyFill="1"/>
    <xf numFmtId="0" fontId="67" fillId="2" borderId="54" xfId="0" applyFont="1" applyFill="1" applyBorder="1" applyAlignment="1">
      <alignment horizontal="center" vertical="center" wrapText="1"/>
    </xf>
    <xf numFmtId="2" fontId="67" fillId="2" borderId="54" xfId="0" applyNumberFormat="1" applyFont="1" applyFill="1" applyBorder="1" applyAlignment="1">
      <alignment horizontal="center" vertical="center" wrapText="1"/>
    </xf>
    <xf numFmtId="164" fontId="67" fillId="0" borderId="0" xfId="0" applyNumberFormat="1" applyFont="1" applyAlignment="1">
      <alignment horizontal="center"/>
    </xf>
    <xf numFmtId="164" fontId="67" fillId="5" borderId="0" xfId="0" applyNumberFormat="1" applyFont="1" applyFill="1"/>
    <xf numFmtId="2" fontId="57" fillId="5" borderId="0" xfId="0" applyNumberFormat="1" applyFont="1" applyFill="1" applyAlignment="1">
      <alignment horizontal="center"/>
    </xf>
    <xf numFmtId="2" fontId="60" fillId="13" borderId="3" xfId="0" applyNumberFormat="1" applyFont="1" applyFill="1" applyBorder="1" applyAlignment="1">
      <alignment horizontal="center" vertical="center" wrapText="1"/>
    </xf>
    <xf numFmtId="164" fontId="2" fillId="13" borderId="3" xfId="0" applyNumberFormat="1" applyFont="1" applyFill="1" applyBorder="1" applyAlignment="1">
      <alignment horizontal="center" vertical="center"/>
    </xf>
    <xf numFmtId="0" fontId="57" fillId="5" borderId="0" xfId="0" applyFont="1" applyFill="1" applyAlignment="1">
      <alignment horizontal="center"/>
    </xf>
    <xf numFmtId="2" fontId="64" fillId="0" borderId="53" xfId="0" applyNumberFormat="1" applyFont="1" applyBorder="1" applyAlignment="1">
      <alignment horizontal="center" vertical="center"/>
    </xf>
    <xf numFmtId="2" fontId="59" fillId="5" borderId="0" xfId="0" applyNumberFormat="1" applyFont="1" applyFill="1" applyAlignment="1">
      <alignment horizontal="center"/>
    </xf>
    <xf numFmtId="2" fontId="65" fillId="4" borderId="57" xfId="0" applyNumberFormat="1" applyFont="1" applyFill="1" applyBorder="1"/>
    <xf numFmtId="2" fontId="65" fillId="4" borderId="60" xfId="0" applyNumberFormat="1" applyFont="1" applyFill="1" applyBorder="1"/>
    <xf numFmtId="2" fontId="65" fillId="4" borderId="61" xfId="0" applyNumberFormat="1" applyFont="1" applyFill="1" applyBorder="1"/>
    <xf numFmtId="164" fontId="64" fillId="5" borderId="56" xfId="0" applyNumberFormat="1" applyFont="1" applyFill="1" applyBorder="1" applyAlignment="1">
      <alignment horizontal="center"/>
    </xf>
    <xf numFmtId="164" fontId="64" fillId="5" borderId="8" xfId="0" applyNumberFormat="1" applyFont="1" applyFill="1" applyBorder="1" applyAlignment="1">
      <alignment horizontal="center"/>
    </xf>
    <xf numFmtId="164" fontId="64" fillId="5" borderId="35" xfId="0" applyNumberFormat="1" applyFont="1" applyFill="1" applyBorder="1" applyAlignment="1">
      <alignment horizontal="center"/>
    </xf>
    <xf numFmtId="164" fontId="67" fillId="5" borderId="0" xfId="0" applyNumberFormat="1" applyFont="1" applyFill="1" applyAlignment="1">
      <alignment horizontal="center"/>
    </xf>
    <xf numFmtId="172" fontId="62" fillId="5" borderId="0" xfId="0" applyNumberFormat="1" applyFont="1" applyFill="1" applyAlignment="1">
      <alignment horizontal="center"/>
    </xf>
    <xf numFmtId="2" fontId="62" fillId="5" borderId="0" xfId="0" applyNumberFormat="1" applyFont="1" applyFill="1" applyAlignment="1">
      <alignment horizontal="center"/>
    </xf>
    <xf numFmtId="2" fontId="60" fillId="6" borderId="3" xfId="0" applyNumberFormat="1" applyFont="1" applyFill="1" applyBorder="1" applyAlignment="1">
      <alignment horizontal="center" vertical="center" wrapText="1"/>
    </xf>
    <xf numFmtId="172" fontId="2" fillId="6" borderId="3" xfId="0" applyNumberFormat="1" applyFont="1" applyFill="1" applyBorder="1" applyAlignment="1">
      <alignment horizontal="center" vertical="center"/>
    </xf>
    <xf numFmtId="164" fontId="59" fillId="5" borderId="0" xfId="0" applyNumberFormat="1" applyFont="1" applyFill="1" applyAlignment="1">
      <alignment horizontal="center"/>
    </xf>
    <xf numFmtId="0" fontId="59" fillId="5" borderId="0" xfId="0" applyFont="1" applyFill="1" applyAlignment="1">
      <alignment horizontal="center"/>
    </xf>
    <xf numFmtId="171" fontId="59" fillId="5" borderId="0" xfId="0" applyNumberFormat="1" applyFont="1" applyFill="1" applyAlignment="1">
      <alignment horizontal="center"/>
    </xf>
    <xf numFmtId="0" fontId="82" fillId="5" borderId="8" xfId="0" applyFont="1" applyFill="1" applyBorder="1" applyAlignment="1">
      <alignment horizontal="center" vertical="center"/>
    </xf>
    <xf numFmtId="165" fontId="82" fillId="5" borderId="8" xfId="0" applyNumberFormat="1" applyFont="1" applyFill="1" applyBorder="1" applyAlignment="1">
      <alignment horizontal="center" vertical="center"/>
    </xf>
    <xf numFmtId="2" fontId="82" fillId="5" borderId="8" xfId="0" applyNumberFormat="1" applyFont="1" applyFill="1" applyBorder="1" applyAlignment="1">
      <alignment horizontal="center" vertical="center"/>
    </xf>
    <xf numFmtId="3" fontId="63" fillId="0" borderId="0" xfId="0" applyNumberFormat="1" applyFont="1" applyAlignment="1">
      <alignment horizontal="center"/>
    </xf>
    <xf numFmtId="0" fontId="83" fillId="5" borderId="0" xfId="0" applyFont="1" applyFill="1" applyAlignment="1">
      <alignment horizontal="center"/>
    </xf>
    <xf numFmtId="0" fontId="83" fillId="5" borderId="0" xfId="0" applyFont="1" applyFill="1" applyAlignment="1">
      <alignment horizontal="center" vertical="center"/>
    </xf>
    <xf numFmtId="170" fontId="83" fillId="5" borderId="0" xfId="0" applyNumberFormat="1" applyFont="1" applyFill="1" applyAlignment="1">
      <alignment horizontal="center"/>
    </xf>
    <xf numFmtId="3" fontId="83" fillId="5" borderId="0" xfId="0" applyNumberFormat="1" applyFont="1" applyFill="1" applyAlignment="1">
      <alignment horizontal="center"/>
    </xf>
    <xf numFmtId="171" fontId="83" fillId="5" borderId="0" xfId="0" applyNumberFormat="1" applyFont="1" applyFill="1" applyAlignment="1">
      <alignment horizontal="center"/>
    </xf>
    <xf numFmtId="164" fontId="83" fillId="5" borderId="0" xfId="0" applyNumberFormat="1" applyFont="1" applyFill="1" applyAlignment="1">
      <alignment horizontal="center"/>
    </xf>
    <xf numFmtId="172" fontId="83" fillId="5" borderId="0" xfId="0" applyNumberFormat="1" applyFont="1" applyFill="1" applyAlignment="1">
      <alignment horizontal="center"/>
    </xf>
    <xf numFmtId="164" fontId="20" fillId="9" borderId="8" xfId="0" applyNumberFormat="1" applyFont="1" applyFill="1" applyBorder="1" applyAlignment="1">
      <alignment horizontal="center" vertical="center"/>
    </xf>
    <xf numFmtId="2" fontId="0" fillId="3" borderId="3" xfId="0" applyNumberFormat="1" applyFill="1" applyBorder="1" applyAlignment="1">
      <alignment horizontal="center" vertical="center"/>
    </xf>
    <xf numFmtId="170" fontId="64" fillId="3" borderId="53" xfId="0" applyNumberFormat="1" applyFont="1" applyFill="1" applyBorder="1" applyAlignment="1">
      <alignment horizontal="center"/>
    </xf>
    <xf numFmtId="0" fontId="27" fillId="16" borderId="3" xfId="0" applyFont="1" applyFill="1" applyBorder="1" applyAlignment="1">
      <alignment horizontal="center" vertical="center"/>
    </xf>
    <xf numFmtId="0" fontId="32" fillId="16" borderId="3" xfId="0" applyFont="1" applyFill="1" applyBorder="1" applyAlignment="1">
      <alignment horizontal="center" vertical="center"/>
    </xf>
    <xf numFmtId="0" fontId="33" fillId="9" borderId="3" xfId="0" applyFont="1" applyFill="1" applyBorder="1" applyAlignment="1">
      <alignment horizontal="center" vertical="center"/>
    </xf>
    <xf numFmtId="0" fontId="34" fillId="16" borderId="3" xfId="0" applyFont="1" applyFill="1" applyBorder="1" applyAlignment="1">
      <alignment horizontal="center" vertical="center"/>
    </xf>
    <xf numFmtId="2" fontId="33" fillId="9" borderId="3" xfId="0" applyNumberFormat="1" applyFont="1" applyFill="1" applyBorder="1" applyAlignment="1">
      <alignment horizontal="center" vertical="center"/>
    </xf>
    <xf numFmtId="2" fontId="34" fillId="16" borderId="3" xfId="0" applyNumberFormat="1" applyFont="1" applyFill="1" applyBorder="1" applyAlignment="1">
      <alignment horizontal="center" vertical="center"/>
    </xf>
    <xf numFmtId="9" fontId="29" fillId="16" borderId="3" xfId="0" applyNumberFormat="1" applyFont="1" applyFill="1" applyBorder="1" applyAlignment="1">
      <alignment horizontal="center" vertical="center"/>
    </xf>
    <xf numFmtId="2" fontId="33" fillId="9" borderId="4" xfId="0" applyNumberFormat="1" applyFont="1" applyFill="1" applyBorder="1" applyAlignment="1">
      <alignment horizontal="center" vertical="center"/>
    </xf>
    <xf numFmtId="14" fontId="29" fillId="16" borderId="6" xfId="0" applyNumberFormat="1" applyFont="1" applyFill="1" applyBorder="1" applyAlignment="1">
      <alignment horizontal="center" vertical="center"/>
    </xf>
    <xf numFmtId="0" fontId="42" fillId="16" borderId="13" xfId="0" applyFont="1" applyFill="1" applyBorder="1" applyAlignment="1">
      <alignment horizontal="center" vertical="center"/>
    </xf>
    <xf numFmtId="0" fontId="28" fillId="16" borderId="13" xfId="0" applyFont="1" applyFill="1" applyBorder="1" applyAlignment="1">
      <alignment horizontal="center" vertical="center"/>
    </xf>
    <xf numFmtId="0" fontId="43" fillId="16" borderId="13" xfId="0" applyFont="1" applyFill="1" applyBorder="1" applyAlignment="1">
      <alignment horizontal="center" vertical="center"/>
    </xf>
    <xf numFmtId="0" fontId="44" fillId="9" borderId="13" xfId="0" applyFont="1" applyFill="1" applyBorder="1" applyAlignment="1">
      <alignment horizontal="center" vertical="center"/>
    </xf>
    <xf numFmtId="0" fontId="44" fillId="16" borderId="13" xfId="0" applyFont="1" applyFill="1" applyBorder="1" applyAlignment="1">
      <alignment horizontal="center" vertical="center"/>
    </xf>
    <xf numFmtId="0" fontId="45" fillId="16" borderId="13" xfId="0" applyFont="1" applyFill="1" applyBorder="1" applyAlignment="1">
      <alignment horizontal="center" vertical="center"/>
    </xf>
    <xf numFmtId="2" fontId="45" fillId="16" borderId="13" xfId="0" applyNumberFormat="1" applyFont="1" applyFill="1" applyBorder="1" applyAlignment="1">
      <alignment horizontal="center" vertical="center"/>
    </xf>
    <xf numFmtId="2" fontId="44" fillId="9" borderId="13" xfId="0" applyNumberFormat="1" applyFont="1" applyFill="1" applyBorder="1" applyAlignment="1">
      <alignment horizontal="center" vertical="center"/>
    </xf>
    <xf numFmtId="2" fontId="44" fillId="9" borderId="15" xfId="0" applyNumberFormat="1" applyFont="1" applyFill="1" applyBorder="1" applyAlignment="1">
      <alignment horizontal="center" vertical="center"/>
    </xf>
    <xf numFmtId="1" fontId="82" fillId="5" borderId="8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44" fontId="22" fillId="6" borderId="3" xfId="0" applyNumberFormat="1" applyFont="1" applyFill="1" applyBorder="1" applyAlignment="1">
      <alignment horizontal="center" vertical="center"/>
    </xf>
    <xf numFmtId="44" fontId="22" fillId="6" borderId="38" xfId="0" applyNumberFormat="1" applyFont="1" applyFill="1" applyBorder="1" applyAlignment="1">
      <alignment horizontal="center" vertical="center"/>
    </xf>
    <xf numFmtId="0" fontId="20" fillId="28" borderId="0" xfId="0" applyFont="1" applyFill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9" fontId="1" fillId="5" borderId="5" xfId="0" applyNumberFormat="1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2" fontId="1" fillId="5" borderId="5" xfId="0" applyNumberFormat="1" applyFont="1" applyFill="1" applyBorder="1" applyAlignment="1">
      <alignment horizontal="center" vertical="center"/>
    </xf>
    <xf numFmtId="9" fontId="0" fillId="4" borderId="3" xfId="0" applyNumberFormat="1" applyFill="1" applyBorder="1" applyAlignment="1">
      <alignment horizontal="center" vertical="center"/>
    </xf>
    <xf numFmtId="9" fontId="0" fillId="4" borderId="4" xfId="0" applyNumberForma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2" fontId="3" fillId="5" borderId="5" xfId="0" applyNumberFormat="1" applyFont="1" applyFill="1" applyBorder="1" applyAlignment="1">
      <alignment horizontal="center" vertical="center"/>
    </xf>
    <xf numFmtId="0" fontId="85" fillId="5" borderId="0" xfId="0" applyFont="1" applyFill="1" applyAlignment="1">
      <alignment horizontal="center" vertical="center"/>
    </xf>
    <xf numFmtId="0" fontId="22" fillId="6" borderId="0" xfId="0" applyFont="1" applyFill="1" applyAlignment="1">
      <alignment horizontal="center" vertical="center" wrapText="1"/>
    </xf>
    <xf numFmtId="164" fontId="22" fillId="6" borderId="0" xfId="0" applyNumberFormat="1" applyFont="1" applyFill="1" applyAlignment="1">
      <alignment horizontal="center" vertical="center" wrapText="1"/>
    </xf>
    <xf numFmtId="0" fontId="46" fillId="4" borderId="0" xfId="0" applyFont="1" applyFill="1" applyAlignment="1">
      <alignment horizontal="center" vertical="center"/>
    </xf>
    <xf numFmtId="0" fontId="22" fillId="4" borderId="0" xfId="0" applyFont="1" applyFill="1" applyAlignment="1">
      <alignment horizontal="center" vertical="center" wrapText="1"/>
    </xf>
    <xf numFmtId="164" fontId="22" fillId="4" borderId="0" xfId="0" applyNumberFormat="1" applyFont="1" applyFill="1" applyAlignment="1">
      <alignment horizontal="center" vertical="center" wrapText="1"/>
    </xf>
    <xf numFmtId="1" fontId="1" fillId="5" borderId="5" xfId="0" applyNumberFormat="1" applyFont="1" applyFill="1" applyBorder="1" applyAlignment="1">
      <alignment horizontal="center" vertical="center"/>
    </xf>
    <xf numFmtId="2" fontId="20" fillId="5" borderId="8" xfId="0" applyNumberFormat="1" applyFont="1" applyFill="1" applyBorder="1" applyAlignment="1">
      <alignment horizontal="center" vertical="center"/>
    </xf>
    <xf numFmtId="0" fontId="84" fillId="21" borderId="0" xfId="0" applyFont="1" applyFill="1" applyAlignment="1">
      <alignment horizontal="center" vertical="center"/>
    </xf>
    <xf numFmtId="14" fontId="60" fillId="0" borderId="0" xfId="0" applyNumberFormat="1" applyFont="1" applyAlignment="1">
      <alignment horizontal="center"/>
    </xf>
    <xf numFmtId="173" fontId="60" fillId="0" borderId="0" xfId="0" applyNumberFormat="1" applyFont="1" applyAlignment="1">
      <alignment horizontal="center"/>
    </xf>
    <xf numFmtId="171" fontId="60" fillId="0" borderId="0" xfId="0" applyNumberFormat="1" applyFont="1" applyAlignment="1">
      <alignment horizontal="center"/>
    </xf>
    <xf numFmtId="2" fontId="65" fillId="26" borderId="3" xfId="0" applyNumberFormat="1" applyFont="1" applyFill="1" applyBorder="1" applyAlignment="1">
      <alignment horizontal="center" vertical="center"/>
    </xf>
    <xf numFmtId="172" fontId="60" fillId="0" borderId="0" xfId="0" applyNumberFormat="1" applyFont="1" applyAlignment="1">
      <alignment horizontal="center"/>
    </xf>
    <xf numFmtId="170" fontId="63" fillId="3" borderId="4" xfId="0" applyNumberFormat="1" applyFont="1" applyFill="1" applyBorder="1" applyAlignment="1">
      <alignment horizontal="center" vertical="center"/>
    </xf>
    <xf numFmtId="171" fontId="60" fillId="0" borderId="3" xfId="0" applyNumberFormat="1" applyFont="1" applyBorder="1" applyAlignment="1">
      <alignment horizontal="center"/>
    </xf>
    <xf numFmtId="0" fontId="60" fillId="0" borderId="3" xfId="0" applyFont="1" applyBorder="1" applyAlignment="1">
      <alignment horizontal="center"/>
    </xf>
    <xf numFmtId="170" fontId="63" fillId="0" borderId="56" xfId="0" applyNumberFormat="1" applyFont="1" applyBorder="1" applyAlignment="1">
      <alignment horizontal="center"/>
    </xf>
    <xf numFmtId="164" fontId="63" fillId="0" borderId="35" xfId="0" applyNumberFormat="1" applyFont="1" applyBorder="1" applyAlignment="1">
      <alignment horizontal="center"/>
    </xf>
    <xf numFmtId="2" fontId="64" fillId="0" borderId="0" xfId="0" applyNumberFormat="1" applyFont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57" fillId="0" borderId="4" xfId="0" applyNumberFormat="1" applyFont="1" applyBorder="1" applyAlignment="1">
      <alignment horizontal="center" vertical="center"/>
    </xf>
    <xf numFmtId="0" fontId="58" fillId="2" borderId="10" xfId="0" applyFont="1" applyFill="1" applyBorder="1" applyAlignment="1">
      <alignment horizontal="center" vertical="center" wrapText="1"/>
    </xf>
    <xf numFmtId="170" fontId="64" fillId="0" borderId="0" xfId="0" applyNumberFormat="1" applyFont="1" applyAlignment="1">
      <alignment horizontal="center" vertical="center"/>
    </xf>
    <xf numFmtId="2" fontId="57" fillId="0" borderId="0" xfId="0" applyNumberFormat="1" applyFont="1" applyAlignment="1">
      <alignment horizontal="center" vertical="center"/>
    </xf>
    <xf numFmtId="2" fontId="64" fillId="0" borderId="0" xfId="0" applyNumberFormat="1" applyFont="1" applyAlignment="1">
      <alignment horizontal="center"/>
    </xf>
    <xf numFmtId="170" fontId="64" fillId="0" borderId="0" xfId="0" applyNumberFormat="1" applyFont="1" applyAlignment="1">
      <alignment horizontal="center"/>
    </xf>
    <xf numFmtId="2" fontId="0" fillId="3" borderId="4" xfId="0" applyNumberFormat="1" applyFill="1" applyBorder="1" applyAlignment="1">
      <alignment horizontal="center" vertical="center"/>
    </xf>
    <xf numFmtId="170" fontId="64" fillId="3" borderId="6" xfId="0" applyNumberFormat="1" applyFont="1" applyFill="1" applyBorder="1" applyAlignment="1">
      <alignment horizontal="center" vertical="center"/>
    </xf>
    <xf numFmtId="170" fontId="64" fillId="0" borderId="6" xfId="0" applyNumberFormat="1" applyFont="1" applyBorder="1" applyAlignment="1">
      <alignment horizontal="center" vertical="center"/>
    </xf>
    <xf numFmtId="0" fontId="58" fillId="2" borderId="55" xfId="0" applyFont="1" applyFill="1" applyBorder="1" applyAlignment="1">
      <alignment horizontal="center" vertical="center" wrapText="1"/>
    </xf>
    <xf numFmtId="2" fontId="70" fillId="4" borderId="35" xfId="0" applyNumberFormat="1" applyFont="1" applyFill="1" applyBorder="1" applyAlignment="1">
      <alignment vertical="center" wrapText="1"/>
    </xf>
    <xf numFmtId="2" fontId="70" fillId="4" borderId="0" xfId="0" applyNumberFormat="1" applyFont="1" applyFill="1" applyAlignment="1">
      <alignment vertical="center" wrapText="1"/>
    </xf>
    <xf numFmtId="164" fontId="70" fillId="4" borderId="0" xfId="0" applyNumberFormat="1" applyFont="1" applyFill="1" applyAlignment="1">
      <alignment vertical="center"/>
    </xf>
    <xf numFmtId="14" fontId="0" fillId="0" borderId="0" xfId="0" applyNumberFormat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87" fillId="21" borderId="0" xfId="0" applyFont="1" applyFill="1" applyAlignment="1">
      <alignment horizontal="center" vertical="center"/>
    </xf>
    <xf numFmtId="0" fontId="87" fillId="13" borderId="0" xfId="0" applyFont="1" applyFill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165" fontId="51" fillId="0" borderId="0" xfId="0" applyNumberFormat="1" applyFont="1" applyAlignment="1">
      <alignment horizontal="center" vertical="center"/>
    </xf>
    <xf numFmtId="2" fontId="51" fillId="0" borderId="0" xfId="0" applyNumberFormat="1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165" fontId="34" fillId="0" borderId="0" xfId="0" applyNumberFormat="1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14" fontId="34" fillId="0" borderId="0" xfId="0" applyNumberFormat="1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0" fontId="45" fillId="0" borderId="0" xfId="0" applyFont="1" applyAlignment="1">
      <alignment horizontal="center" vertical="center"/>
    </xf>
    <xf numFmtId="2" fontId="45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center"/>
    </xf>
    <xf numFmtId="2" fontId="24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horizontal="center"/>
    </xf>
    <xf numFmtId="0" fontId="56" fillId="0" borderId="0" xfId="0" applyFont="1" applyAlignment="1">
      <alignment horizontal="center" vertical="center"/>
    </xf>
    <xf numFmtId="0" fontId="88" fillId="4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65" fontId="7" fillId="5" borderId="0" xfId="0" applyNumberFormat="1" applyFont="1" applyFill="1" applyAlignment="1">
      <alignment horizontal="center" vertical="center"/>
    </xf>
    <xf numFmtId="2" fontId="7" fillId="5" borderId="0" xfId="0" applyNumberFormat="1" applyFont="1" applyFill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28" fillId="9" borderId="0" xfId="0" applyFont="1" applyFill="1" applyAlignment="1">
      <alignment horizontal="center" vertical="center"/>
    </xf>
    <xf numFmtId="0" fontId="30" fillId="9" borderId="17" xfId="0" applyFont="1" applyFill="1" applyBorder="1" applyAlignment="1">
      <alignment horizontal="center" vertical="center"/>
    </xf>
    <xf numFmtId="0" fontId="30" fillId="9" borderId="12" xfId="0" applyFont="1" applyFill="1" applyBorder="1" applyAlignment="1">
      <alignment horizontal="center" vertical="center"/>
    </xf>
    <xf numFmtId="165" fontId="30" fillId="9" borderId="12" xfId="0" applyNumberFormat="1" applyFont="1" applyFill="1" applyBorder="1" applyAlignment="1">
      <alignment horizontal="center" vertical="center"/>
    </xf>
    <xf numFmtId="2" fontId="30" fillId="9" borderId="12" xfId="0" applyNumberFormat="1" applyFont="1" applyFill="1" applyBorder="1" applyAlignment="1">
      <alignment horizontal="center" vertical="center"/>
    </xf>
    <xf numFmtId="2" fontId="30" fillId="9" borderId="14" xfId="0" applyNumberFormat="1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74" fontId="0" fillId="0" borderId="0" xfId="0" applyNumberFormat="1" applyAlignment="1">
      <alignment horizontal="center" vertical="center"/>
    </xf>
    <xf numFmtId="0" fontId="78" fillId="5" borderId="0" xfId="0" applyFont="1" applyFill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68" fontId="2" fillId="4" borderId="0" xfId="0" applyNumberFormat="1" applyFont="1" applyFill="1" applyAlignment="1">
      <alignment horizontal="center" vertical="center"/>
    </xf>
    <xf numFmtId="2" fontId="2" fillId="4" borderId="0" xfId="0" applyNumberFormat="1" applyFont="1" applyFill="1" applyAlignment="1">
      <alignment horizontal="center" vertical="center"/>
    </xf>
    <xf numFmtId="164" fontId="2" fillId="4" borderId="0" xfId="0" applyNumberFormat="1" applyFont="1" applyFill="1" applyAlignment="1">
      <alignment horizontal="center" vertical="center"/>
    </xf>
    <xf numFmtId="164" fontId="27" fillId="4" borderId="0" xfId="0" applyNumberFormat="1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164" fontId="18" fillId="5" borderId="0" xfId="0" applyNumberFormat="1" applyFont="1" applyFill="1" applyAlignment="1">
      <alignment horizontal="center" vertical="center"/>
    </xf>
    <xf numFmtId="1" fontId="2" fillId="4" borderId="0" xfId="0" applyNumberFormat="1" applyFont="1" applyFill="1" applyAlignment="1">
      <alignment horizontal="center" vertical="center"/>
    </xf>
    <xf numFmtId="164" fontId="81" fillId="4" borderId="0" xfId="0" applyNumberFormat="1" applyFont="1" applyFill="1" applyAlignment="1">
      <alignment horizontal="center" vertical="center"/>
    </xf>
    <xf numFmtId="0" fontId="29" fillId="9" borderId="0" xfId="0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41" fillId="6" borderId="18" xfId="0" applyFont="1" applyFill="1" applyBorder="1" applyAlignment="1">
      <alignment horizontal="center" vertical="center"/>
    </xf>
    <xf numFmtId="0" fontId="41" fillId="6" borderId="13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0" fillId="21" borderId="0" xfId="0" applyFill="1" applyAlignment="1">
      <alignment horizontal="center" vertical="center"/>
    </xf>
    <xf numFmtId="2" fontId="40" fillId="5" borderId="49" xfId="0" applyNumberFormat="1" applyFont="1" applyFill="1" applyBorder="1" applyAlignment="1">
      <alignment horizontal="center" vertical="center"/>
    </xf>
    <xf numFmtId="2" fontId="40" fillId="5" borderId="50" xfId="0" applyNumberFormat="1" applyFont="1" applyFill="1" applyBorder="1" applyAlignment="1">
      <alignment horizontal="center" vertical="center"/>
    </xf>
    <xf numFmtId="2" fontId="40" fillId="24" borderId="50" xfId="0" applyNumberFormat="1" applyFont="1" applyFill="1" applyBorder="1" applyAlignment="1">
      <alignment horizontal="center" vertical="center"/>
    </xf>
    <xf numFmtId="2" fontId="40" fillId="24" borderId="40" xfId="0" applyNumberFormat="1" applyFont="1" applyFill="1" applyBorder="1" applyAlignment="1">
      <alignment horizontal="center" vertical="center"/>
    </xf>
    <xf numFmtId="2" fontId="40" fillId="5" borderId="32" xfId="0" applyNumberFormat="1" applyFont="1" applyFill="1" applyBorder="1" applyAlignment="1">
      <alignment horizontal="center" vertical="center"/>
    </xf>
    <xf numFmtId="2" fontId="49" fillId="5" borderId="34" xfId="0" applyNumberFormat="1" applyFont="1" applyFill="1" applyBorder="1" applyAlignment="1">
      <alignment horizontal="center" vertical="center"/>
    </xf>
    <xf numFmtId="2" fontId="49" fillId="5" borderId="51" xfId="0" applyNumberFormat="1" applyFont="1" applyFill="1" applyBorder="1" applyAlignment="1">
      <alignment horizontal="center" vertical="center"/>
    </xf>
    <xf numFmtId="2" fontId="49" fillId="5" borderId="33" xfId="0" applyNumberFormat="1" applyFont="1" applyFill="1" applyBorder="1" applyAlignment="1">
      <alignment horizontal="center" vertical="center"/>
    </xf>
    <xf numFmtId="2" fontId="49" fillId="24" borderId="32" xfId="0" applyNumberFormat="1" applyFont="1" applyFill="1" applyBorder="1" applyAlignment="1">
      <alignment horizontal="center" vertical="center"/>
    </xf>
    <xf numFmtId="2" fontId="0" fillId="24" borderId="0" xfId="0" applyNumberFormat="1" applyFill="1" applyAlignment="1">
      <alignment horizontal="center" vertical="center"/>
    </xf>
    <xf numFmtId="2" fontId="3" fillId="5" borderId="0" xfId="0" applyNumberFormat="1" applyFont="1" applyFill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2" fontId="35" fillId="6" borderId="3" xfId="0" applyNumberFormat="1" applyFont="1" applyFill="1" applyBorder="1" applyAlignment="1">
      <alignment horizontal="center" vertical="center"/>
    </xf>
    <xf numFmtId="2" fontId="5" fillId="6" borderId="3" xfId="0" applyNumberFormat="1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2" fontId="5" fillId="6" borderId="8" xfId="0" applyNumberFormat="1" applyFont="1" applyFill="1" applyBorder="1" applyAlignment="1">
      <alignment horizontal="center" vertical="center"/>
    </xf>
    <xf numFmtId="0" fontId="0" fillId="24" borderId="0" xfId="0" applyFill="1" applyAlignment="1">
      <alignment horizontal="center" vertical="center"/>
    </xf>
    <xf numFmtId="2" fontId="0" fillId="8" borderId="21" xfId="0" applyNumberFormat="1" applyFill="1" applyBorder="1" applyAlignment="1">
      <alignment horizontal="center" vertical="center"/>
    </xf>
    <xf numFmtId="2" fontId="0" fillId="8" borderId="22" xfId="0" applyNumberFormat="1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2" fontId="0" fillId="8" borderId="27" xfId="0" applyNumberFormat="1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2" fontId="1" fillId="5" borderId="62" xfId="0" applyNumberFormat="1" applyFont="1" applyFill="1" applyBorder="1" applyAlignment="1">
      <alignment horizontal="center" vertical="center"/>
    </xf>
    <xf numFmtId="2" fontId="3" fillId="5" borderId="63" xfId="0" applyNumberFormat="1" applyFont="1" applyFill="1" applyBorder="1" applyAlignment="1">
      <alignment horizontal="center" vertical="center"/>
    </xf>
    <xf numFmtId="0" fontId="8" fillId="4" borderId="64" xfId="0" applyFont="1" applyFill="1" applyBorder="1" applyAlignment="1">
      <alignment horizontal="left" vertical="center"/>
    </xf>
    <xf numFmtId="0" fontId="42" fillId="0" borderId="13" xfId="0" applyFont="1" applyBorder="1" applyAlignment="1">
      <alignment horizontal="center" vertical="center"/>
    </xf>
    <xf numFmtId="0" fontId="3" fillId="5" borderId="65" xfId="0" applyFont="1" applyFill="1" applyBorder="1"/>
    <xf numFmtId="0" fontId="0" fillId="5" borderId="65" xfId="0" applyFill="1" applyBorder="1"/>
    <xf numFmtId="0" fontId="0" fillId="24" borderId="65" xfId="0" applyFill="1" applyBorder="1"/>
    <xf numFmtId="0" fontId="0" fillId="0" borderId="65" xfId="0" applyBorder="1"/>
    <xf numFmtId="0" fontId="0" fillId="0" borderId="65" xfId="0" applyBorder="1" applyAlignment="1">
      <alignment horizontal="left"/>
    </xf>
    <xf numFmtId="0" fontId="5" fillId="2" borderId="65" xfId="0" applyFont="1" applyFill="1" applyBorder="1"/>
    <xf numFmtId="0" fontId="4" fillId="0" borderId="65" xfId="0" applyFont="1" applyBorder="1"/>
    <xf numFmtId="0" fontId="0" fillId="0" borderId="65" xfId="0" applyBorder="1" applyAlignment="1">
      <alignment horizontal="center"/>
    </xf>
    <xf numFmtId="2" fontId="0" fillId="0" borderId="65" xfId="0" applyNumberFormat="1" applyBorder="1" applyAlignment="1">
      <alignment horizontal="center"/>
    </xf>
    <xf numFmtId="10" fontId="0" fillId="0" borderId="65" xfId="0" applyNumberFormat="1" applyBorder="1" applyAlignment="1">
      <alignment horizontal="center"/>
    </xf>
    <xf numFmtId="14" fontId="0" fillId="0" borderId="65" xfId="0" applyNumberFormat="1" applyBorder="1" applyAlignment="1">
      <alignment horizontal="center"/>
    </xf>
    <xf numFmtId="0" fontId="25" fillId="15" borderId="65" xfId="0" applyFont="1" applyFill="1" applyBorder="1" applyAlignment="1">
      <alignment horizontal="center"/>
    </xf>
    <xf numFmtId="0" fontId="23" fillId="15" borderId="65" xfId="0" applyFont="1" applyFill="1" applyBorder="1" applyAlignment="1">
      <alignment horizontal="center"/>
    </xf>
    <xf numFmtId="2" fontId="24" fillId="15" borderId="65" xfId="0" applyNumberFormat="1" applyFont="1" applyFill="1" applyBorder="1" applyAlignment="1">
      <alignment horizontal="center"/>
    </xf>
    <xf numFmtId="0" fontId="8" fillId="15" borderId="65" xfId="0" applyFont="1" applyFill="1" applyBorder="1"/>
    <xf numFmtId="0" fontId="24" fillId="15" borderId="65" xfId="0" applyFont="1" applyFill="1" applyBorder="1" applyAlignment="1">
      <alignment horizontal="center"/>
    </xf>
    <xf numFmtId="0" fontId="0" fillId="5" borderId="65" xfId="0" applyFill="1" applyBorder="1" applyAlignment="1">
      <alignment horizontal="center"/>
    </xf>
    <xf numFmtId="0" fontId="2" fillId="0" borderId="65" xfId="0" applyFont="1" applyBorder="1" applyAlignment="1">
      <alignment horizontal="center"/>
    </xf>
    <xf numFmtId="0" fontId="2" fillId="4" borderId="65" xfId="0" applyFont="1" applyFill="1" applyBorder="1" applyAlignment="1">
      <alignment horizontal="center"/>
    </xf>
    <xf numFmtId="2" fontId="2" fillId="4" borderId="65" xfId="0" applyNumberFormat="1" applyFont="1" applyFill="1" applyBorder="1" applyAlignment="1">
      <alignment horizontal="center"/>
    </xf>
    <xf numFmtId="0" fontId="3" fillId="5" borderId="65" xfId="0" applyFont="1" applyFill="1" applyBorder="1" applyAlignment="1">
      <alignment horizontal="center" vertical="center"/>
    </xf>
    <xf numFmtId="0" fontId="2" fillId="6" borderId="65" xfId="0" applyFont="1" applyFill="1" applyBorder="1" applyAlignment="1">
      <alignment horizontal="center"/>
    </xf>
    <xf numFmtId="2" fontId="2" fillId="6" borderId="65" xfId="0" applyNumberFormat="1" applyFont="1" applyFill="1" applyBorder="1" applyAlignment="1">
      <alignment horizontal="center"/>
    </xf>
    <xf numFmtId="0" fontId="0" fillId="0" borderId="65" xfId="0" applyBorder="1" applyAlignment="1">
      <alignment horizontal="center" vertical="center"/>
    </xf>
    <xf numFmtId="0" fontId="2" fillId="13" borderId="65" xfId="0" applyFont="1" applyFill="1" applyBorder="1" applyAlignment="1">
      <alignment horizontal="center"/>
    </xf>
    <xf numFmtId="2" fontId="2" fillId="13" borderId="65" xfId="0" applyNumberFormat="1" applyFont="1" applyFill="1" applyBorder="1" applyAlignment="1">
      <alignment horizontal="center"/>
    </xf>
    <xf numFmtId="2" fontId="2" fillId="29" borderId="65" xfId="0" applyNumberFormat="1" applyFont="1" applyFill="1" applyBorder="1" applyAlignment="1">
      <alignment horizontal="center"/>
    </xf>
    <xf numFmtId="0" fontId="2" fillId="17" borderId="65" xfId="0" applyFont="1" applyFill="1" applyBorder="1" applyAlignment="1">
      <alignment horizontal="center"/>
    </xf>
    <xf numFmtId="2" fontId="2" fillId="17" borderId="65" xfId="0" applyNumberFormat="1" applyFont="1" applyFill="1" applyBorder="1" applyAlignment="1">
      <alignment horizontal="center"/>
    </xf>
    <xf numFmtId="0" fontId="2" fillId="12" borderId="65" xfId="0" applyFont="1" applyFill="1" applyBorder="1" applyAlignment="1">
      <alignment horizontal="center"/>
    </xf>
    <xf numFmtId="2" fontId="2" fillId="12" borderId="65" xfId="0" applyNumberFormat="1" applyFont="1" applyFill="1" applyBorder="1" applyAlignment="1">
      <alignment horizontal="center"/>
    </xf>
    <xf numFmtId="0" fontId="2" fillId="14" borderId="65" xfId="0" applyFont="1" applyFill="1" applyBorder="1" applyAlignment="1">
      <alignment horizontal="center"/>
    </xf>
    <xf numFmtId="0" fontId="2" fillId="18" borderId="65" xfId="0" applyFont="1" applyFill="1" applyBorder="1" applyAlignment="1">
      <alignment horizontal="center"/>
    </xf>
    <xf numFmtId="2" fontId="2" fillId="31" borderId="65" xfId="0" applyNumberFormat="1" applyFont="1" applyFill="1" applyBorder="1" applyAlignment="1">
      <alignment horizontal="center"/>
    </xf>
    <xf numFmtId="0" fontId="2" fillId="19" borderId="65" xfId="0" applyFont="1" applyFill="1" applyBorder="1" applyAlignment="1">
      <alignment horizontal="center"/>
    </xf>
    <xf numFmtId="2" fontId="2" fillId="19" borderId="65" xfId="0" applyNumberFormat="1" applyFont="1" applyFill="1" applyBorder="1" applyAlignment="1">
      <alignment horizontal="center"/>
    </xf>
    <xf numFmtId="0" fontId="2" fillId="10" borderId="65" xfId="0" applyFont="1" applyFill="1" applyBorder="1" applyAlignment="1">
      <alignment horizontal="center"/>
    </xf>
    <xf numFmtId="2" fontId="2" fillId="33" borderId="65" xfId="0" applyNumberFormat="1" applyFont="1" applyFill="1" applyBorder="1" applyAlignment="1">
      <alignment horizontal="center"/>
    </xf>
    <xf numFmtId="0" fontId="3" fillId="5" borderId="65" xfId="0" applyFont="1" applyFill="1" applyBorder="1" applyAlignment="1">
      <alignment horizontal="center"/>
    </xf>
    <xf numFmtId="2" fontId="2" fillId="14" borderId="65" xfId="0" applyNumberFormat="1" applyFont="1" applyFill="1" applyBorder="1" applyAlignment="1">
      <alignment horizontal="center"/>
    </xf>
    <xf numFmtId="0" fontId="3" fillId="0" borderId="65" xfId="0" applyFont="1" applyBorder="1"/>
    <xf numFmtId="0" fontId="2" fillId="11" borderId="65" xfId="0" applyFont="1" applyFill="1" applyBorder="1" applyAlignment="1">
      <alignment horizontal="center"/>
    </xf>
    <xf numFmtId="2" fontId="2" fillId="11" borderId="65" xfId="0" applyNumberFormat="1" applyFont="1" applyFill="1" applyBorder="1" applyAlignment="1">
      <alignment horizontal="center"/>
    </xf>
    <xf numFmtId="0" fontId="2" fillId="29" borderId="65" xfId="0" applyFont="1" applyFill="1" applyBorder="1" applyAlignment="1">
      <alignment horizontal="center"/>
    </xf>
    <xf numFmtId="2" fontId="2" fillId="32" borderId="65" xfId="0" applyNumberFormat="1" applyFont="1" applyFill="1" applyBorder="1" applyAlignment="1">
      <alignment horizontal="center"/>
    </xf>
    <xf numFmtId="0" fontId="2" fillId="31" borderId="65" xfId="0" applyFont="1" applyFill="1" applyBorder="1" applyAlignment="1">
      <alignment horizontal="center"/>
    </xf>
    <xf numFmtId="0" fontId="2" fillId="30" borderId="65" xfId="0" applyFont="1" applyFill="1" applyBorder="1" applyAlignment="1">
      <alignment horizontal="center"/>
    </xf>
    <xf numFmtId="2" fontId="2" fillId="30" borderId="65" xfId="0" applyNumberFormat="1" applyFont="1" applyFill="1" applyBorder="1" applyAlignment="1">
      <alignment horizontal="center"/>
    </xf>
    <xf numFmtId="0" fontId="38" fillId="5" borderId="65" xfId="0" applyFont="1" applyFill="1" applyBorder="1" applyAlignment="1">
      <alignment horizontal="center"/>
    </xf>
    <xf numFmtId="2" fontId="38" fillId="5" borderId="65" xfId="0" applyNumberFormat="1" applyFont="1" applyFill="1" applyBorder="1" applyAlignment="1">
      <alignment horizontal="center"/>
    </xf>
    <xf numFmtId="0" fontId="1" fillId="2" borderId="65" xfId="0" applyFont="1" applyFill="1" applyBorder="1"/>
    <xf numFmtId="0" fontId="0" fillId="3" borderId="65" xfId="0" applyFill="1" applyBorder="1"/>
    <xf numFmtId="2" fontId="0" fillId="0" borderId="65" xfId="0" applyNumberFormat="1" applyBorder="1"/>
    <xf numFmtId="0" fontId="0" fillId="4" borderId="65" xfId="0" applyFill="1" applyBorder="1"/>
    <xf numFmtId="0" fontId="2" fillId="4" borderId="65" xfId="0" applyFont="1" applyFill="1" applyBorder="1"/>
    <xf numFmtId="2" fontId="2" fillId="4" borderId="65" xfId="0" applyNumberFormat="1" applyFont="1" applyFill="1" applyBorder="1"/>
    <xf numFmtId="0" fontId="2" fillId="5" borderId="65" xfId="0" applyFont="1" applyFill="1" applyBorder="1"/>
    <xf numFmtId="0" fontId="0" fillId="3" borderId="65" xfId="0" applyFill="1" applyBorder="1" applyAlignment="1">
      <alignment horizontal="center" vertical="center"/>
    </xf>
    <xf numFmtId="0" fontId="0" fillId="3" borderId="65" xfId="0" applyFill="1" applyBorder="1" applyAlignment="1">
      <alignment horizontal="left"/>
    </xf>
    <xf numFmtId="0" fontId="1" fillId="2" borderId="65" xfId="0" applyFont="1" applyFill="1" applyBorder="1" applyAlignment="1">
      <alignment horizontal="left"/>
    </xf>
    <xf numFmtId="0" fontId="11" fillId="2" borderId="65" xfId="0" applyFont="1" applyFill="1" applyBorder="1" applyAlignment="1">
      <alignment horizontal="left"/>
    </xf>
    <xf numFmtId="0" fontId="11" fillId="14" borderId="65" xfId="0" applyFont="1" applyFill="1" applyBorder="1" applyAlignment="1">
      <alignment horizontal="left"/>
    </xf>
    <xf numFmtId="0" fontId="11" fillId="19" borderId="65" xfId="0" applyFont="1" applyFill="1" applyBorder="1" applyAlignment="1">
      <alignment horizontal="left"/>
    </xf>
    <xf numFmtId="0" fontId="1" fillId="14" borderId="65" xfId="0" applyFont="1" applyFill="1" applyBorder="1" applyAlignment="1">
      <alignment horizontal="left"/>
    </xf>
    <xf numFmtId="2" fontId="2" fillId="0" borderId="65" xfId="0" applyNumberFormat="1" applyFont="1" applyBorder="1" applyAlignment="1">
      <alignment horizontal="center"/>
    </xf>
    <xf numFmtId="0" fontId="24" fillId="15" borderId="66" xfId="0" applyFont="1" applyFill="1" applyBorder="1" applyAlignment="1">
      <alignment horizontal="center"/>
    </xf>
    <xf numFmtId="0" fontId="0" fillId="5" borderId="68" xfId="0" applyFill="1" applyBorder="1"/>
    <xf numFmtId="10" fontId="0" fillId="0" borderId="68" xfId="0" applyNumberFormat="1" applyBorder="1" applyAlignment="1">
      <alignment horizontal="center"/>
    </xf>
    <xf numFmtId="0" fontId="0" fillId="0" borderId="68" xfId="0" applyBorder="1" applyAlignment="1">
      <alignment horizontal="center"/>
    </xf>
    <xf numFmtId="10" fontId="0" fillId="0" borderId="38" xfId="0" applyNumberFormat="1" applyBorder="1" applyAlignment="1">
      <alignment horizontal="center"/>
    </xf>
    <xf numFmtId="10" fontId="0" fillId="0" borderId="66" xfId="0" applyNumberFormat="1" applyBorder="1" applyAlignment="1">
      <alignment horizontal="left"/>
    </xf>
    <xf numFmtId="0" fontId="0" fillId="0" borderId="66" xfId="0" applyBorder="1" applyAlignment="1">
      <alignment horizontal="left"/>
    </xf>
    <xf numFmtId="0" fontId="21" fillId="5" borderId="0" xfId="0" applyFont="1" applyFill="1" applyAlignment="1">
      <alignment horizontal="center" vertical="center"/>
    </xf>
    <xf numFmtId="0" fontId="4" fillId="0" borderId="10" xfId="0" applyFont="1" applyBorder="1" applyAlignment="1">
      <alignment horizontal="left" indent="1"/>
    </xf>
    <xf numFmtId="0" fontId="4" fillId="0" borderId="10" xfId="0" applyFont="1" applyBorder="1" applyAlignment="1">
      <alignment horizontal="left" indent="2"/>
    </xf>
    <xf numFmtId="0" fontId="4" fillId="0" borderId="65" xfId="0" applyFont="1" applyBorder="1" applyAlignment="1">
      <alignment horizontal="left" indent="2"/>
    </xf>
    <xf numFmtId="0" fontId="4" fillId="0" borderId="69" xfId="0" applyFont="1" applyBorder="1"/>
    <xf numFmtId="170" fontId="4" fillId="0" borderId="0" xfId="0" applyNumberFormat="1" applyFont="1"/>
    <xf numFmtId="2" fontId="0" fillId="0" borderId="10" xfId="0" applyNumberFormat="1" applyBorder="1" applyAlignment="1">
      <alignment horizontal="right"/>
    </xf>
    <xf numFmtId="170" fontId="4" fillId="0" borderId="10" xfId="0" applyNumberFormat="1" applyFont="1" applyBorder="1" applyAlignment="1">
      <alignment horizontal="left"/>
    </xf>
    <xf numFmtId="170" fontId="4" fillId="0" borderId="10" xfId="0" applyNumberFormat="1" applyFont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67" xfId="0" applyBorder="1" applyAlignment="1">
      <alignment horizontal="center"/>
    </xf>
    <xf numFmtId="0" fontId="4" fillId="0" borderId="38" xfId="0" applyFont="1" applyBorder="1"/>
    <xf numFmtId="2" fontId="0" fillId="0" borderId="38" xfId="0" applyNumberFormat="1" applyBorder="1" applyAlignment="1">
      <alignment horizontal="center"/>
    </xf>
    <xf numFmtId="0" fontId="4" fillId="0" borderId="68" xfId="0" applyFont="1" applyBorder="1"/>
    <xf numFmtId="2" fontId="0" fillId="0" borderId="68" xfId="0" applyNumberFormat="1" applyBorder="1" applyAlignment="1">
      <alignment horizontal="center"/>
    </xf>
    <xf numFmtId="0" fontId="4" fillId="0" borderId="66" xfId="0" applyFont="1" applyBorder="1"/>
    <xf numFmtId="2" fontId="0" fillId="0" borderId="66" xfId="0" applyNumberFormat="1" applyBorder="1" applyAlignment="1">
      <alignment horizontal="center"/>
    </xf>
    <xf numFmtId="0" fontId="4" fillId="0" borderId="3" xfId="0" applyFont="1" applyBorder="1"/>
    <xf numFmtId="0" fontId="4" fillId="0" borderId="3" xfId="0" applyFont="1" applyBorder="1" applyAlignment="1">
      <alignment horizontal="left" indent="2"/>
    </xf>
    <xf numFmtId="2" fontId="0" fillId="0" borderId="3" xfId="0" applyNumberFormat="1" applyBorder="1" applyAlignment="1">
      <alignment horizontal="center"/>
    </xf>
    <xf numFmtId="0" fontId="4" fillId="0" borderId="38" xfId="0" applyFont="1" applyBorder="1" applyAlignment="1">
      <alignment horizontal="left" indent="2"/>
    </xf>
    <xf numFmtId="0" fontId="4" fillId="0" borderId="68" xfId="0" applyFont="1" applyBorder="1" applyAlignment="1">
      <alignment horizontal="left" indent="2"/>
    </xf>
    <xf numFmtId="0" fontId="4" fillId="3" borderId="66" xfId="0" applyFont="1" applyFill="1" applyBorder="1"/>
    <xf numFmtId="0" fontId="0" fillId="3" borderId="66" xfId="0" applyFill="1" applyBorder="1" applyAlignment="1">
      <alignment horizontal="center"/>
    </xf>
    <xf numFmtId="2" fontId="0" fillId="3" borderId="66" xfId="0" applyNumberFormat="1" applyFill="1" applyBorder="1" applyAlignment="1">
      <alignment horizontal="center"/>
    </xf>
    <xf numFmtId="0" fontId="8" fillId="5" borderId="0" xfId="0" applyFont="1" applyFill="1"/>
    <xf numFmtId="170" fontId="8" fillId="5" borderId="0" xfId="0" applyNumberFormat="1" applyFont="1" applyFill="1"/>
    <xf numFmtId="170" fontId="0" fillId="0" borderId="0" xfId="0" applyNumberFormat="1"/>
    <xf numFmtId="1" fontId="0" fillId="0" borderId="0" xfId="0" applyNumberFormat="1"/>
    <xf numFmtId="1" fontId="0" fillId="3" borderId="66" xfId="0" applyNumberFormat="1" applyFill="1" applyBorder="1" applyAlignment="1">
      <alignment horizontal="center"/>
    </xf>
    <xf numFmtId="0" fontId="4" fillId="0" borderId="0" xfId="0" applyFont="1" applyAlignment="1">
      <alignment horizontal="left" indent="2"/>
    </xf>
    <xf numFmtId="0" fontId="0" fillId="0" borderId="38" xfId="0" applyBorder="1" applyAlignment="1">
      <alignment horizontal="center"/>
    </xf>
    <xf numFmtId="2" fontId="2" fillId="5" borderId="65" xfId="0" applyNumberFormat="1" applyFont="1" applyFill="1" applyBorder="1" applyAlignment="1">
      <alignment horizontal="center"/>
    </xf>
    <xf numFmtId="2" fontId="1" fillId="5" borderId="70" xfId="0" applyNumberFormat="1" applyFont="1" applyFill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0" fontId="63" fillId="0" borderId="3" xfId="0" applyNumberFormat="1" applyFont="1" applyBorder="1" applyAlignment="1">
      <alignment horizontal="center" vertical="center"/>
    </xf>
    <xf numFmtId="170" fontId="63" fillId="0" borderId="0" xfId="0" applyNumberFormat="1" applyFont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90" fillId="0" borderId="0" xfId="0" applyFont="1" applyAlignment="1">
      <alignment horizontal="left" vertical="center"/>
    </xf>
    <xf numFmtId="0" fontId="91" fillId="0" borderId="0" xfId="0" applyFont="1" applyAlignment="1">
      <alignment horizontal="left" vertical="center"/>
    </xf>
    <xf numFmtId="0" fontId="92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14" fontId="0" fillId="0" borderId="0" xfId="0" applyNumberFormat="1"/>
    <xf numFmtId="4" fontId="0" fillId="0" borderId="0" xfId="0" applyNumberFormat="1"/>
    <xf numFmtId="10" fontId="0" fillId="0" borderId="0" xfId="0" applyNumberFormat="1"/>
    <xf numFmtId="0" fontId="4" fillId="6" borderId="65" xfId="0" applyFont="1" applyFill="1" applyBorder="1" applyAlignment="1">
      <alignment horizontal="left" indent="2"/>
    </xf>
    <xf numFmtId="0" fontId="4" fillId="6" borderId="38" xfId="0" applyFont="1" applyFill="1" applyBorder="1" applyAlignment="1">
      <alignment horizontal="left" indent="2"/>
    </xf>
    <xf numFmtId="0" fontId="4" fillId="6" borderId="65" xfId="0" applyFont="1" applyFill="1" applyBorder="1"/>
    <xf numFmtId="0" fontId="34" fillId="34" borderId="3" xfId="0" applyFont="1" applyFill="1" applyBorder="1" applyAlignment="1">
      <alignment horizontal="center" vertical="center"/>
    </xf>
    <xf numFmtId="0" fontId="93" fillId="6" borderId="3" xfId="0" applyFont="1" applyFill="1" applyBorder="1" applyAlignment="1">
      <alignment horizontal="center"/>
    </xf>
    <xf numFmtId="1" fontId="0" fillId="0" borderId="65" xfId="0" applyNumberFormat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67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1" xfId="0" applyBorder="1" applyAlignment="1">
      <alignment horizontal="center"/>
    </xf>
    <xf numFmtId="2" fontId="4" fillId="0" borderId="3" xfId="0" applyNumberFormat="1" applyFont="1" applyBorder="1" applyAlignment="1">
      <alignment horizontal="center" vertical="center"/>
    </xf>
    <xf numFmtId="14" fontId="39" fillId="34" borderId="6" xfId="0" applyNumberFormat="1" applyFont="1" applyFill="1" applyBorder="1" applyAlignment="1">
      <alignment horizontal="center" vertical="center"/>
    </xf>
    <xf numFmtId="0" fontId="39" fillId="34" borderId="3" xfId="0" applyFont="1" applyFill="1" applyBorder="1" applyAlignment="1">
      <alignment horizontal="center" vertical="center"/>
    </xf>
    <xf numFmtId="0" fontId="40" fillId="34" borderId="3" xfId="0" applyFont="1" applyFill="1" applyBorder="1" applyAlignment="1">
      <alignment horizontal="center" vertical="center"/>
    </xf>
    <xf numFmtId="14" fontId="29" fillId="34" borderId="6" xfId="0" applyNumberFormat="1" applyFont="1" applyFill="1" applyBorder="1" applyAlignment="1">
      <alignment horizontal="center" vertical="center"/>
    </xf>
    <xf numFmtId="0" fontId="29" fillId="34" borderId="3" xfId="0" applyFont="1" applyFill="1" applyBorder="1" applyAlignment="1">
      <alignment horizontal="center" vertical="center"/>
    </xf>
    <xf numFmtId="0" fontId="29" fillId="6" borderId="3" xfId="0" applyFont="1" applyFill="1" applyBorder="1" applyAlignment="1">
      <alignment horizontal="center" vertical="center"/>
    </xf>
    <xf numFmtId="0" fontId="31" fillId="34" borderId="3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4" fillId="6" borderId="65" xfId="0" applyFont="1" applyFill="1" applyBorder="1" applyAlignment="1">
      <alignment horizontal="center" vertical="center"/>
    </xf>
    <xf numFmtId="0" fontId="4" fillId="6" borderId="65" xfId="0" applyFont="1" applyFill="1" applyBorder="1" applyAlignment="1">
      <alignment horizontal="center"/>
    </xf>
    <xf numFmtId="164" fontId="65" fillId="4" borderId="58" xfId="0" applyNumberFormat="1" applyFont="1" applyFill="1" applyBorder="1" applyAlignment="1">
      <alignment horizontal="center"/>
    </xf>
    <xf numFmtId="164" fontId="65" fillId="4" borderId="59" xfId="0" applyNumberFormat="1" applyFont="1" applyFill="1" applyBorder="1" applyAlignment="1">
      <alignment horizontal="center"/>
    </xf>
    <xf numFmtId="2" fontId="65" fillId="6" borderId="3" xfId="0" applyNumberFormat="1" applyFont="1" applyFill="1" applyBorder="1" applyAlignment="1">
      <alignment horizontal="center" vertical="center" wrapText="1"/>
    </xf>
    <xf numFmtId="164" fontId="2" fillId="6" borderId="4" xfId="0" applyNumberFormat="1" applyFont="1" applyFill="1" applyBorder="1" applyAlignment="1">
      <alignment horizontal="center" vertical="center"/>
    </xf>
    <xf numFmtId="0" fontId="76" fillId="5" borderId="0" xfId="0" applyFont="1" applyFill="1" applyAlignment="1">
      <alignment horizontal="center" vertical="center"/>
    </xf>
    <xf numFmtId="2" fontId="77" fillId="5" borderId="0" xfId="0" applyNumberFormat="1" applyFont="1" applyFill="1" applyAlignment="1">
      <alignment horizontal="center" vertical="center" wrapText="1"/>
    </xf>
    <xf numFmtId="2" fontId="66" fillId="4" borderId="21" xfId="0" applyNumberFormat="1" applyFont="1" applyFill="1" applyBorder="1" applyAlignment="1">
      <alignment horizontal="center" vertical="center" wrapText="1"/>
    </xf>
    <xf numFmtId="2" fontId="66" fillId="4" borderId="23" xfId="0" applyNumberFormat="1" applyFont="1" applyFill="1" applyBorder="1" applyAlignment="1">
      <alignment horizontal="center" vertical="center" wrapText="1"/>
    </xf>
    <xf numFmtId="2" fontId="66" fillId="4" borderId="24" xfId="0" applyNumberFormat="1" applyFont="1" applyFill="1" applyBorder="1" applyAlignment="1">
      <alignment horizontal="center" vertical="center" wrapText="1"/>
    </xf>
    <xf numFmtId="2" fontId="66" fillId="4" borderId="25" xfId="0" applyNumberFormat="1" applyFont="1" applyFill="1" applyBorder="1" applyAlignment="1">
      <alignment horizontal="center" vertical="center" wrapText="1"/>
    </xf>
    <xf numFmtId="2" fontId="66" fillId="4" borderId="26" xfId="0" applyNumberFormat="1" applyFont="1" applyFill="1" applyBorder="1" applyAlignment="1">
      <alignment horizontal="center" vertical="center" wrapText="1"/>
    </xf>
    <xf numFmtId="2" fontId="66" fillId="4" borderId="28" xfId="0" applyNumberFormat="1" applyFont="1" applyFill="1" applyBorder="1" applyAlignment="1">
      <alignment horizontal="center" vertical="center" wrapText="1"/>
    </xf>
    <xf numFmtId="0" fontId="72" fillId="5" borderId="0" xfId="0" applyFont="1" applyFill="1" applyAlignment="1">
      <alignment horizontal="center"/>
    </xf>
    <xf numFmtId="0" fontId="73" fillId="5" borderId="0" xfId="0" applyFont="1" applyFill="1" applyAlignment="1">
      <alignment horizontal="center" vertical="center"/>
    </xf>
    <xf numFmtId="0" fontId="69" fillId="5" borderId="0" xfId="0" applyFont="1" applyFill="1" applyAlignment="1">
      <alignment horizontal="center" vertical="center"/>
    </xf>
    <xf numFmtId="0" fontId="71" fillId="25" borderId="0" xfId="0" applyFont="1" applyFill="1" applyAlignment="1">
      <alignment horizontal="center" vertical="center"/>
    </xf>
    <xf numFmtId="2" fontId="66" fillId="4" borderId="35" xfId="0" applyNumberFormat="1" applyFont="1" applyFill="1" applyBorder="1" applyAlignment="1">
      <alignment horizontal="center" vertical="center" wrapText="1"/>
    </xf>
    <xf numFmtId="2" fontId="66" fillId="4" borderId="0" xfId="0" applyNumberFormat="1" applyFont="1" applyFill="1" applyAlignment="1">
      <alignment horizontal="center" vertical="center" wrapText="1"/>
    </xf>
    <xf numFmtId="164" fontId="66" fillId="4" borderId="19" xfId="0" applyNumberFormat="1" applyFont="1" applyFill="1" applyBorder="1" applyAlignment="1">
      <alignment horizontal="center" vertical="center"/>
    </xf>
    <xf numFmtId="2" fontId="66" fillId="4" borderId="56" xfId="0" applyNumberFormat="1" applyFont="1" applyFill="1" applyBorder="1" applyAlignment="1">
      <alignment horizontal="center" vertical="center" wrapText="1"/>
    </xf>
    <xf numFmtId="164" fontId="65" fillId="4" borderId="4" xfId="0" applyNumberFormat="1" applyFont="1" applyFill="1" applyBorder="1" applyAlignment="1">
      <alignment horizontal="center"/>
    </xf>
    <xf numFmtId="164" fontId="65" fillId="4" borderId="6" xfId="0" applyNumberFormat="1" applyFont="1" applyFill="1" applyBorder="1" applyAlignment="1">
      <alignment horizontal="center"/>
    </xf>
    <xf numFmtId="0" fontId="74" fillId="5" borderId="0" xfId="0" applyFont="1" applyFill="1" applyAlignment="1">
      <alignment horizontal="center"/>
    </xf>
    <xf numFmtId="0" fontId="75" fillId="5" borderId="0" xfId="0" applyFont="1" applyFill="1" applyAlignment="1">
      <alignment horizontal="center" vertical="center"/>
    </xf>
    <xf numFmtId="2" fontId="68" fillId="5" borderId="0" xfId="0" applyNumberFormat="1" applyFont="1" applyFill="1" applyAlignment="1">
      <alignment horizontal="center" vertical="center" wrapText="1"/>
    </xf>
    <xf numFmtId="2" fontId="65" fillId="13" borderId="3" xfId="0" applyNumberFormat="1" applyFont="1" applyFill="1" applyBorder="1" applyAlignment="1">
      <alignment horizontal="center" vertical="center" wrapText="1"/>
    </xf>
    <xf numFmtId="164" fontId="2" fillId="13" borderId="3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15" fillId="7" borderId="0" xfId="0" applyFont="1" applyFill="1" applyAlignment="1">
      <alignment horizontal="center" vertical="center"/>
    </xf>
    <xf numFmtId="0" fontId="46" fillId="6" borderId="0" xfId="0" applyFont="1" applyFill="1" applyAlignment="1">
      <alignment horizontal="center" vertical="center"/>
    </xf>
    <xf numFmtId="0" fontId="86" fillId="5" borderId="0" xfId="0" applyFont="1" applyFill="1" applyAlignment="1">
      <alignment horizontal="center" vertical="center"/>
    </xf>
    <xf numFmtId="0" fontId="85" fillId="5" borderId="0" xfId="0" applyFont="1" applyFill="1" applyAlignment="1">
      <alignment horizontal="center" vertical="center"/>
    </xf>
    <xf numFmtId="0" fontId="48" fillId="27" borderId="0" xfId="0" applyFont="1" applyFill="1" applyAlignment="1">
      <alignment horizontal="center" vertical="center"/>
    </xf>
    <xf numFmtId="2" fontId="46" fillId="21" borderId="0" xfId="0" applyNumberFormat="1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21" fillId="5" borderId="65" xfId="0" applyFont="1" applyFill="1" applyBorder="1" applyAlignment="1">
      <alignment horizontal="center"/>
    </xf>
    <xf numFmtId="0" fontId="79" fillId="5" borderId="65" xfId="0" applyFont="1" applyFill="1" applyBorder="1" applyAlignment="1">
      <alignment horizontal="center" vertical="center"/>
    </xf>
    <xf numFmtId="0" fontId="81" fillId="5" borderId="65" xfId="0" applyFont="1" applyFill="1" applyBorder="1" applyAlignment="1">
      <alignment horizontal="center" wrapText="1"/>
    </xf>
    <xf numFmtId="0" fontId="80" fillId="5" borderId="65" xfId="0" applyFont="1" applyFill="1" applyBorder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1" fontId="21" fillId="5" borderId="0" xfId="0" applyNumberFormat="1" applyFont="1" applyFill="1" applyAlignment="1">
      <alignment horizontal="center" vertical="center"/>
    </xf>
    <xf numFmtId="0" fontId="0" fillId="0" borderId="65" xfId="0" applyBorder="1" applyAlignment="1">
      <alignment horizontal="center"/>
    </xf>
    <xf numFmtId="2" fontId="8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46" fillId="21" borderId="0" xfId="0" applyNumberFormat="1" applyFont="1" applyFill="1" applyAlignment="1">
      <alignment horizontal="center"/>
    </xf>
    <xf numFmtId="0" fontId="48" fillId="4" borderId="0" xfId="0" applyFont="1" applyFill="1" applyAlignment="1">
      <alignment horizontal="center" vertical="center"/>
    </xf>
    <xf numFmtId="0" fontId="47" fillId="4" borderId="0" xfId="0" applyFont="1" applyFill="1" applyAlignment="1">
      <alignment horizontal="center" vertical="center"/>
    </xf>
    <xf numFmtId="2" fontId="49" fillId="5" borderId="34" xfId="0" applyNumberFormat="1" applyFont="1" applyFill="1" applyBorder="1" applyAlignment="1">
      <alignment horizontal="center"/>
    </xf>
    <xf numFmtId="2" fontId="49" fillId="5" borderId="51" xfId="0" applyNumberFormat="1" applyFont="1" applyFill="1" applyBorder="1" applyAlignment="1">
      <alignment horizontal="center"/>
    </xf>
    <xf numFmtId="2" fontId="49" fillId="5" borderId="33" xfId="0" applyNumberFormat="1" applyFont="1" applyFill="1" applyBorder="1" applyAlignment="1">
      <alignment horizontal="center"/>
    </xf>
    <xf numFmtId="0" fontId="14" fillId="5" borderId="0" xfId="0" applyFont="1" applyFill="1" applyAlignment="1">
      <alignment horizontal="center"/>
    </xf>
    <xf numFmtId="0" fontId="19" fillId="5" borderId="0" xfId="0" applyFont="1" applyFill="1" applyAlignment="1">
      <alignment horizontal="center"/>
    </xf>
    <xf numFmtId="0" fontId="9" fillId="21" borderId="48" xfId="0" applyFont="1" applyFill="1" applyBorder="1" applyAlignment="1">
      <alignment horizontal="center"/>
    </xf>
    <xf numFmtId="0" fontId="9" fillId="21" borderId="0" xfId="0" applyFont="1" applyFill="1" applyAlignment="1">
      <alignment horizontal="center"/>
    </xf>
    <xf numFmtId="2" fontId="49" fillId="5" borderId="49" xfId="0" applyNumberFormat="1" applyFont="1" applyFill="1" applyBorder="1" applyAlignment="1">
      <alignment horizontal="center"/>
    </xf>
    <xf numFmtId="2" fontId="49" fillId="5" borderId="50" xfId="0" applyNumberFormat="1" applyFont="1" applyFill="1" applyBorder="1" applyAlignment="1">
      <alignment horizontal="center"/>
    </xf>
    <xf numFmtId="2" fontId="49" fillId="24" borderId="50" xfId="0" applyNumberFormat="1" applyFont="1" applyFill="1" applyBorder="1" applyAlignment="1">
      <alignment horizontal="center"/>
    </xf>
    <xf numFmtId="2" fontId="49" fillId="24" borderId="40" xfId="0" applyNumberFormat="1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6" fillId="5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239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13" formatCode="0%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13" formatCode="0%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3" formatCode="0%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numFmt numFmtId="0" formatCode="General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numFmt numFmtId="0" formatCode="General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numFmt numFmtId="2" formatCode="0.00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numFmt numFmtId="0" formatCode="General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FFFFFF"/>
        </left>
        <right/>
        <top style="thin">
          <color rgb="FFFFFFFF"/>
        </top>
        <bottom style="thin">
          <color rgb="FFFFFFF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165" formatCode="0.000%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/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0" formatCode="General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border diagonalUp="0" diagonalDown="0" outline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8"/>
        <name val="Calibri"/>
        <family val="2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>
          <fgColor rgb="FF000000"/>
          <bgColor rgb="FF000000"/>
        </patternFill>
      </fill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numFmt numFmtId="13" formatCode="0%"/>
    </dxf>
    <dxf>
      <numFmt numFmtId="13" formatCode="0%"/>
    </dxf>
    <dxf>
      <numFmt numFmtId="164" formatCode="&quot;$&quot;#,##0.00;[Red]&quot;$&quot;#,##0.00"/>
    </dxf>
    <dxf>
      <numFmt numFmtId="164" formatCode="&quot;$&quot;#,##0.00;[Red]&quot;$&quot;#,##0.0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164" formatCode="&quot;$&quot;#,##0.00;[Red]&quot;$&quot;#,##0.00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2" formatCode="0.00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font>
        <b/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solid">
          <fgColor rgb="FF000000"/>
          <bgColor rgb="FF70AD47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border diagonalUp="0" diagonalDown="0" outline="0">
        <left/>
        <right/>
        <top/>
        <bottom style="medium">
          <color indexed="64"/>
        </bottom>
      </border>
    </dxf>
    <dxf>
      <numFmt numFmtId="164" formatCode="&quot;$&quot;#,##0.00;[Red]&quot;$&quot;#,##0.00"/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border diagonalUp="0" diagonalDown="0" outline="0">
        <left/>
        <right/>
        <top/>
        <bottom style="medium">
          <color indexed="64"/>
        </bottom>
      </border>
    </dxf>
    <dxf>
      <numFmt numFmtId="164" formatCode="&quot;$&quot;#,##0.00;[Red]&quot;$&quot;#,##0.00"/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border diagonalUp="0" diagonalDown="0" outline="0">
        <left/>
        <right/>
        <top/>
        <bottom style="medium">
          <color indexed="64"/>
        </bottom>
      </border>
    </dxf>
    <dxf>
      <numFmt numFmtId="164" formatCode="&quot;$&quot;#,##0.00;[Red]&quot;$&quot;#,##0.00"/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5" tint="-0.249977111117893"/>
        </patternFill>
      </fill>
      <border diagonalUp="0" diagonalDown="0" outline="0">
        <left/>
        <right/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border diagonalUp="0" diagonalDown="0" outline="0">
        <left/>
        <right/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border diagonalUp="0" diagonalDown="0" outline="0">
        <left/>
        <right/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border diagonalUp="0" diagonalDown="0" outline="0">
        <left/>
        <right/>
        <top/>
        <bottom style="medium">
          <color indexed="64"/>
        </bottom>
      </border>
    </dxf>
    <dxf>
      <numFmt numFmtId="164" formatCode="&quot;$&quot;#,##0.00;[Red]&quot;$&quot;#,##0.00"/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/>
      </font>
      <numFmt numFmtId="2" formatCode="0.00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</dxf>
    <dxf>
      <font>
        <b/>
      </font>
      <numFmt numFmtId="164" formatCode="&quot;$&quot;#,##0.00;[Red]&quot;$&quot;#,##0.00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</dxf>
    <dxf>
      <font>
        <b/>
      </font>
      <numFmt numFmtId="164" formatCode="&quot;$&quot;#,##0.00;[Red]&quot;$&quot;#,##0.00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</dxf>
    <dxf>
      <font>
        <b/>
      </font>
      <numFmt numFmtId="164" formatCode="&quot;$&quot;#,##0.00;[Red]&quot;$&quot;#,##0.00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</dxf>
    <dxf>
      <font>
        <b/>
      </font>
      <numFmt numFmtId="2" formatCode="0.00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</dxf>
    <dxf>
      <font>
        <b/>
      </font>
      <numFmt numFmtId="168" formatCode="0.00000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</dxf>
    <dxf>
      <font>
        <b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rgb="FF000000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>
          <fgColor rgb="FF000000"/>
          <bgColor rgb="FF000000"/>
        </patternFill>
      </fill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7" formatCode="0.00;[Red]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9" formatCode="0.00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theme="0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00%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00%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left" vertical="center" textRotation="0" wrapText="0" justifyLastLine="0" shrinkToFit="0" readingOrder="0"/>
    </dxf>
    <dxf>
      <fill>
        <patternFill patternType="solid">
          <fgColor rgb="FF000000"/>
          <bgColor rgb="FFFFFF00"/>
        </patternFill>
      </fill>
      <alignment horizontal="left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2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5" formatCode="0.0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auto="1"/>
        <name val="Calibri"/>
        <family val="2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family val="2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164" formatCode="&quot;$&quot;#,##0.00;[Red]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family val="2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numFmt numFmtId="0" formatCode="General"/>
    </dxf>
    <dxf>
      <numFmt numFmtId="170" formatCode="0.0"/>
    </dxf>
    <dxf>
      <numFmt numFmtId="170" formatCode="0.0"/>
    </dxf>
    <dxf>
      <numFmt numFmtId="2" formatCode="0.00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" formatCode="0.0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left style="thin">
          <color theme="1"/>
        </left>
        <bottom style="thin">
          <color theme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/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" formatCode="0.00"/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-0.499984740745262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-0.499984740745262"/>
        </patternFill>
      </fill>
    </dxf>
    <dxf>
      <fill>
        <patternFill>
          <bgColor theme="3" tint="0.59996337778862885"/>
        </patternFill>
      </fill>
    </dxf>
    <dxf>
      <fill>
        <patternFill>
          <bgColor rgb="FF0070C0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499984740745262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numFmt numFmtId="174" formatCode="&quot;$&quot;#,##0"/>
      <alignment horizontal="center" vertical="center" textRotation="0" wrapText="0" indent="0" justifyLastLine="0" shrinkToFit="0" readingOrder="0"/>
    </dxf>
    <dxf>
      <numFmt numFmtId="174" formatCode="&quot;$&quot;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numFmt numFmtId="174" formatCode="&quot;$&quot;#,##0"/>
      <alignment horizontal="center" vertical="center" textRotation="0" wrapText="0" indent="0" justifyLastLine="0" shrinkToFit="0" readingOrder="0"/>
    </dxf>
    <dxf>
      <numFmt numFmtId="174" formatCode="&quot;$&quot;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numFmt numFmtId="174" formatCode="&quot;$&quot;#,##0"/>
      <alignment horizontal="center" vertical="center" textRotation="0" wrapText="0" indent="0" justifyLastLine="0" shrinkToFit="0" readingOrder="0"/>
    </dxf>
    <dxf>
      <numFmt numFmtId="174" formatCode="&quot;$&quot;#,##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alignment horizontal="center" vertical="center" textRotation="0" indent="0" justifyLastLine="0" shrinkToFit="0" readingOrder="0"/>
    </dxf>
    <dxf>
      <border outline="0">
        <left style="thin">
          <color theme="1"/>
        </left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13" formatCode="0%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13" formatCode="0%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3" formatCode="0%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numFmt numFmtId="2" formatCode="0.00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165" formatCode="0.000%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0" formatCode="General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m/d/yyyy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8"/>
        <name val="Calibri"/>
        <family val="2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numFmt numFmtId="164" formatCode="&quot;$&quot;#,##0.00;[Red]&quot;$&quot;#,##0.0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>
          <fgColor rgb="FF000000"/>
          <bgColor rgb="FF000000"/>
        </patternFill>
      </fill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numFmt numFmtId="164" formatCode="&quot;$&quot;#,##0.00;[Red]&quot;$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164" formatCode="&quot;$&quot;#,##0.00;[Red]&quot;$&quot;#,##0.00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numFmt numFmtId="2" formatCode="0.00"/>
      <fill>
        <patternFill patternType="solid">
          <fgColor rgb="FF000000"/>
          <bgColor rgb="FF70AD4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solid">
          <fgColor rgb="FF000000"/>
          <bgColor rgb="FF70AD47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164" formatCode="&quot;$&quot;#,##0.00;[Red]&quot;$&quot;#,##0.00"/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164" formatCode="&quot;$&quot;#,##0.00;[Red]&quot;$&quot;#,##0.00"/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164" formatCode="&quot;$&quot;#,##0.00;[Red]&quot;$&quot;#,##0.00"/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164" formatCode="&quot;$&quot;#,##0.00;[Red]&quot;$&quot;#,##0.00"/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ill>
        <patternFill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164" formatCode="&quot;$&quot;#,##0.00;[Red]&quot;$&quot;#,##0.00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164" formatCode="&quot;$&quot;#,##0.00;[Red]&quot;$&quot;#,##0.00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164" formatCode="&quot;$&quot;#,##0.00;[Red]&quot;$&quot;#,##0.00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168" formatCode="0.00000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rgb="FF000000"/>
          <bgColor rgb="FFFFFF00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>
          <fgColor rgb="FF000000"/>
          <bgColor rgb="FF000000"/>
        </patternFill>
      </fill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7" formatCode="0.00;[Red]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#,##0.00;[Red]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5" formatCode="0.000%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rgb="FF000000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6" tint="0.39997558519241921"/>
        </top>
      </border>
    </dxf>
    <dxf>
      <border outline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</border>
    </dxf>
    <dxf>
      <border outline="0"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00%"/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00%"/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  <fill>
        <patternFill patternType="solid">
          <fgColor indexed="64"/>
          <bgColor theme="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justifyLastLine="0" shrinkToFit="0" readingOrder="0"/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;[Red]&quot;$&quot;#,##0.00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border outline="0">
        <right style="thin">
          <color theme="1"/>
        </right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0" formatCode="0.0"/>
      <fill>
        <patternFill patternType="none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164" formatCode="&quot;$&quot;#,##0.00;[Red]&quot;$&quot;#,##0.00"/>
    </dxf>
    <dxf>
      <numFmt numFmtId="164" formatCode="&quot;$&quot;#,##0.00;[Red]&quot;$&quot;#,##0.00"/>
    </dxf>
    <dxf>
      <numFmt numFmtId="164" formatCode="&quot;$&quot;#,##0.00;[Red]&quot;$&quot;#,##0.00"/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;[Red]&quot;$&quot;#,##0.00"/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00%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00%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m/d/yyyy"/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justifyLastLine="0" shrinkToFit="0" readingOrder="0"/>
    </dxf>
    <dxf>
      <fill>
        <patternFill patternType="solid">
          <fgColor indexed="64"/>
          <bgColor rgb="FFFFFF00"/>
        </patternFill>
      </fill>
      <alignment horizontal="left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</dxf>
    <dxf>
      <numFmt numFmtId="164" formatCode="&quot;$&quot;#,##0.00;[Red]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theme="6" tint="0.39997558519241921"/>
        </left>
        <right style="thin">
          <color theme="6" tint="0.39997558519241921"/>
        </right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border outline="0">
        <bottom style="thin">
          <color theme="6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0" formatCode="0.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</dxf>
    <dxf>
      <numFmt numFmtId="164" formatCode="&quot;$&quot;#,##0.00;[Red]&quot;$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</dxf>
    <dxf>
      <numFmt numFmtId="164" formatCode="&quot;$&quot;#,##0.00;[Red]&quot;$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1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3" formatCode="m/d/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3" formatCode="m/d/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1" formatCode="&quot;$&quot;#,##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0" formatCode="0.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2" formatCode="&quot;$&quot;#,##0;[Red]&quot;$&quot;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1" formatCode="&quot;$&quot;#,##0.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1" formatCode="&quot;$&quot;#,##0.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0" formatCode="0.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2" formatCode="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2" formatCode="0.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2" formatCode="&quot;$&quot;#,##0;[Red]&quot;$&quot;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2" formatCode="&quot;$&quot;#,##0;[Red]&quot;$&quot;#,##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alignment horizontal="center" textRotation="0" wrapText="0" indent="0" justifyLastLine="0" shrinkToFit="0" readingOrder="0"/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1" formatCode="&quot;$&quot;#,##0.00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1" formatCode="&quot;$&quot;#,##0.00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0" formatCode="0.0"/>
      <alignment horizontal="center" textRotation="0" wrapText="0" indent="0" justifyLastLine="0" shrinkToFit="0" readingOrder="0"/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2" formatCode="0.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164" formatCode="&quot;$&quot;#,##0.00;[Red]&quot;$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1" formatCode="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3" formatCode="m/d/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3" formatCode="m/d/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64" formatCode="&quot;$&quot;#,##0.00;[Red]&quot;$&quot;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71" formatCode="&quot;$&quot;#,##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170" formatCode="0.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2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72" formatCode="&quot;$&quot;#,##0;[Red]&quot;$&quot;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64" formatCode="&quot;$&quot;#,##0.00;[Red]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164" formatCode="&quot;$&quot;#,##0.00;[Red]&quot;$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1" formatCode="&quot;$&quot;#,##0.0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1" formatCode="&quot;$&quot;#,##0.0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70" formatCode="0.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0" formatCode="0.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70" formatCode="0.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0" formatCode="0.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72" formatCode="&quot;$&quot;#,##0;[Red]&quot;$&quot;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2" formatCode="&quot;$&quot;#,##0;[Red]&quot;$&quot;#,##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64" formatCode="&quot;$&quot;#,##0.00;[Red]&quot;$&quot;#,##0.0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71" formatCode="&quot;$&quot;#,##0.0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1" formatCode="&quot;$&quot;#,##0.0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3" formatCode="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3" formatCode="#,##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numFmt numFmtId="170" formatCode="0.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170" formatCode="0.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2" formatCode="0.00"/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9" tint="-0.249977111117893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rgb="FF7030A0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-0.49998474074526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-0.499984740745262"/>
        </patternFill>
      </fill>
    </dxf>
    <dxf>
      <fill>
        <patternFill>
          <bgColor theme="5" tint="-0.499984740745262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366E8EF-83AB-40CB-AE6B-6A1170BE96CB}" name="WHEATCLAIM2022" displayName="WHEATCLAIM2022" ref="A20:S36" totalsRowCount="1" headerRowDxfId="2306" dataDxfId="2305" totalsRowDxfId="2304">
  <autoFilter ref="A20:S35" xr:uid="{43819B50-C318-4ADC-9D23-BF7BA2EA69D2}"/>
  <tableColumns count="19">
    <tableColumn id="1" xr3:uid="{FEA36CE4-044E-48DD-BE6B-0377D432D6B7}" name="CLIENT" totalsRowLabel="Total" dataDxfId="2303" totalsRowDxfId="2302"/>
    <tableColumn id="2" xr3:uid="{4B076BB7-2B32-4EB5-AEF2-0C7D9C3BDFF9}" name="FARM " dataDxfId="2301" totalsRowDxfId="2300"/>
    <tableColumn id="3" xr3:uid="{187679EB-0C77-40F1-8993-8E4F09D9B0F5}" name="FIELD" dataDxfId="2299" totalsRowDxfId="2298"/>
    <tableColumn id="25" xr3:uid="{70D340C8-496F-4989-BDBA-AAC55465AE43}" name="COUNTY FIELD IS LOCATED 2" dataDxfId="2297" totalsRowDxfId="2296">
      <calculatedColumnFormula>IFERROR(VLOOKUP(WHEATCLAIM2022[[#This Row],[FIELD]],FFTBL[[Field]:[COUNTY2]],7,FALSE),"")</calculatedColumnFormula>
    </tableColumn>
    <tableColumn id="4" xr3:uid="{ED656A15-6AED-4023-98C4-63EEE7C1DC28}" name="LEGAL DESCRIPTION" dataDxfId="2295" totalsRowDxfId="2294">
      <calculatedColumnFormula>IFERROR(VLOOKUP(WHEATCLAIM2022[[#This Row],[FIELD]],FFTBL[[Field]:[COUNTY2]],3,FALSE),"")</calculatedColumnFormula>
    </tableColumn>
    <tableColumn id="5" xr3:uid="{A776F5A2-A2B8-458C-96B1-2F4923EBBD95}" name="ACRES" totalsRowFunction="sum" dataDxfId="2293" totalsRowDxfId="2292">
      <calculatedColumnFormula>IFERROR(VLOOKUP(WHEATCLAIM2022[[#This Row],[FIELD]],FFTBL[[Field]:[COUNTY2]],2,FALSE),"")</calculatedColumnFormula>
    </tableColumn>
    <tableColumn id="26" xr3:uid="{47A00EEE-CADC-41FF-9037-B450CDD6B6E4}" name="BUSHELS PRODUCED" totalsRowFunction="sum" dataDxfId="2291" totalsRowDxfId="2290">
      <calculatedColumnFormula>SUMIFS(WheatYield40[GROSS BUSHELS],WheatYield40[Field],WHEATCLAIM2022[[#This Row],[FIELD]])</calculatedColumnFormula>
    </tableColumn>
    <tableColumn id="27" xr3:uid="{CE7A0B13-99E4-44CE-A9E3-47A4A06AAAFA}" name="HARVEST PRICE / PLANTING PRICE USED" dataDxfId="2289" totalsRowDxfId="2288"/>
    <tableColumn id="28" xr3:uid="{61899449-54C6-4F0D-A514-6855324F4F8F}" name="AVERAGE PRODUCTION HISTORY (APH)" dataDxfId="2287" totalsRowDxfId="2286"/>
    <tableColumn id="7" xr3:uid="{4A770F5E-533B-4CB3-985B-C5E6CBB7E213}" name="PER ACRE GARAUNTEE $" dataDxfId="2285" totalsRowDxfId="2284">
      <calculatedColumnFormula>WHEATCLAIM2022[[#This Row],[AVERAGE PRODUCTION HISTORY (APH)]]*WHEATCLAIM2022[[#This Row],[HARVEST PRICE / PLANTING PRICE USED]]</calculatedColumnFormula>
    </tableColumn>
    <tableColumn id="8" xr3:uid="{81EC994F-85F5-4C4D-9D74-3539D5B32071}" name="TOTAL REVENUE PROTECTION GARUANTEE" totalsRowFunction="sum" dataDxfId="2283" totalsRowDxfId="2282">
      <calculatedColumnFormula>IFERROR((WHEATCLAIM2022[[#This Row],[PER ACRE GARAUNTEE $]]*WHEATCLAIM2022[[#This Row],[ACRES]]),"")</calculatedColumnFormula>
    </tableColumn>
    <tableColumn id="9" xr3:uid="{7F006CB8-3BC7-4A0C-9123-18A85DCA6E06}" name="TOTAL GARAUNTEE" totalsRowFunction="sum" dataDxfId="2281" totalsRowDxfId="2280"/>
    <tableColumn id="29" xr3:uid="{9C35F992-3788-4631-992D-667E708BAD91}" name="DEFICIENCY" totalsRowFunction="sum" dataDxfId="2279" totalsRowDxfId="2278">
      <calculatedColumnFormula>WHEATCLAIM2022[[#This Row],[TOTAL GARAUNTEE]]-WHEATCLAIM2022[[#This Row],[BUSHELS PRODUCED]]</calculatedColumnFormula>
    </tableColumn>
    <tableColumn id="30" xr3:uid="{72F307B3-4816-4B19-887D-7C2357A48FAD}" name="PER ACRE REVENUE DEFICIENCY" dataDxfId="2277" totalsRowDxfId="2276">
      <calculatedColumnFormula>(WHEATCLAIM2022[[#This Row],[DEFICIENCY]]*WHEATCLAIM2022[[#This Row],[HARVEST PRICE / PLANTING PRICE USED]])/WHEATCLAIM2022[[#This Row],[ACRES]]</calculatedColumnFormula>
    </tableColumn>
    <tableColumn id="31" xr3:uid="{4BD1DB5D-7B47-4D73-BACF-16F0297C75AB}" name="TOTAL PRODUCTION$ PRODUCED" totalsRowFunction="sum" dataDxfId="2275" totalsRowDxfId="2274">
      <calculatedColumnFormula>WHEATCLAIM2022[[#This Row],[BUSHELS PRODUCED]]*WHEATCLAIM2022[[#This Row],[HARVEST PRICE / PLANTING PRICE USED]]</calculatedColumnFormula>
    </tableColumn>
    <tableColumn id="10" xr3:uid="{339D2632-974F-4AE6-A8D0-EB087F928AAF}" name="TOTAL REVENUE DEFICIENCY" totalsRowFunction="sum" dataDxfId="2273" totalsRowDxfId="2272">
      <calculatedColumnFormula>WHEATCLAIM2022[[#This Row],[DEFICIENCY]]*WHEATCLAIM2022[[#This Row],[HARVEST PRICE / PLANTING PRICE USED]]</calculatedColumnFormula>
    </tableColumn>
    <tableColumn id="34" xr3:uid="{EFD55358-9C18-4AB3-8C7C-B56373A17B46}" name="PAYMENT FROM INSURANCE" totalsRowFunction="sum" totalsRowDxfId="2271"/>
    <tableColumn id="35" xr3:uid="{01080CE1-3F00-4D4D-9945-587D3425CBFD}" name="M77AG 65% INSURANCE PAYMENT" totalsRowFunction="sum" totalsRowDxfId="2270">
      <calculatedColumnFormula>WHEATCLAIM2022[[#This Row],[PAYMENT FROM INSURANCE]]*0.65</calculatedColumnFormula>
    </tableColumn>
    <tableColumn id="36" xr3:uid="{4E101932-6EA9-47E8-9CB9-C907596951C0}" name="LAND LORD 35% INSURANCE PAYMENT" totalsRowFunction="sum" totalsRowDxfId="2269">
      <calculatedColumnFormula>WHEATCLAIM2022[[#This Row],[PAYMENT FROM INSURANCE]]*0.35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A2F3E9D-4A8A-43E8-9FB6-38D26FF9187C}" name="WHEATPREMIUM2022" displayName="WHEATPREMIUM2022" ref="A3:S16" totalsRowCount="1" headerRowDxfId="2268" dataDxfId="2267" totalsRowDxfId="2266">
  <autoFilter ref="A3:S15" xr:uid="{9A2F3E9D-4A8A-43E8-9FB6-38D26FF918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BCE5FF1-18AA-4158-A2C4-F91D02CCBADB}" name="CLIENT" totalsRowLabel="Total" dataDxfId="2265" totalsRowDxfId="2264"/>
    <tableColumn id="2" xr3:uid="{E868423B-B2FF-4B6E-B7F8-27DA802EFCEF}" name="FARM" dataDxfId="2263" totalsRowDxfId="2262"/>
    <tableColumn id="3" xr3:uid="{CE237BA0-DE7F-4C84-A49C-47561EEEDCDD}" name="FIELD" dataDxfId="2261" totalsRowDxfId="2260"/>
    <tableColumn id="4" xr3:uid="{C87E4CE5-641C-44FC-8F0A-493DBA20A5B9}" name="COUNTY FIELD IS LOCATED IN" dataDxfId="2259" totalsRowDxfId="2258">
      <calculatedColumnFormula>IFERROR(VLOOKUP(WHEATPREMIUM2022[[#This Row],[FIELD]],FFTBL[[Field]:[COUNTY2]],7,FALSE),"")</calculatedColumnFormula>
    </tableColumn>
    <tableColumn id="5" xr3:uid="{B8C3D8DC-424A-4A22-B727-92DD0A565A54}" name="LEGAL DESCRIPTION" dataDxfId="2257" totalsRowDxfId="2256">
      <calculatedColumnFormula>IFERROR(VLOOKUP(WHEATPREMIUM2022[[#This Row],[FIELD]],FFTBL[[Field]:[COUNTY2]],3,FALSE),"")</calculatedColumnFormula>
    </tableColumn>
    <tableColumn id="6" xr3:uid="{31329861-6FAE-48EA-8819-51053D3B5796}" name="TOTAL ACRES IN FIELD" dataDxfId="2255" totalsRowDxfId="2254">
      <calculatedColumnFormula>IFERROR(VLOOKUP(WHEATPREMIUM2022[[#This Row],[FIELD]],FFTBL[[Field]:[COUNTY2]],2,FALSE),"")</calculatedColumnFormula>
    </tableColumn>
    <tableColumn id="7" xr3:uid="{5AB58FA4-7808-475E-BB58-2AC7A0169D47}" name="TOTAL ACRES IN COUNTY ALL OWNERS" dataDxfId="2253" totalsRowDxfId="2252">
      <calculatedColumnFormula>SUMIFS(WHEATPREMIUM2022[TOTAL ACRES IN FIELD],WHEATPREMIUM2022[COUNTY FIELD IS LOCATED IN],WHEATPREMIUM2022[[#This Row],[COUNTY FIELD IS LOCATED IN]])</calculatedColumnFormula>
    </tableColumn>
    <tableColumn id="8" xr3:uid="{242AE5BE-C79E-410A-8BC9-0C90E5CD92A7}" name="COUNTY PREMIUMS" dataDxfId="2251" totalsRowDxfId="2250"/>
    <tableColumn id="9" xr3:uid="{CE9949C7-B80A-470C-9A25-55968F2ABF17}" name="PREMIUM PER ACRE COST" dataDxfId="2249" totalsRowDxfId="2248">
      <calculatedColumnFormula>WHEATPREMIUM2022[[#This Row],[COUNTY PREMIUMS]]/WHEATPREMIUM2022[[#This Row],[TOTAL ACRES IN COUNTY ALL OWNERS]]</calculatedColumnFormula>
    </tableColumn>
    <tableColumn id="10" xr3:uid="{8A747DBC-EAE2-4BF7-86F4-FE5B7038C2E9}" name="TOTAL PREMIUM ACRE COST" dataDxfId="2247" totalsRowDxfId="2246">
      <calculatedColumnFormula>WHEATPREMIUM2022[[#This Row],[PREMIUM PER ACRE COST]]*WHEATPREMIUM2022[[#This Row],[TOTAL ACRES IN FIELD]]</calculatedColumnFormula>
    </tableColumn>
    <tableColumn id="11" xr3:uid="{9DDE424E-2268-4F00-94C4-EC8332B16C93}" name="DATE PREMIUM BILL WAS DUE" dataDxfId="2245" totalsRowDxfId="2244"/>
    <tableColumn id="12" xr3:uid="{00A2FC33-2846-4DE1-9021-D16E940C72C3}" name="DATE PREMIUM PAYMENTS CAME" dataDxfId="2243" totalsRowDxfId="2242"/>
    <tableColumn id="13" xr3:uid="{00DDC66C-CC05-44E8-B902-A8A26C9CD8EF}" name="TOTAL DAYS OF INTERST" dataDxfId="2241" totalsRowDxfId="2240">
      <calculatedColumnFormula>(WHEATPREMIUM2022[[#This Row],[DATE PREMIUM BILL WAS DUE]]-WHEATPREMIUM2022[[#This Row],[DATE PREMIUM PAYMENTS CAME]])*-1</calculatedColumnFormula>
    </tableColumn>
    <tableColumn id="14" xr3:uid="{CAA27AE0-D6E8-4AAB-B5C8-28F49DDD2D4E}" name="INTEREST RATE" dataDxfId="2239" totalsRowDxfId="2238"/>
    <tableColumn id="15" xr3:uid="{5E997735-433C-4525-9CB1-8A95FDC24D5C}" name="TOTAL INTEREST" totalsRowFunction="sum" dataDxfId="2237" totalsRowDxfId="2236">
      <calculatedColumnFormula>(WHEATPREMIUM2022[[#This Row],[TOTAL PREMIUM ACRE COST]]*((WHEATPREMIUM2022[[#This Row],[INTEREST RATE]])*(WHEATPREMIUM2022[[#This Row],[TOTAL DAYS OF INTERST]]/365)))</calculatedColumnFormula>
    </tableColumn>
    <tableColumn id="16" xr3:uid="{F384EF63-B15B-4D5B-B68F-E2B67F6C2A7F}" name="INSURANCE ADMIN FEES" totalsRowFunction="sum" dataDxfId="2235" totalsRowDxfId="2234"/>
    <tableColumn id="17" xr3:uid="{34D36634-6C9A-4329-B459-D74D9E33D83E}" name="TOTAL INSURANCE PREMIUM PAID" totalsRowFunction="sum" dataDxfId="2233" totalsRowDxfId="2232">
      <calculatedColumnFormula>WHEATPREMIUM2022[[#This Row],[INSURANCE ADMIN FEES]]+WHEATPREMIUM2022[[#This Row],[TOTAL INTEREST]]+WHEATPREMIUM2022[[#This Row],[TOTAL PREMIUM ACRE COST]]</calculatedColumnFormula>
    </tableColumn>
    <tableColumn id="18" xr3:uid="{80F6F120-DC59-4888-BB68-2CC0460C9B4B}" name="M77AG 65% EXPENSE" totalsRowFunction="sum" dataDxfId="2231" totalsRowDxfId="2230">
      <calculatedColumnFormula>WHEATPREMIUM2022[[#This Row],[TOTAL INSURANCE PREMIUM PAID]]*0.65</calculatedColumnFormula>
    </tableColumn>
    <tableColumn id="19" xr3:uid="{D3631B1F-F217-4C55-ABB0-DC93830C52D6}" name="LAND LORD 35% EXPENSE" totalsRowFunction="sum" dataDxfId="2229" totalsRowDxfId="2228">
      <calculatedColumnFormula>WHEATPREMIUM2022[[#This Row],[TOTAL INSURANCE PREMIUM PAID]]*0.35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6A71A2DC-BDA4-435F-B343-7FE2FFE9B6E7}" name="WHEATPAYOUTTBL" displayName="WHEATPAYOUTTBL" ref="A41:L48" totalsRowCount="1" headerRowDxfId="2227" dataDxfId="2225" totalsRowDxfId="2223" headerRowBorderDxfId="2226" tableBorderDxfId="2224">
  <autoFilter ref="A41:L47" xr:uid="{6A71A2DC-BDA4-435F-B343-7FE2FFE9B6E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EF455EB9-D1E0-4E98-97DE-A45C6F99B6B5}" name="CLIENT" totalsRowLabel="Total" totalsRowDxfId="2222"/>
    <tableColumn id="2" xr3:uid="{BBCEB553-83A9-49B3-BAFE-A922CD843B9B}" name="FARM " totalsRowDxfId="2221"/>
    <tableColumn id="3" xr3:uid="{8297E530-65A0-4514-820C-3411F88539D3}" name="COUNTY FIELD IS LOCATED IN 3" totalsRowDxfId="2220"/>
    <tableColumn id="4" xr3:uid="{DAD39D21-1867-41F7-9820-A2F21BE5BA7B}" name="M77AG PREMIUM PAID BY M77AG" totalsRowFunction="sum" totalsRowDxfId="2219">
      <calculatedColumnFormula>SUMIFS(WHEATPREMIUM2022[M77AG 65% EXPENSE],WHEATPREMIUM2022[FARM],B42,WHEATPREMIUM2022[COUNTY FIELD IS LOCATED IN],C42)</calculatedColumnFormula>
    </tableColumn>
    <tableColumn id="5" xr3:uid="{2817DA8D-C5B2-4B09-A51E-4A2DDB826D10}" name="LAND LORD PREMIUM PAID BY M77AG" totalsRowFunction="sum" totalsRowDxfId="2218">
      <calculatedColumnFormula>SUMIFS(WHEATPREMIUM2022[LAND LORD 35% EXPENSE],WHEATPREMIUM2022[FARM],B42,WHEATPREMIUM2022[COUNTY FIELD IS LOCATED IN],C42)</calculatedColumnFormula>
    </tableColumn>
    <tableColumn id="6" xr3:uid="{30AE95A8-5D10-4FF9-8DB6-F02C33AACC3A}" name="TOTAL INSURANCE PREMIUM PAID BY M77AG" totalsRowFunction="sum" totalsRowDxfId="2217">
      <calculatedColumnFormula>E42+D42</calculatedColumnFormula>
    </tableColumn>
    <tableColumn id="7" xr3:uid="{9FDB4073-8A08-4833-8314-D43A20388861}" name="TOTAL INSURANCE PAID TO M77AG" totalsRowFunction="sum" totalsRowDxfId="2216">
      <calculatedColumnFormula>SUMIFS(WHEATCLAIM2022[PAYMENT FROM INSURANCE],WHEATCLAIM2022[[FARM ]],WHEATPAYOUTTBL[[#This Row],[FARM ]],WHEATCLAIM2022[COUNTY FIELD IS LOCATED 2],WHEATPAYOUTTBL[[#This Row],[COUNTY FIELD IS LOCATED IN 3]])</calculatedColumnFormula>
    </tableColumn>
    <tableColumn id="8" xr3:uid="{BFF42FE6-0EDB-45FA-B623-B647DA01AAC4}" name="M77AG 65% OF PREMIUM CLAIM" totalsRowFunction="sum" totalsRowDxfId="2215">
      <calculatedColumnFormula>SUMIFS(WHEATCLAIM2022[M77AG 65% INSURANCE PAYMENT],WHEATCLAIM2022[[FARM ]],WHEATPAYOUTTBL[[#This Row],[FARM ]],WHEATCLAIM2022[COUNTY FIELD IS LOCATED 2],WHEATPAYOUTTBL[[#This Row],[COUNTY FIELD IS LOCATED IN 3]])</calculatedColumnFormula>
    </tableColumn>
    <tableColumn id="9" xr3:uid="{500F0D4F-E589-43E9-8311-FD391182E201}" name="LAND LORD 35% OF INSURANCE CLAIM" totalsRowFunction="sum" totalsRowDxfId="2214">
      <calculatedColumnFormula>SUMIFS(WHEATCLAIM2022[LAND LORD 35% INSURANCE PAYMENT],WHEATCLAIM2022[[FARM ]],WHEATPAYOUTTBL[[#This Row],[FARM ]],WHEATCLAIM2022[COUNTY FIELD IS LOCATED 2],WHEATPAYOUTTBL[[#This Row],[COUNTY FIELD IS LOCATED IN 3]])</calculatedColumnFormula>
    </tableColumn>
    <tableColumn id="10" xr3:uid="{F3C7555A-B7B5-44FC-9F00-1673BE261CF2}" name="INSURANCE OWED TO M77 AG 65% AFTER PREMIUM DEDUCTED" totalsRowFunction="sum" dataDxfId="2213" totalsRowDxfId="2212">
      <calculatedColumnFormula>SUMIFS(WHEATCLAIM2022[M77AG 65% INSURANCE PAYMENT],WHEATCLAIM2022[[FARM ]],WHEATPAYOUTTBL[[#This Row],[FARM ]],WHEATCLAIM2022[COUNTY FIELD IS LOCATED 2],WHEATPAYOUTTBL[[#This Row],[COUNTY FIELD IS LOCATED IN 3]])-WHEATPAYOUTTBL[[#This Row],[M77AG PREMIUM PAID BY M77AG]]</calculatedColumnFormula>
    </tableColumn>
    <tableColumn id="11" xr3:uid="{C88C9210-4A93-48D3-A938-6FCA26F9CE2A}" name="INSURANCE OWED TO LAND LORDS 35% PREMIUM DEDUCTED" totalsRowFunction="sum" totalsRowDxfId="2211">
      <calculatedColumnFormula>SUMIFS(WHEATCLAIM2022[LAND LORD 35% INSURANCE PAYMENT],WHEATCLAIM2022[[FARM ]],WHEATPAYOUTTBL[[#This Row],[FARM ]],WHEATCLAIM2022[COUNTY FIELD IS LOCATED 2],WHEATPAYOUTTBL[[#This Row],[COUNTY FIELD IS LOCATED IN 3]])-WHEATPAYOUTTBL[[#This Row],[LAND LORD PREMIUM PAID BY M77AG]]</calculatedColumnFormula>
    </tableColumn>
    <tableColumn id="12" xr3:uid="{0B24365C-F761-4FFE-B832-C9CB2B9120E1}" name="TOTAL INSURANCE PAID OUT PREMIUM DEDUCTED" totalsRowFunction="sum" totalsRowDxfId="2210">
      <calculatedColumnFormula>WHEATPAYOUTTBL[[#This Row],[INSURANCE OWED TO M77 AG 65% AFTER PREMIUM DEDUCTED]]+WHEATPAYOUTTBL[[#This Row],[INSURANCE OWED TO LAND LORDS 35% PREMIUM DEDUCTED]]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BAE69A6D-6447-4C38-A6C5-E64377DD0226}" name="CORNCLAIMTBL" displayName="CORNCLAIMTBL" ref="A74:S84" totalsRowCount="1" headerRowDxfId="2209" dataDxfId="2208" totalsRowDxfId="2207">
  <autoFilter ref="A74:S83" xr:uid="{BAE69A6D-6447-4C38-A6C5-E64377DD0226}"/>
  <tableColumns count="19">
    <tableColumn id="1" xr3:uid="{B5B57B62-CA9B-4350-92C6-CED81CD9C0CD}" name="CLIENT" totalsRowLabel="Total" dataDxfId="2206" totalsRowDxfId="2205"/>
    <tableColumn id="2" xr3:uid="{A502D011-5070-4A1D-9E71-D7947A6EB7A9}" name="FARM " dataDxfId="2204" totalsRowDxfId="2203"/>
    <tableColumn id="3" xr3:uid="{990272F1-D2EB-49C5-964B-D0C3655EBEE4}" name="FIELD" dataDxfId="2202" totalsRowDxfId="2201"/>
    <tableColumn id="25" xr3:uid="{30137CD5-3A5A-493B-BA7F-78365F3E95C6}" name="COUNTY CORN IS LOCATED" dataDxfId="2200" totalsRowDxfId="2199">
      <calculatedColumnFormula>IFERROR(VLOOKUP(CORNCLAIMTBL[[#This Row],[FIELD]],FFTBL[[Field]:[COUNTY2]],7,FALSE),"")</calculatedColumnFormula>
    </tableColumn>
    <tableColumn id="4" xr3:uid="{C2E39A41-C789-4B47-BABD-B6A32952DC70}" name="LEGAL DESCRIPTION" dataDxfId="2198" totalsRowDxfId="2197">
      <calculatedColumnFormula>IFERROR(VLOOKUP(CORNCLAIMTBL[[#This Row],[FIELD]],FFTBL[[Field]:[COUNTY2]],3,FALSE),"")</calculatedColumnFormula>
    </tableColumn>
    <tableColumn id="5" xr3:uid="{AAC2191C-65A5-4B15-B050-149F8B629D08}" name="ACRES" dataDxfId="2196" totalsRowDxfId="2195">
      <calculatedColumnFormula>IFERROR(VLOOKUP(CORNCLAIMTBL[[#This Row],[FIELD]],FFTBL[[Field]:[COUNTY2]],2,FALSE),"")</calculatedColumnFormula>
    </tableColumn>
    <tableColumn id="26" xr3:uid="{3C8F423B-44D5-4B12-9A06-D741A1909F98}" name="PLANTING PRICE" dataDxfId="2194" totalsRowDxfId="2193"/>
    <tableColumn id="27" xr3:uid="{68A933FD-C325-4D3D-8F63-A33C0EE3F9D4}" name="HARVEST PRICE" dataDxfId="2192" totalsRowDxfId="2191"/>
    <tableColumn id="28" xr3:uid="{7BC0C637-A329-40D6-B8ED-5D4260E9D8B3}" name="AVERAGE PRODUCTION HISTORY (APH)" dataDxfId="2190" totalsRowDxfId="2189"/>
    <tableColumn id="7" xr3:uid="{4B1A1622-9BCD-420D-9ECF-F6671989038B}" name="PER ACRE GARUNTEE $" dataDxfId="2188" totalsRowDxfId="2187">
      <calculatedColumnFormula array="1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calculatedColumnFormula>
    </tableColumn>
    <tableColumn id="8" xr3:uid="{EAE136C1-68DD-47D6-AACD-CA574B692564}" name="TOTAL REVENUE PROTECTION GARUANTEE" totalsRowFunction="sum" dataDxfId="2186" totalsRowDxfId="2185">
      <calculatedColumnFormula>IFERROR((CORNCLAIMTBL[[#This Row],[PER ACRE GARUNTEE $]]*CORNCLAIMTBL[[#This Row],[ACRES]]),"")</calculatedColumnFormula>
    </tableColumn>
    <tableColumn id="9" xr3:uid="{30509A96-6E72-4266-AC57-ABB50BDB8573}" name="ACTUAL FIELD PRODUCTION" dataDxfId="2184" totalsRowDxfId="2183">
      <calculatedColumnFormula>IFERROR(VLOOKUP(CORNCLAIMTBL[[#This Row],[FIELD]],OVERVIEW!C185:J199,7,FALSE),"-")</calculatedColumnFormula>
    </tableColumn>
    <tableColumn id="29" xr3:uid="{0E5EC305-55E8-4634-ADEA-FBE1B141CE5B}" name="RP GARAUNTEE - ACTUAL PRODUCTION" dataDxfId="2182" totalsRowDxfId="2181">
      <calculatedColumnFormula>IFERROR((CORNCLAIMTBL[[#This Row],[AVERAGE PRODUCTION HISTORY (APH)]]-CORNCLAIMTBL[[#This Row],[ACTUAL FIELD PRODUCTION]]),"")</calculatedColumnFormula>
    </tableColumn>
    <tableColumn id="30" xr3:uid="{547F2983-303F-4371-A3CC-D2D629FDB25D}" name="PER ACRE REVENUE DEFICIENCY" dataDxfId="2180" totalsRowDxfId="2179">
      <calculatedColumnFormula array="1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calculatedColumnFormula>
    </tableColumn>
    <tableColumn id="31" xr3:uid="{A1AE5CAD-45A2-40E2-864D-09B93ECA4265}" name="TOTAL PRODUCTION$ PRODUCED" totalsRowFunction="sum" dataDxfId="2178" totalsRowDxfId="2177">
      <calculatedColumnFormula>IFERROR(((CORNCLAIMTBL[[#This Row],[PER ACRE GARUNTEE $]]-CORNCLAIMTBL[[#This Row],[PER ACRE REVENUE DEFICIENCY]])*CORNCLAIMTBL[[#This Row],[ACRES]]),"")</calculatedColumnFormula>
    </tableColumn>
    <tableColumn id="10" xr3:uid="{7C1A1817-77C0-47A8-BE39-C65C19F61614}" name="TOTAL REVENUE DEFICIENCY" totalsRowFunction="sum" totalsRowDxfId="2176">
      <calculatedColumnFormula>IFERROR((CORNCLAIMTBL[[#This Row],[TOTAL REVENUE PROTECTION GARUANTEE]]-CORNCLAIMTBL[[#This Row],[TOTAL PRODUCTION$ PRODUCED]]),"")</calculatedColumnFormula>
    </tableColumn>
    <tableColumn id="34" xr3:uid="{FF581C63-2E4B-41C4-B6DA-8337D173B3F4}" name="PAYMENT FROM INSURANCE" totalsRowFunction="sum" dataDxfId="2175" totalsRowDxfId="2174"/>
    <tableColumn id="35" xr3:uid="{14A4EB32-161C-46D8-9D4F-9B114AAEF051}" name="M77AG 65% INSURANCE PAYMENT" totalsRowFunction="sum" totalsRowDxfId="2173">
      <calculatedColumnFormula>CORNCLAIMTBL[[#This Row],[PAYMENT FROM INSURANCE]]*0.65</calculatedColumnFormula>
    </tableColumn>
    <tableColumn id="36" xr3:uid="{3EDF4C09-68A5-41C4-BDDB-12E40230B6B8}" name="LAND LORD 35% INSURANCE PAYMENT" totalsRowFunction="sum" totalsRowDxfId="2172">
      <calculatedColumnFormula>CORNCLAIMTBL[[#This Row],[PAYMENT FROM INSURANCE]]*0.35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232EE8D1-EF85-425D-8AF9-E024C19C9DE9}" name="CORNPREMIUMTBL" displayName="CORNPREMIUMTBL" ref="A58:S70" totalsRowCount="1" headerRowDxfId="2171" dataDxfId="2170" totalsRowDxfId="2169">
  <autoFilter ref="A58:S69" xr:uid="{232EE8D1-EF85-425D-8AF9-E024C19C9DE9}"/>
  <tableColumns count="19">
    <tableColumn id="1" xr3:uid="{46E33BD0-F070-4A0C-9414-7F57B142D5FA}" name="CLIENT" totalsRowLabel="Total" dataDxfId="2168" totalsRowDxfId="2167"/>
    <tableColumn id="2" xr3:uid="{266CEACE-D20C-420E-B7A7-C0D28F936181}" name="FARM" dataDxfId="2166" totalsRowDxfId="2165"/>
    <tableColumn id="3" xr3:uid="{5BEDFD3B-AB46-43F3-9F78-C9AD37A75834}" name="FIELD" dataDxfId="2164" totalsRowDxfId="2163"/>
    <tableColumn id="4" xr3:uid="{C9A4CB59-14C7-45C9-8F92-4C8C1E912528}" name="COUNTY FIELD IS LOCATED IN" dataDxfId="2162" totalsRowDxfId="2161">
      <calculatedColumnFormula>IFERROR(VLOOKUP(CORNPREMIUMTBL[[#This Row],[FIELD]],FFTBL[[Field]:[COUNTY2]],7,FALSE),"")</calculatedColumnFormula>
    </tableColumn>
    <tableColumn id="5" xr3:uid="{8CA99879-5B7E-4FB9-A35B-F9D8929DF26D}" name="LEGAL DESCRIPTION" dataDxfId="2160" totalsRowDxfId="2159">
      <calculatedColumnFormula>IFERROR(VLOOKUP(CORNPREMIUMTBL[[#This Row],[FIELD]],FFTBL[[Field]:[COUNTY2]],3,FALSE),"")</calculatedColumnFormula>
    </tableColumn>
    <tableColumn id="6" xr3:uid="{491A4ED6-E8DC-473E-A938-096C787421E8}" name="TOTAL ACRES IN FIELD" dataDxfId="2158" totalsRowDxfId="2157">
      <calculatedColumnFormula>IFERROR(VLOOKUP(CORNPREMIUMTBL[[#This Row],[FIELD]],FFTBL[[Field]:[COUNTY2]],2,FALSE),"")</calculatedColumnFormula>
    </tableColumn>
    <tableColumn id="7" xr3:uid="{F86BD478-710D-44FB-9303-B3C27B890E40}" name="TOTAL ACRES IN COUNTY ALL OWNERS" dataDxfId="2156" totalsRowDxfId="2155">
      <calculatedColumnFormula>SUMIFS(CORNPREMIUMTBL[TOTAL ACRES IN FIELD],CORNPREMIUMTBL[COUNTY FIELD IS LOCATED IN],CORNPREMIUMTBL[[#This Row],[COUNTY FIELD IS LOCATED IN]])</calculatedColumnFormula>
    </tableColumn>
    <tableColumn id="8" xr3:uid="{E34080E4-27A5-4909-8D07-4E18148B2F1C}" name="COUNTY PREMIUMS" totalsRowFunction="custom" dataDxfId="2154" totalsRowDxfId="2153">
      <totalsRowFormula>H59+H68</totalsRowFormula>
    </tableColumn>
    <tableColumn id="9" xr3:uid="{0D46C824-107E-4DD7-ADD8-613272ECF8DA}" name="PREMIUM PER ACRE COST" dataDxfId="2152" totalsRowDxfId="2151">
      <calculatedColumnFormula>IFERROR((CORNPREMIUMTBL[[#This Row],[COUNTY PREMIUMS]]/CORNPREMIUMTBL[[#This Row],[TOTAL ACRES IN COUNTY ALL OWNERS]]),"-")</calculatedColumnFormula>
    </tableColumn>
    <tableColumn id="10" xr3:uid="{30B5C840-85E6-424D-B41F-E29811624D96}" name="TOTAL PREMIUM ACRE COST" dataDxfId="2150" totalsRowDxfId="2149">
      <calculatedColumnFormula>IFERROR((CORNPREMIUMTBL[[#This Row],[PREMIUM PER ACRE COST]]*CORNPREMIUMTBL[[#This Row],[TOTAL ACRES IN FIELD]]),"-")</calculatedColumnFormula>
    </tableColumn>
    <tableColumn id="11" xr3:uid="{120D07F4-34D5-480A-B60C-6C27F82078EF}" name="DATE PREMIUM BILL WAS DUE" dataDxfId="2148" totalsRowDxfId="2147"/>
    <tableColumn id="12" xr3:uid="{217C4466-8FC8-49C4-BF55-6CA364CEED26}" name="DATE PREMIUM PAYMENTS CAME" dataDxfId="2146" totalsRowDxfId="2145"/>
    <tableColumn id="13" xr3:uid="{0D4B8453-6555-456F-8346-948F713D8B51}" name="TOTAL DAYS OF INTERST" dataDxfId="2144" totalsRowDxfId="2143">
      <calculatedColumnFormula>(CORNPREMIUMTBL[[#This Row],[DATE PREMIUM BILL WAS DUE]]-CORNPREMIUMTBL[[#This Row],[DATE PREMIUM PAYMENTS CAME]])*-1</calculatedColumnFormula>
    </tableColumn>
    <tableColumn id="14" xr3:uid="{6940D6D5-248A-4DCC-9F35-C47E3BB44A65}" name="INTEREST RATE" dataDxfId="2142" totalsRowDxfId="2141"/>
    <tableColumn id="15" xr3:uid="{AF92C6FE-14BE-4878-BD3B-CF0A0B2EB0FA}" name="TOTAL INTEREST" totalsRowFunction="sum" dataDxfId="2140" totalsRowDxfId="2139">
      <calculatedColumnFormula>IFERROR(CORNPREMIUMTBL[[#This Row],[TOTAL PREMIUM ACRE COST]]*((CORNPREMIUMTBL[[#This Row],[INTEREST RATE]])*(CORNPREMIUMTBL[[#This Row],[TOTAL DAYS OF INTERST]]/365)),"-")</calculatedColumnFormula>
    </tableColumn>
    <tableColumn id="16" xr3:uid="{6AC20EA2-AF52-433B-B82E-322395B18A39}" name="INSURANCE ADMIN FEES" totalsRowFunction="sum" dataDxfId="2138" totalsRowDxfId="2137"/>
    <tableColumn id="17" xr3:uid="{066B91CB-EB07-4F86-A2E9-8876C4D3B27A}" name="TOTAL INSURANCE PREMIUM PAID" totalsRowFunction="sum" dataDxfId="2136" totalsRowDxfId="2135">
      <calculatedColumnFormula>IFERROR((CORNPREMIUMTBL[[#This Row],[INSURANCE ADMIN FEES]]+CORNPREMIUMTBL[[#This Row],[TOTAL INTEREST]]+CORNPREMIUMTBL[[#This Row],[TOTAL PREMIUM ACRE COST]]),"-")</calculatedColumnFormula>
    </tableColumn>
    <tableColumn id="18" xr3:uid="{13D3C7F7-EBC1-40C4-B5CB-9AB373A40EE3}" name="M77AG 65% EXPENSE" totalsRowFunction="sum" dataDxfId="2134" totalsRowDxfId="2133">
      <calculatedColumnFormula>IFERROR((CORNPREMIUMTBL[[#This Row],[TOTAL INSURANCE PREMIUM PAID]]*0.65),"-")</calculatedColumnFormula>
    </tableColumn>
    <tableColumn id="19" xr3:uid="{72806568-A2B8-4087-A1B1-78853A9D6F77}" name="LAND LORD 35% EXPENSE" totalsRowFunction="sum" dataDxfId="2132" totalsRowDxfId="2131">
      <calculatedColumnFormula>IFERROR((CORNPREMIUMTBL[[#This Row],[TOTAL INSURANCE PREMIUM PAID]]*0.35),"-")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F78786E0-DF03-40F2-A24F-8DFC06BF971C}" name="INSURANCEPAYOUTTBL" displayName="INSURANCEPAYOUTTBL" ref="A89:L96" totalsRowCount="1" headerRowDxfId="2130" dataDxfId="2128" totalsRowDxfId="2126" headerRowBorderDxfId="2129" tableBorderDxfId="2127">
  <autoFilter ref="A89:L95" xr:uid="{F78786E0-DF03-40F2-A24F-8DFC06BF971C}"/>
  <tableColumns count="12">
    <tableColumn id="1" xr3:uid="{3B73B1D8-4DA8-45CA-85E5-8FDD107A027A}" name="CLIENT" totalsRowLabel="Total" totalsRowDxfId="2125"/>
    <tableColumn id="2" xr3:uid="{B6A8AF8E-D156-4C72-83FE-6B62CF093DC0}" name="FARM " totalsRowDxfId="2124"/>
    <tableColumn id="3" xr3:uid="{FCFD82C8-0C89-4EC8-8D51-ED04DB1C3E15}" name="COUNTY FIELD IS LOCATED IN 3" totalsRowDxfId="2123"/>
    <tableColumn id="4" xr3:uid="{B9EDF0A3-98EB-4E17-B771-7A8A78BC4F08}" name="M77AG PREMIUM PAID BY M77AG" totalsRowFunction="sum" totalsRowDxfId="2122">
      <calculatedColumnFormula>SUMIFS(CORNPREMIUMTBL[M77AG 65% EXPENSE],CORNPREMIUMTBL[FARM],INSURANCEPAYOUTTBL[[#This Row],[FARM ]],CORNPREMIUMTBL[COUNTY FIELD IS LOCATED IN],INSURANCEPAYOUTTBL[[#This Row],[COUNTY FIELD IS LOCATED IN 3]])</calculatedColumnFormula>
    </tableColumn>
    <tableColumn id="5" xr3:uid="{74C533F9-FC0C-475E-A3E9-23AE56C8FE3D}" name="LAND LORD PREMIUM PAID BY M77AG" totalsRowFunction="sum" totalsRowDxfId="2121">
      <calculatedColumnFormula>SUMIFS(CORNPREMIUMTBL[LAND LORD 35% EXPENSE],CORNPREMIUMTBL[FARM],INSURANCEPAYOUTTBL[[#This Row],[FARM ]],CORNPREMIUMTBL[COUNTY FIELD IS LOCATED IN],INSURANCEPAYOUTTBL[[#This Row],[COUNTY FIELD IS LOCATED IN 3]])</calculatedColumnFormula>
    </tableColumn>
    <tableColumn id="6" xr3:uid="{A8D9EDEB-13A9-4BDE-9009-7159EC2AF0A4}" name="TOTAL INSURANCE PREMIUM PAID BY M77AG" totalsRowFunction="sum" totalsRowDxfId="2120">
      <calculatedColumnFormula>E90+D90</calculatedColumnFormula>
    </tableColumn>
    <tableColumn id="7" xr3:uid="{D21A735C-50BE-4CBD-81B8-12738947FAA7}" name="TOTAL INSURANCE PAID TO M77AG" totalsRowFunction="sum" totalsRowDxfId="2119">
      <calculatedColumnFormula>SUMIFS(CORNCLAIMTBL[PAYMENT FROM INSURANCE],CORNCLAIMTBL[[FARM ]],INSURANCEPAYOUTTBL[[#This Row],[FARM ]],CORNCLAIMTBL[COUNTY CORN IS LOCATED],INSURANCEPAYOUTTBL[[#This Row],[COUNTY FIELD IS LOCATED IN 3]])</calculatedColumnFormula>
    </tableColumn>
    <tableColumn id="8" xr3:uid="{895FEEC8-53F5-4ACC-86E7-D51530D6370B}" name="M77AG 65% OF PREMIUM CLAIM" totalsRowFunction="sum" totalsRowDxfId="2118">
      <calculatedColumnFormula>SUMIFS(CORNCLAIMTBL[M77AG 65% INSURANCE PAYMENT],CORNCLAIMTBL[[FARM ]],INSURANCEPAYOUTTBL[[#This Row],[FARM ]],CORNCLAIMTBL[COUNTY CORN IS LOCATED],INSURANCEPAYOUTTBL[[#This Row],[COUNTY FIELD IS LOCATED IN 3]])</calculatedColumnFormula>
    </tableColumn>
    <tableColumn id="9" xr3:uid="{69BF6EA9-5C44-4942-9BD0-59FCBC5134BA}" name="LAND LORD 35% OF INSURANCE CLAIM" totalsRowFunction="sum" totalsRowDxfId="2117">
      <calculatedColumnFormula>SUMIFS(CORNCLAIMTBL[LAND LORD 35% INSURANCE PAYMENT],CORNCLAIMTBL[[FARM ]],INSURANCEPAYOUTTBL[[#This Row],[FARM ]],CORNCLAIMTBL[COUNTY CORN IS LOCATED],INSURANCEPAYOUTTBL[[#This Row],[COUNTY FIELD IS LOCATED IN 3]])</calculatedColumnFormula>
    </tableColumn>
    <tableColumn id="10" xr3:uid="{6DA70409-0E7F-40AB-B571-9910929AA014}" name="INSURANCE OWED TO M77 AG 65% AFTER PREMIUM DEDUCTED" totalsRowFunction="sum" dataDxfId="2116" totalsRowDxfId="2115">
      <calculatedColumnFormula>SUMIFS(CORNCLAIMTBL[M77AG 65% INSURANCE PAYMENT],CORNCLAIMTBL[[FARM ]],INSURANCEPAYOUTTBL[[#This Row],[FARM ]],CORNCLAIMTBL[COUNTY CORN IS LOCATED],INSURANCEPAYOUTTBL[[#This Row],[COUNTY FIELD IS LOCATED IN 3]])-INSURANCEPAYOUTTBL[[#This Row],[M77AG PREMIUM PAID BY M77AG]]</calculatedColumnFormula>
    </tableColumn>
    <tableColumn id="11" xr3:uid="{75216D11-5116-4680-98DA-D935D08C4EC2}" name="INSURANCE OWED TO LAND LORDS 35% PREMIUM DEDUCTED" totalsRowFunction="sum" dataDxfId="2114" totalsRowDxfId="2113">
      <calculatedColumnFormula>SUMIFS(CORNCLAIMTBL[LAND LORD 35% INSURANCE PAYMENT],CORNCLAIMTBL[[FARM ]],INSURANCEPAYOUTTBL[[#This Row],[FARM ]],CORNCLAIMTBL[COUNTY CORN IS LOCATED],INSURANCEPAYOUTTBL[[#This Row],[COUNTY FIELD IS LOCATED IN 3]])-INSURANCEPAYOUTTBL[[#This Row],[LAND LORD PREMIUM PAID BY M77AG]]</calculatedColumnFormula>
    </tableColumn>
    <tableColumn id="12" xr3:uid="{9C3AE578-731B-47A8-A8E4-C435DDBE6E24}" name="TOTAL INSURANCE PAID OUT PREMIUM DEDUCTED" totalsRowFunction="sum" totalsRowDxfId="2112">
      <calculatedColumnFormula>INSURANCEPAYOUTTBL[[#This Row],[INSURANCE OWED TO M77 AG 65% AFTER PREMIUM DEDUCTED]]+INSURANCEPAYOUTTBL[[#This Row],[INSURANCE OWED TO LAND LORDS 35% PREMIUM DEDUCTED]]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31DAF36-9BBC-4AD7-8C56-1031A9F66D02}" name="Table19" displayName="Table19" ref="A100:F107" totalsRowShown="0" headerRowDxfId="2111" tableBorderDxfId="2110">
  <autoFilter ref="A100:F107" xr:uid="{C31DAF36-9BBC-4AD7-8C56-1031A9F66D02}"/>
  <tableColumns count="6">
    <tableColumn id="1" xr3:uid="{C9737F21-EC7D-4294-A843-526D9F56E317}" name="CLIENT" dataDxfId="2109"/>
    <tableColumn id="2" xr3:uid="{A61B0388-191A-4003-B6B1-693EF27AE894}" name="FARM" dataDxfId="2108"/>
    <tableColumn id="3" xr3:uid="{2547903A-CE03-4440-8F6B-7EA7C27C48D3}" name="FIELD" dataDxfId="2107"/>
    <tableColumn id="4" xr3:uid="{5C1622E5-E4BD-412F-BC3C-2F58AB09C1AF}" name="COUNTY FIELD IS LOCATED IN" dataDxfId="2106">
      <calculatedColumnFormula>VLOOKUP(C101,FIELDARRAY,7,FALSE)</calculatedColumnFormula>
    </tableColumn>
    <tableColumn id="5" xr3:uid="{62A65EE1-4F6F-42B1-8467-F30720D0DD9F}" name="LEGAL DESCRIPTION" dataDxfId="2105">
      <calculatedColumnFormula>VLOOKUP(C101,FIELDARRAY,1,FALSE)</calculatedColumnFormula>
    </tableColumn>
    <tableColumn id="6" xr3:uid="{B79C7426-408B-4B06-A44F-D4ED0EB1F355}" name="TOTAL ACRES IN FIELD" dataDxfId="2104">
      <calculatedColumnFormula>IFERROR(VLOOKUP(CORNPREMIUMTBL[[#This Row],[FIELD]],FFTBL[[Field]:[COUNTY2]],2,FALSE),"")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F7968B-8A3F-4FB5-82FA-695DC063BCC2}" name="CROPTBL" displayName="CROPTBL" ref="A118:A136" totalsRowShown="0" dataDxfId="1933" tableBorderDxfId="1932">
  <autoFilter ref="A118:A136" xr:uid="{FFB8C8F4-9727-4B83-AF6C-10FE31B2D352}"/>
  <sortState xmlns:xlrd2="http://schemas.microsoft.com/office/spreadsheetml/2017/richdata2" ref="A119:A136">
    <sortCondition ref="A118:A136"/>
  </sortState>
  <tableColumns count="1">
    <tableColumn id="1" xr3:uid="{92F642CF-15F6-4CF0-A48A-21DF373F8108}" name="CROP" dataDxfId="1931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A6A79-72EB-414E-820C-5A5A10D0F002}" name="FARMTBL" displayName="FARMTBL" ref="A5:A12" totalsRowShown="0">
  <autoFilter ref="A5:A12" xr:uid="{2ADE07EC-855C-4447-A2A5-853082D6F22C}"/>
  <tableColumns count="1">
    <tableColumn id="1" xr3:uid="{A9A72610-CC0A-4100-B946-9B4B30686102}" name="FARMS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8EA476D-4424-4E61-959F-B68F27B5D6A1}" name="CLIENTTBL" displayName="CLIENTTBL" ref="A1:A2" totalsRowShown="0">
  <autoFilter ref="A1:A2" xr:uid="{3F73D703-529A-4CD6-9EE3-623A21274A89}"/>
  <tableColumns count="1">
    <tableColumn id="1" xr3:uid="{DBBB30F4-CB6F-4A79-B4DF-48F3B7B05412}" name="CLIENT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A2EF2DE-201C-4334-B9E7-3043B32707F9}" name="SEEDTBL" displayName="SEEDTBL" ref="A148:D160" totalsRowShown="0">
  <autoFilter ref="A148:D160" xr:uid="{29549916-7FE1-4158-9D3C-419ED6E9643C}"/>
  <tableColumns count="4">
    <tableColumn id="1" xr3:uid="{89C1C8C2-08CF-4B47-AFC3-A5CABA0889D9}" name="SEED TYPE"/>
    <tableColumn id="2" xr3:uid="{6673890F-136F-4946-8386-01C2D81F4910}" name="VARIETY"/>
    <tableColumn id="3" xr3:uid="{4ADF95A9-718E-4D34-BD5B-E02195065B57}" name="UOM"/>
    <tableColumn id="4" xr3:uid="{62A8FC4F-8E51-4A12-A781-BD81CAD29047}" name="$/UOM" dataDxfId="1930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FBCF0A-2B85-42DA-9A5B-132075DC7C76}" name="LOCATIONTBL" displayName="LOCATIONTBL" ref="A274:E282" totalsRowShown="0">
  <autoFilter ref="A274:E282" xr:uid="{7AED4C96-A0A9-4FA4-84E3-EE7DE32B52A5}"/>
  <tableColumns count="5">
    <tableColumn id="1" xr3:uid="{179A9E83-B082-4AD5-96B8-33C80720CAA5}" name="DESTINATIONS"/>
    <tableColumn id="2" xr3:uid="{E115E19A-DF41-446D-A560-825E4B8EA6A1}" name="LOCATIONS"/>
    <tableColumn id="3" xr3:uid="{FE38D1FF-4EF2-4E3B-A039-346E9238A1CD}" name="PHONE NUMBER"/>
    <tableColumn id="4" xr3:uid="{169C15A0-7976-4801-91ED-61C24DBF60F4}" name="CONTANCT PERSON"/>
    <tableColumn id="5" xr3:uid="{B0F03CA0-631F-4703-B946-6A65A90A2D81}" name="Column1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DDF7C95-398A-4A7C-8326-794D3E7EEE9B}" name="HARVESTTEMPLATE" displayName="HARVESTTEMPLATE" ref="A290:Z307" totalsRowCount="1" headerRowDxfId="1929" dataDxfId="1928" totalsRowDxfId="1927">
  <autoFilter ref="A290:Z306" xr:uid="{0CA77FA6-3CCD-4ED2-A406-B8C550ACDBD8}"/>
  <tableColumns count="26">
    <tableColumn id="1" xr3:uid="{45C265E9-5774-4629-9992-63637B8A16B6}" name="Date" totalsRowLabel="TOTALS" dataDxfId="1926" totalsRowDxfId="1925"/>
    <tableColumn id="2" xr3:uid="{C3C0CAC4-4C74-4C0F-AC2D-07070FF9687D}" name="Harvested By" dataDxfId="1924" totalsRowDxfId="1923"/>
    <tableColumn id="3" xr3:uid="{63F40B7E-759E-4C21-976A-CA17ED94973E}" name="Truck" dataDxfId="1922" totalsRowDxfId="1921"/>
    <tableColumn id="4" xr3:uid="{BBBE78D1-DC30-4466-A537-610F6FDFAEAE}" name="Location" dataDxfId="1920" totalsRowDxfId="1919"/>
    <tableColumn id="5" xr3:uid="{A8ADFDC6-CE69-4382-BA94-5963B89853F1}" name="Ticket" dataDxfId="1918" totalsRowDxfId="1917"/>
    <tableColumn id="6" xr3:uid="{4DD1E6CB-BF10-493D-9378-867D98F5C5F8}" name="Client" dataDxfId="1916" totalsRowDxfId="1915"/>
    <tableColumn id="7" xr3:uid="{DA77573D-A3CA-41CF-97F4-69C661AD0208}" name="Farm" dataDxfId="1914" totalsRowDxfId="1913"/>
    <tableColumn id="24" xr3:uid="{8F91EDBE-AD61-4E05-ACAD-5D9BF5B69303}" name="Field" dataDxfId="1912" totalsRowDxfId="1911"/>
    <tableColumn id="8" xr3:uid="{443F3A1A-1B14-44BC-849F-65BEC693BE69}" name="CROP2" dataDxfId="1910" totalsRowDxfId="1909"/>
    <tableColumn id="9" xr3:uid="{3DBB70C2-793D-4CED-9098-274DF3A4216C}" name="VARIETY" dataDxfId="1908" totalsRowDxfId="1907"/>
    <tableColumn id="10" xr3:uid="{FF4031A8-CF80-40A3-8A89-66EBA2353D9C}" name="Gross" totalsRowFunction="sum" dataDxfId="1906" totalsRowDxfId="1905"/>
    <tableColumn id="11" xr3:uid="{4585F7CA-7F3F-41A3-9B1F-143B1293C301}" name="Tare" dataDxfId="1904" totalsRowDxfId="1903"/>
    <tableColumn id="12" xr3:uid="{065B7D50-0B9D-4F8F-8F3A-EA0338D82D78}" name="Net" dataDxfId="1902" totalsRowDxfId="1901">
      <calculatedColumnFormula>K291-L291</calculatedColumnFormula>
    </tableColumn>
    <tableColumn id="13" xr3:uid="{8C669F56-0F3E-4290-892A-5204CDF553A2}" name="TW" dataDxfId="1900" totalsRowDxfId="1899"/>
    <tableColumn id="14" xr3:uid="{D75C523F-92B5-42DF-9C18-3506388DA82C}" name="Mois." dataDxfId="1898" totalsRowDxfId="1897"/>
    <tableColumn id="15" xr3:uid="{5447CF83-BB14-49B4-9F6C-48FEF25E5B2F}" name="Dockage" totalsRowFunction="sum" dataDxfId="1896" totalsRowDxfId="1895"/>
    <tableColumn id="16" xr3:uid="{E442AFB6-8636-4FED-A02D-EE40135B81E6}" name="Protien" dataDxfId="1894" totalsRowDxfId="1893"/>
    <tableColumn id="17" xr3:uid="{EE15115E-3D68-4531-A6DA-DBDBD4DCA887}" name="Gross Units" dataDxfId="1892" totalsRowDxfId="1891">
      <calculatedColumnFormula>M291/60</calculatedColumnFormula>
    </tableColumn>
    <tableColumn id="18" xr3:uid="{BE226AE9-B9F9-4FB6-9B4E-2ACFFE4DE6C7}" name="Shrink" dataDxfId="1890" totalsRowDxfId="1889"/>
    <tableColumn id="19" xr3:uid="{68A9DA70-7296-48D3-BD26-95A5627BF5C0}" name="Dockage2" dataDxfId="1888" totalsRowDxfId="1887">
      <calculatedColumnFormula>R291*P291</calculatedColumnFormula>
    </tableColumn>
    <tableColumn id="20" xr3:uid="{D355553D-3254-4735-B7F2-5494AA898BA5}" name="Net Units" dataDxfId="1886" totalsRowDxfId="1885">
      <calculatedColumnFormula>R291-S291-T291</calculatedColumnFormula>
    </tableColumn>
    <tableColumn id="21" xr3:uid="{34CBD1FE-80FA-43B0-9300-F08ADD6F6A50}" name="Shares" dataDxfId="1884" totalsRowDxfId="1883"/>
    <tableColumn id="22" xr3:uid="{1C738A0F-78B7-4504-BF8E-363907921FC6}" name="MCC. ENT." totalsRowFunction="sum" dataDxfId="1882" totalsRowDxfId="1881"/>
    <tableColumn id="23" xr3:uid="{ACDE17B9-BB8B-4B66-A8EB-4F3BA021ECE0}" name="L.L." totalsRowFunction="sum" dataDxfId="1880" totalsRowDxfId="1879"/>
    <tableColumn id="25" xr3:uid="{92ED7D66-D294-43AB-AD43-51ACC57FADEB}" name="MCC. ENT. BU" dataDxfId="1878" totalsRowDxfId="1877">
      <calculatedColumnFormula>U291*W291</calculatedColumnFormula>
    </tableColumn>
    <tableColumn id="26" xr3:uid="{566B8C86-C18D-4BA2-BC0A-ED6F43F848A8}" name="L.L. BU" dataDxfId="1876" totalsRowDxfId="1875">
      <calculatedColumnFormula>U291*X291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648B90C6-18E8-4E7C-A9D6-A57C278A15D0}" name="Table26" displayName="Table26" ref="A310:Q339" totalsRowShown="0">
  <autoFilter ref="A310:Q339" xr:uid="{664A3750-818C-4164-B178-BF4B6C8399CA}"/>
  <tableColumns count="17">
    <tableColumn id="1" xr3:uid="{46C289A9-03BD-4A63-93D8-81E4406639D6}" name="DATE" dataDxfId="1874"/>
    <tableColumn id="2" xr3:uid="{FB807FD7-8108-4FDD-B822-3DA2BE66C0F2}" name="CLIENT"/>
    <tableColumn id="3" xr3:uid="{0F15FD8B-5466-464D-89D6-74B0FC77C433}" name="FARM"/>
    <tableColumn id="4" xr3:uid="{613B8FD6-B78C-466D-9948-925D7E8C6936}" name="FIELD"/>
    <tableColumn id="5" xr3:uid="{9DF04CA9-36A7-4135-86D1-FE2E531BB964}" name="ACRES">
      <calculatedColumnFormula>IFERROR(VLOOKUP(D311,FIELDACRE,2,FALSE)," ")</calculatedColumnFormula>
    </tableColumn>
    <tableColumn id="6" xr3:uid="{946BF934-3AEF-44FA-999C-123A467E9F54}" name="CROPOP"/>
    <tableColumn id="7" xr3:uid="{85CE0C08-318F-4934-B0B3-465F5E262F18}" name="SPLIT"/>
    <tableColumn id="8" xr3:uid="{0F2FEFF5-8D88-4CA3-8F5C-3DC8EA9E698A}" name="OPERATION"/>
    <tableColumn id="9" xr3:uid="{F4E4B87E-B2E5-4C70-BE18-103626E16130}" name="UOM">
      <calculatedColumnFormula>IFERROR(VLOOKUP(Table26[[#This Row],[OPERATION]],OPTBL[],2,FALSE)," ")</calculatedColumnFormula>
    </tableColumn>
    <tableColumn id="10" xr3:uid="{E1FEEC8D-CA1B-4CB5-8C15-8059574893EA}" name="$/UOM" dataDxfId="1873">
      <calculatedColumnFormula>IFERROR(VLOOKUP(H311,OPTBL[],3,FALSE)," ")</calculatedColumnFormula>
    </tableColumn>
    <tableColumn id="11" xr3:uid="{9A0C0E24-9825-4829-84E8-4135313BF6E9}" name="QTY/A" dataDxfId="1872"/>
    <tableColumn id="12" xr3:uid="{5067B5C2-197E-429E-8F4C-9F641B6474A9}" name="TOT.QTY"/>
    <tableColumn id="13" xr3:uid="{8C5C529C-CD0C-4F77-81DB-35EACBE236DF}" name="MCC.ENT">
      <calculatedColumnFormula>IF(L311="SPLIT",0.65,1)</calculatedColumnFormula>
    </tableColumn>
    <tableColumn id="14" xr3:uid="{C94E74A8-5D61-4F72-AF33-4C09FCBEF49A}" name="L.L.">
      <calculatedColumnFormula>IF(L311="SPLIT",0.35,0)</calculatedColumnFormula>
    </tableColumn>
    <tableColumn id="15" xr3:uid="{37017B60-42D2-4B6E-B69B-1589CA10C4B8}" name="$M.E." dataDxfId="1871">
      <calculatedColumnFormula>IFERROR((Table26[[#This Row],[MCC.ENT]]*Table26[[#This Row],[TOTAL]])," ")</calculatedColumnFormula>
    </tableColumn>
    <tableColumn id="16" xr3:uid="{95BB9B10-133F-4305-B6B8-8A40A5C35117}" name="$L.L." dataDxfId="1870">
      <calculatedColumnFormula>IFERROR((Table26[[#This Row],[L.L.]]*Table26[[#This Row],[TOTAL]])," ")</calculatedColumnFormula>
    </tableColumn>
    <tableColumn id="17" xr3:uid="{82F677B5-3982-4800-B065-0B8B33E4FDA2}" name="TOTAL" dataDxfId="1869">
      <calculatedColumnFormula>IFERROR((Table26[[#This Row],[QTY/A]]*Table26[[#This Row],[$/UOM]])," ")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5B1F2D4-3A70-41A3-A106-EA05E5831E06}" name="FFTBL" displayName="FFTBL" ref="A15:L116" totalsRowCount="1" headerRowDxfId="1868" dataDxfId="1867" tableBorderDxfId="1866">
  <autoFilter ref="A15:L115" xr:uid="{61FDF7B3-C9E5-4B6B-9D45-F4CB8A090CD6}"/>
  <sortState xmlns:xlrd2="http://schemas.microsoft.com/office/spreadsheetml/2017/richdata2" ref="A16:L115">
    <sortCondition ref="D15:D115"/>
  </sortState>
  <tableColumns count="12">
    <tableColumn id="6" xr3:uid="{F0D623A4-AA05-49B0-95DE-C5F2593F05F4}" name="Client" totalsRowLabel="Total" dataDxfId="1865" totalsRowDxfId="1864"/>
    <tableColumn id="7" xr3:uid="{8B16FFD1-5CBC-43AD-8E46-966F2C6D8A73}" name="Farm" dataDxfId="1863" totalsRowDxfId="1862"/>
    <tableColumn id="12" xr3:uid="{3C2A19D5-2441-438F-B6D5-C9AD476BE412}" name="SPLIT" dataDxfId="1861" totalsRowDxfId="1860"/>
    <tableColumn id="1" xr3:uid="{5D827EDF-4ED7-4730-A073-BB371BAF18AE}" name="Field" dataDxfId="1859" totalsRowDxfId="1858"/>
    <tableColumn id="2" xr3:uid="{2F2D8460-B2A8-46C6-9256-28F39227BE98}" name="Acres" totalsRowFunction="sum" dataDxfId="1857" totalsRowDxfId="1856"/>
    <tableColumn id="3" xr3:uid="{83C272CB-1936-489E-83D1-DFB3FE0D6542}" name="LEGAL" dataDxfId="1855" totalsRowDxfId="1854"/>
    <tableColumn id="4" xr3:uid="{BEABBB3F-2270-4BCD-9039-B61B44B2F7D3}" name="FSA FARM" dataDxfId="1853" totalsRowDxfId="1852"/>
    <tableColumn id="5" xr3:uid="{17423518-2F2D-4861-9E71-CCA8332EEA2A}" name="TRACT" dataDxfId="1851" totalsRowDxfId="1850"/>
    <tableColumn id="8" xr3:uid="{D22011BF-3255-4CDF-9A74-DD52F1CE9A7F}" name="COUNTY" dataDxfId="1849" totalsRowDxfId="1848"/>
    <tableColumn id="9" xr3:uid="{83C61EF1-2E1A-463D-A790-52A418D80129}" name="COUNTY2" dataDxfId="1847" totalsRowDxfId="1846"/>
    <tableColumn id="10" xr3:uid="{BAEE09F0-4F76-49C4-B861-477C83C854C9}" name="CROSS ROADS" dataDxfId="1845" totalsRowDxfId="1844"/>
    <tableColumn id="11" xr3:uid="{BD6DB77A-AA35-4D24-97FA-E5C5575C3B7C}" name="INTERSECTION" dataDxfId="1843" totalsRowDxfId="1842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A44533B-525B-4BA2-AA99-32BEA79876A7}" name="OPTBL" displayName="OPTBL" ref="A185:D270" totalsRowShown="0" headerRowDxfId="1841" dataDxfId="1840" tableBorderDxfId="1839">
  <autoFilter ref="A185:D270" xr:uid="{DDA1F101-3FAD-4124-9A33-F07DC7EE20D0}"/>
  <sortState xmlns:xlrd2="http://schemas.microsoft.com/office/spreadsheetml/2017/richdata2" ref="A248:D270">
    <sortCondition ref="B185:B270"/>
  </sortState>
  <tableColumns count="4">
    <tableColumn id="4" xr3:uid="{064B56C1-AC57-4862-AAEB-E5123FD706EA}" name="CROP" dataDxfId="1838"/>
    <tableColumn id="1" xr3:uid="{BFA60C17-1C39-40A5-88B2-5BD6ADC50BCE}" name="OPERATION" dataDxfId="1837"/>
    <tableColumn id="2" xr3:uid="{5BDF1783-D6F7-4BBA-B04D-1C2C1B713DC1}" name="UOM" dataDxfId="1836"/>
    <tableColumn id="3" xr3:uid="{2CA10836-C301-41C9-9B3B-C377645BA645}" name="$/UOM" dataDxfId="1835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D9192AD5-3710-4828-A703-F80EA5BEDC7C}" name="CROPOP" displayName="CROPOP" ref="A162:A172" totalsRowShown="0">
  <autoFilter ref="A162:A172" xr:uid="{021E548C-CD1C-4DB1-BE01-F4BA50D27413}"/>
  <tableColumns count="1">
    <tableColumn id="1" xr3:uid="{07D5456D-F319-4A20-AE49-BB05F23AB1A7}" name="CROPOP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6875B1-02E5-45A4-8572-FDE3ADF1E6DD}" name="HARVESTTEMPLATE2" displayName="HARVESTTEMPLATE2" ref="A344:Z361" totalsRowCount="1" headerRowDxfId="1834" dataDxfId="1833" totalsRowDxfId="1832">
  <autoFilter ref="A344:Z360" xr:uid="{D79B7EC5-2236-4EF1-B314-D2622C6CB67D}"/>
  <tableColumns count="26">
    <tableColumn id="1" xr3:uid="{B759FA10-332A-4365-82B3-9113AC2CB666}" name="Date" totalsRowLabel="TOTALS" dataDxfId="1831" totalsRowDxfId="1830"/>
    <tableColumn id="2" xr3:uid="{6D0FB895-0A16-4415-B82C-2B80F5984FCF}" name="Truck" dataDxfId="1829" totalsRowDxfId="1828"/>
    <tableColumn id="3" xr3:uid="{1890B026-71EA-41DF-B084-DBA84829B2B9}" name="Destination" dataDxfId="1827" totalsRowDxfId="1826"/>
    <tableColumn id="4" xr3:uid="{FC708CD1-7794-404B-81ED-88C239D14FFE}" name="Location" dataDxfId="1825" totalsRowDxfId="1824"/>
    <tableColumn id="5" xr3:uid="{B4B048A7-C7B0-44F1-89FC-EDFFB06FADF2}" name="Ticket" dataDxfId="1823" totalsRowDxfId="1822"/>
    <tableColumn id="6" xr3:uid="{3BDD1B18-F998-4C84-A3B7-4EFBC49881E3}" name="Client" dataDxfId="1821" totalsRowDxfId="1820"/>
    <tableColumn id="7" xr3:uid="{C1A6696A-F0EC-4228-8397-A07F21669B2F}" name="Farm" dataDxfId="1819" totalsRowDxfId="1818"/>
    <tableColumn id="24" xr3:uid="{3D3E1640-5516-4495-ACD5-58CA8FF93885}" name="Field" dataDxfId="1817" totalsRowDxfId="1816"/>
    <tableColumn id="8" xr3:uid="{E9B8301A-DB1E-40DC-8140-53969A341752}" name="Crop" dataDxfId="1815" totalsRowDxfId="1814"/>
    <tableColumn id="9" xr3:uid="{7D57CE80-12A6-4165-9602-C5C228C4B47D}" name="Variety" dataDxfId="1813" totalsRowDxfId="1812"/>
    <tableColumn id="10" xr3:uid="{A9FB7AEF-8B3C-47F1-B8F8-84AD40602351}" name="Gross" totalsRowFunction="sum" dataDxfId="1811" totalsRowDxfId="1810"/>
    <tableColumn id="11" xr3:uid="{D0E99637-E9F4-485A-8E9F-0D9E9076FF31}" name="Tare" dataDxfId="1809" totalsRowDxfId="1808"/>
    <tableColumn id="12" xr3:uid="{BB20DC5C-68E5-49B8-B45D-ABC650C6E5C6}" name="Net" totalsRowFunction="sum" dataDxfId="1807" totalsRowDxfId="1806">
      <calculatedColumnFormula>K345-L345</calculatedColumnFormula>
    </tableColumn>
    <tableColumn id="13" xr3:uid="{955250BF-8A6A-4719-AE17-EFAA32E55A6B}" name="TW" dataDxfId="1805" totalsRowDxfId="1804"/>
    <tableColumn id="14" xr3:uid="{9EB42F63-4AE8-472B-ABE6-CDFE67E2452F}" name="Mois." dataDxfId="1803" totalsRowDxfId="1802"/>
    <tableColumn id="15" xr3:uid="{89025CE2-8277-4DA7-8480-5FA94B427689}" name="Dockage" totalsRowFunction="sum" dataDxfId="1801" totalsRowDxfId="1800"/>
    <tableColumn id="16" xr3:uid="{0CA06240-573C-4A08-9D26-BAD2F02E959D}" name="Dry $" dataDxfId="1799" totalsRowDxfId="1798"/>
    <tableColumn id="17" xr3:uid="{D3856D71-F40C-4D79-8B87-83AC4F3299CD}" name="Gross Units" dataDxfId="1797" totalsRowDxfId="1796">
      <calculatedColumnFormula>M345/56</calculatedColumnFormula>
    </tableColumn>
    <tableColumn id="18" xr3:uid="{D6738219-F97E-4419-8546-23EEA7639E10}" name="Shrink" dataDxfId="1795" totalsRowDxfId="1794"/>
    <tableColumn id="19" xr3:uid="{D95D94E5-34CE-44CF-84F5-8F3398888905}" name="Dockage2" dataDxfId="1793" totalsRowDxfId="1792">
      <calculatedColumnFormula>R345*P345</calculatedColumnFormula>
    </tableColumn>
    <tableColumn id="20" xr3:uid="{8887FEDE-7EAC-4C35-B134-0784529BEF1A}" name="Net Units" dataDxfId="1791" totalsRowDxfId="1790">
      <calculatedColumnFormula>R345-S345-T345</calculatedColumnFormula>
    </tableColumn>
    <tableColumn id="21" xr3:uid="{483FFF60-B728-4DF9-AF27-68E8BD54BE6B}" name="Shares" dataDxfId="1789" totalsRowDxfId="1788"/>
    <tableColumn id="22" xr3:uid="{49B1B07A-0121-4A8A-8D69-23ADD190E525}" name="MCC. ENT." totalsRowFunction="sum" dataDxfId="1787" totalsRowDxfId="1786"/>
    <tableColumn id="23" xr3:uid="{14BDFB02-B806-4C0A-AFC2-4B979F91548E}" name="L.L." totalsRowFunction="sum" dataDxfId="1785" totalsRowDxfId="1784"/>
    <tableColumn id="25" xr3:uid="{CD89454F-E2AB-43DF-9DF9-44B76A90C0D4}" name="MCC. ENT. BU" dataDxfId="1783" totalsRowDxfId="1782">
      <calculatedColumnFormula>U345*W345</calculatedColumnFormula>
    </tableColumn>
    <tableColumn id="26" xr3:uid="{A38BAAA5-F0C0-4639-8914-C2A281AF38EA}" name="L.L. BU" dataDxfId="1781" totalsRowDxfId="1780">
      <calculatedColumnFormula>U345*X345</calculatedColumnFormula>
    </tableColumn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6EC1D37-4AD3-42CD-A72C-88E980D48954}" name="TRUCKTBL" displayName="TRUCKTBL" ref="A175:A180" totalsRowShown="0" dataDxfId="1779">
  <autoFilter ref="A175:A180" xr:uid="{BAB1436B-1F32-4845-8351-0D7A7DA92754}"/>
  <tableColumns count="1">
    <tableColumn id="1" xr3:uid="{62F4E37B-9937-4137-88BE-119A6F87255A}" name="TRUCKS" dataDxfId="1778"/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252B015-4598-445A-8C2C-8C726957CC20}" name="Table11" displayName="Table11" ref="A368:O382" totalsRowCount="1" headerRowDxfId="1777" dataDxfId="1776">
  <autoFilter ref="A368:O381" xr:uid="{081AE951-2797-4FA8-A8E9-9A1717C036E6}"/>
  <tableColumns count="15">
    <tableColumn id="1" xr3:uid="{422C1FD4-BA6B-4177-9793-97891232E1BE}" name="Client " totalsRowLabel="Total" dataDxfId="1775" totalsRowDxfId="1774"/>
    <tableColumn id="2" xr3:uid="{F270DFA4-F51E-4164-A8D5-E1577B2AC5D5}" name="Farm " dataDxfId="1773" totalsRowDxfId="1772"/>
    <tableColumn id="3" xr3:uid="{7F4939E9-C02D-45F8-A11A-04A7CBA98089}" name="Field" dataDxfId="1771" totalsRowDxfId="1770"/>
    <tableColumn id="4" xr3:uid="{1218AC31-C6ED-48CA-8C36-71C9B8A06535}" name="Acres" dataDxfId="1769" totalsRowDxfId="1768"/>
    <tableColumn id="5" xr3:uid="{6080506A-742A-4F9B-9A20-6F9B6D53C2F1}" name="Legal" dataDxfId="1767" totalsRowDxfId="1766"/>
    <tableColumn id="6" xr3:uid="{FD0F2936-56F8-441F-9A6F-7FA34777C635}" name="FSA Farm" dataDxfId="1765" totalsRowDxfId="1764"/>
    <tableColumn id="7" xr3:uid="{D146CE6E-715A-4D6C-849A-CB34B780401C}" name="Tract" dataDxfId="1763" totalsRowDxfId="1762"/>
    <tableColumn id="8" xr3:uid="{0FC28C8F-BB70-4542-AEC1-1A77CD9BD904}" name="Crop" dataDxfId="1761"/>
    <tableColumn id="9" xr3:uid="{3FC9871B-0198-4F6C-ABD4-859C9FF40522}" name="Variety" dataDxfId="1760" totalsRowDxfId="1759"/>
    <tableColumn id="10" xr3:uid="{4B078827-7ECE-4270-AB80-1310E4E2562E}" name="Yield/ Acre" dataDxfId="1758" totalsRowDxfId="1757"/>
    <tableColumn id="11" xr3:uid="{45E92EA5-5607-4FBC-983A-0AC1BFCE8AD1}" name="Total #'s" dataDxfId="1756" totalsRowDxfId="1755"/>
    <tableColumn id="12" xr3:uid="{48E73011-5EC1-49B7-8201-ADB466CEFC54}" name="Total Bushels" dataDxfId="1754" totalsRowDxfId="1753"/>
    <tableColumn id="13" xr3:uid="{9382BE12-4F0D-42C0-83EC-F71BA123D0AA}" name="Total MCCENT" dataDxfId="1752" totalsRowDxfId="1751"/>
    <tableColumn id="14" xr3:uid="{0ABE05C5-6770-4F48-9245-4A989AEAC0FE}" name="Total L.L." dataDxfId="1750" totalsRowDxfId="1749"/>
    <tableColumn id="15" xr3:uid="{22AF6333-6B54-4F08-9E7F-10A409450CF2}" name="Column1" totalsRowFunction="custom" dataDxfId="1748" totalsRowDxfId="1747">
      <totalsRowFormula>SUBTOTAL(103,Table11[Total L.L.])</totalsRowFormula>
    </tableColumn>
  </tableColumns>
  <tableStyleInfo name="TableStyleMedium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12A82D7-4138-4DE5-8B2E-7E2AA8F32E50}" name="Table6" displayName="Table6" ref="A138:A141" totalsRowShown="0" headerRowDxfId="1746" headerRowBorderDxfId="1745" tableBorderDxfId="1744" totalsRowBorderDxfId="1743">
  <autoFilter ref="A138:A141" xr:uid="{14EB31B0-6479-40C8-AB92-285A1C25449A}"/>
  <tableColumns count="1">
    <tableColumn id="1" xr3:uid="{03503132-45FD-4E74-AE66-81927AE15D0E}" name="Splits"/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A4BD4E4-F9A6-479E-8F67-CAA5C9571336}" name="SPRAYTBL" displayName="SPRAYTBL" ref="A392:B426" totalsRowShown="0">
  <autoFilter ref="A392:B426" xr:uid="{794284BD-3C30-45CF-8DC5-816B0EB0BC97}"/>
  <tableColumns count="2">
    <tableColumn id="1" xr3:uid="{0308087D-7D3A-4C12-BB6D-26DB29F98B56}" name="CROP"/>
    <tableColumn id="2" xr3:uid="{329229C4-1A21-4FA0-81CC-A630738F81F5}" name="TANKMIX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74A18DB5-D2A2-4DF9-A56A-AE1F37665F3A}" name="Table34" displayName="Table34" ref="A386:A389" totalsRowShown="0" headerRowDxfId="1742" dataDxfId="1741">
  <autoFilter ref="A386:A389" xr:uid="{A9319264-E628-4FB0-A31D-85BE126668A3}"/>
  <tableColumns count="1">
    <tableColumn id="1" xr3:uid="{A038AB2C-F4BB-4F68-B385-3C0F9D62BA58}" name="CORNSPRAY" dataDxfId="1740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DDE1E8D-0A99-46CE-991D-5FAA9262EA1F}" name="Table8" displayName="Table8" ref="A143:A145" totalsRowShown="0" headerRowDxfId="1739" dataDxfId="1738">
  <autoFilter ref="A143:A145" xr:uid="{584EA1FC-5870-4685-B42C-8658843A9D0D}"/>
  <tableColumns count="1">
    <tableColumn id="1" xr3:uid="{5293665A-62F4-4137-8B4E-E297627E311E}" name="SHARES" dataDxfId="1737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3C45D760-49E6-458F-9789-54BA8E5532F5}" name="WHEATHARVESTTBL" displayName="WHEATHARVESTTBL" ref="A24:Y71" totalsRowCount="1" headerRowDxfId="1234" dataDxfId="1233" totalsRowDxfId="1232">
  <autoFilter ref="A24:Y70" xr:uid="{0E16A937-7CA6-4AA9-9C24-D6AA5794E586}"/>
  <sortState xmlns:xlrd2="http://schemas.microsoft.com/office/spreadsheetml/2017/richdata2" ref="A25:Y70">
    <sortCondition ref="A24:A70"/>
  </sortState>
  <tableColumns count="25">
    <tableColumn id="1" xr3:uid="{D4CAD18F-1973-4AFD-ACBF-31A39001C3B2}" name="Date" totalsRowLabel="TOTALS" dataDxfId="1231" totalsRowDxfId="1230"/>
    <tableColumn id="24" xr3:uid="{6126C664-066E-482C-B6A6-B60731AF81BE}" name="Crop" dataDxfId="1229" totalsRowDxfId="1228"/>
    <tableColumn id="25" xr3:uid="{7EFAAB9E-B7AD-4A6F-A5CB-A50E0E34CF61}" name="Truck" dataDxfId="1227" totalsRowDxfId="1226"/>
    <tableColumn id="2" xr3:uid="{5EB158A3-5198-4287-8421-E9FA5B7566C6}" name="Location" dataDxfId="1225" totalsRowDxfId="1224"/>
    <tableColumn id="3" xr3:uid="{35C49D3B-13BF-4401-828C-12DF7DEF81A8}" name="Ticket #" dataDxfId="1223" totalsRowDxfId="1222"/>
    <tableColumn id="4" xr3:uid="{AE646ACC-B5C6-4E8A-A27C-C49E70752FF1}" name="Client" dataDxfId="1221" totalsRowDxfId="1220"/>
    <tableColumn id="5" xr3:uid="{BFC078A1-139B-41AE-AF39-71533EC95727}" name="Farm" dataDxfId="1219" totalsRowDxfId="1218"/>
    <tableColumn id="6" xr3:uid="{C7837EF4-0A05-405C-894F-2E73544A6D2B}" name="Field" dataDxfId="1217" totalsRowDxfId="1216"/>
    <tableColumn id="7" xr3:uid="{F1F103A9-317B-4B74-A8E9-4291BF880D3D}" name="Variety" dataDxfId="1215" totalsRowDxfId="1214"/>
    <tableColumn id="8" xr3:uid="{7DBC6BDA-AE6A-4D80-BFCD-2D0B66F436E5}" name="Gross" dataDxfId="1213" totalsRowDxfId="1212"/>
    <tableColumn id="9" xr3:uid="{452181FC-4914-49C3-9A96-64F205274FDE}" name="Tare" dataDxfId="1211" totalsRowDxfId="1210"/>
    <tableColumn id="10" xr3:uid="{09AE9293-0616-4630-9D16-CC16E74CC691}" name="Net" totalsRowFunction="sum" dataDxfId="1209" totalsRowDxfId="1208">
      <calculatedColumnFormula>J25-K25</calculatedColumnFormula>
    </tableColumn>
    <tableColumn id="11" xr3:uid="{632CB0C8-B8E0-4A07-A151-86B549880AD3}" name="TW" dataDxfId="1207" totalsRowDxfId="1206"/>
    <tableColumn id="12" xr3:uid="{85F0D80A-CC50-426A-8B0B-A839BC443816}" name="Mois." dataDxfId="1205" totalsRowDxfId="1204"/>
    <tableColumn id="13" xr3:uid="{855FCECB-5187-467F-BD5C-D0935A40B566}" name="Dock" totalsRowFunction="average" dataDxfId="1203" totalsRowDxfId="1202"/>
    <tableColumn id="14" xr3:uid="{3C632AF8-9E75-47C9-B32D-90D90D9D3E15}" name="Prot" totalsRowFunction="average" dataDxfId="1201" totalsRowDxfId="1200"/>
    <tableColumn id="15" xr3:uid="{04257EC3-6BA8-42BC-9EA2-5D927EC07999}" name="GROSS BU" totalsRowFunction="sum" dataDxfId="1199" totalsRowDxfId="1198">
      <calculatedColumnFormula>WHEATHARVESTTBL[[#This Row],[Net]]/60</calculatedColumnFormula>
    </tableColumn>
    <tableColumn id="16" xr3:uid="{57B58C67-95F5-4F43-A8C2-590F8B32EA3B}" name="Shrink" dataDxfId="1197" totalsRowDxfId="1196"/>
    <tableColumn id="17" xr3:uid="{F4528D50-4239-46E7-B03F-520B498D8539}" name="Dock BU" totalsRowFunction="custom" dataDxfId="1195" totalsRowDxfId="1194">
      <calculatedColumnFormula>Q25*O25</calculatedColumnFormula>
      <totalsRowFormula>SUBTOTAL(109,S25:S70)</totalsRowFormula>
    </tableColumn>
    <tableColumn id="18" xr3:uid="{2A437C8E-4CE9-4485-96E1-7E435DBB7C3D}" name="Net Bushels" totalsRowFunction="sum" dataDxfId="1193" totalsRowDxfId="1192">
      <calculatedColumnFormula>WHEATHARVESTTBL[[#This Row],[GROSS BU]]-WHEATHARVESTTBL[[#This Row],[Dock BU]]</calculatedColumnFormula>
    </tableColumn>
    <tableColumn id="19" xr3:uid="{3F0F73EC-FD98-4EF0-9B00-D2DD15AD7338}" name="Shares" dataDxfId="1191" totalsRowDxfId="1190"/>
    <tableColumn id="20" xr3:uid="{6C5AE3D6-C7E6-45E8-8B26-57616983AC04}" name="MCC. ENT." dataDxfId="1189" totalsRowDxfId="1188">
      <calculatedColumnFormula array="1">_xlfn.IFS(WHEATHARVESTTBL[[#This Row],[Shares]]="MCCENT",1,WHEATHARVESTTBL[[#This Row],[Shares]]="SHAREABLE",0.65)</calculatedColumnFormula>
    </tableColumn>
    <tableColumn id="21" xr3:uid="{C0304B78-DE32-47C2-93AB-82DEBC1F2987}" name="L.L." dataDxfId="1187" totalsRowDxfId="1186">
      <calculatedColumnFormula array="1">_xlfn.IFS(WHEATHARVESTTBL[[#This Row],[Shares]]="MCCENT",0,WHEATHARVESTTBL[[#This Row],[Shares]]="SHAREABLE",0.35)</calculatedColumnFormula>
    </tableColumn>
    <tableColumn id="22" xr3:uid="{7FDE4D03-E569-4037-B13D-06990E3FBC41}" name="MCC. ENT. BU" totalsRowFunction="sum" dataDxfId="1185" totalsRowDxfId="1184">
      <calculatedColumnFormula>T25*V25</calculatedColumnFormula>
    </tableColumn>
    <tableColumn id="23" xr3:uid="{39F408D6-BA55-44C8-837E-0FEB6757222A}" name="L.L. BU" totalsRowFunction="sum" dataDxfId="1183" totalsRowDxfId="1182">
      <calculatedColumnFormula>T25*W25</calculatedColumnFormula>
    </tableColumn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B71AA32E-AA95-46A9-B7A8-585DD3DB10C1}" name="WheatYield40" displayName="WheatYield40" ref="A74:U82" totalsRowCount="1" headerRowDxfId="1181" dataDxfId="1180" totalsRowDxfId="1179">
  <autoFilter ref="A74:U81" xr:uid="{44F18BF6-D08E-4397-88F0-4DAF560920CE}"/>
  <tableColumns count="21">
    <tableColumn id="1" xr3:uid="{1487C7CB-DF2C-4D8F-8CB9-B547FDBA6670}" name="Client " totalsRowLabel="Total" dataDxfId="1178" totalsRowDxfId="1177"/>
    <tableColumn id="2" xr3:uid="{D04FCDED-AA7C-4D0E-A8C2-A3AF35D57333}" name="Farm " dataDxfId="1176" totalsRowDxfId="1175"/>
    <tableColumn id="3" xr3:uid="{E0695335-59B6-429E-B405-A1FEEB7DFC18}" name="Field" dataDxfId="1174" totalsRowDxfId="1173"/>
    <tableColumn id="4" xr3:uid="{BAC1865E-6728-4A5B-A025-D47C87537495}" name="Acres" totalsRowFunction="sum" dataDxfId="1172" totalsRowDxfId="1171">
      <calculatedColumnFormula>VLOOKUP(WheatYield40[[#This Row],[Field]],FFTBL[[Field]:[COUNTY]],2,FALSE)</calculatedColumnFormula>
    </tableColumn>
    <tableColumn id="5" xr3:uid="{87EC2EC9-FB17-429B-BC09-667AEE3C8004}" name="Legal" dataDxfId="1170" totalsRowDxfId="1169">
      <calculatedColumnFormula>VLOOKUP(WheatYield40[[#This Row],[Field]],FFTBL[[Field]:[COUNTY]],3,FALSE)</calculatedColumnFormula>
    </tableColumn>
    <tableColumn id="6" xr3:uid="{7E910F37-53EE-4BEA-A554-1FB12F9C2A90}" name="FSA Farm" dataDxfId="1168" totalsRowDxfId="1167">
      <calculatedColumnFormula>VLOOKUP(WheatYield40[[#This Row],[Field]],FFTBL[[Field]:[COUNTY]],4,FALSE)</calculatedColumnFormula>
    </tableColumn>
    <tableColumn id="7" xr3:uid="{58652ED2-6B13-455B-B313-1725767AC09C}" name="Tract" dataDxfId="1166" totalsRowDxfId="1165">
      <calculatedColumnFormula>VLOOKUP(WheatYield40[[#This Row],[Field]],FFTBL[[Field]:[COUNTY]],5,FALSE)</calculatedColumnFormula>
    </tableColumn>
    <tableColumn id="8" xr3:uid="{6878B359-B08C-43B4-8CAE-702106DD731A}" name="COUNTY" dataDxfId="1164" totalsRowDxfId="1163">
      <calculatedColumnFormula>IFERROR(VLOOKUP(WheatYield40[[#This Row],[Field]],FFTBL[[Field]:[COUNTY2]],7,FALSE),"-")</calculatedColumnFormula>
    </tableColumn>
    <tableColumn id="9" xr3:uid="{5313F6DA-13C9-4FF1-9F5E-FB731BB34E34}" name="Variety" dataDxfId="1162" totalsRowDxfId="1161"/>
    <tableColumn id="10" xr3:uid="{1D022090-A2D8-4E57-8DAF-A5A5A55BDFE3}" name="Yield/ Acre" totalsRowFunction="custom" dataDxfId="1160" totalsRowDxfId="1159">
      <calculatedColumnFormula>IFERROR(WheatYield40[[#This Row],[Total Bushels]]/WheatYield40[[#This Row],[Acres]],"")</calculatedColumnFormula>
      <totalsRowFormula>WheatYield40[[#Totals],[Total Bushels]]/WheatYield40[[#Totals],[Acres]]</totalsRowFormula>
    </tableColumn>
    <tableColumn id="11" xr3:uid="{C0417435-D56D-47F5-ADAE-1F135642AA78}" name="Total #'s" totalsRowFunction="sum" dataDxfId="1158" totalsRowDxfId="1157">
      <calculatedColumnFormula>SUMIF(WHEATHARVESTTBL[Field],WheatYield40[[#This Row],[Field]],WHEATHARVESTTBL[Net])</calculatedColumnFormula>
    </tableColumn>
    <tableColumn id="12" xr3:uid="{E19E748B-426D-4215-893B-E152BDEFECDE}" name="Total Bushels" totalsRowFunction="sum" dataDxfId="1156" totalsRowDxfId="1155">
      <calculatedColumnFormula>SUMIF(WHEATHARVESTTBL[Field],WheatYield40[[#This Row],[Field]],WHEATHARVESTTBL[Net Bushels])</calculatedColumnFormula>
    </tableColumn>
    <tableColumn id="13" xr3:uid="{F3FFDB03-13E1-4ABC-9FD4-9269E87BE374}" name="Total MCCENT" totalsRowFunction="sum" dataDxfId="1154" totalsRowDxfId="1153">
      <calculatedColumnFormula>SUMIFS(WHEATHARVESTTBL[MCC. ENT. BU],WHEATHARVESTTBL[Field],WheatYield40[[#This Row],[Field]])</calculatedColumnFormula>
    </tableColumn>
    <tableColumn id="14" xr3:uid="{9CAD1B8A-6665-43B2-9371-45210F39C721}" name="Total L.L." totalsRowFunction="sum" dataDxfId="1152" totalsRowDxfId="1151">
      <calculatedColumnFormula>SUMIFS(WHEATHARVESTTBL[L.L. BU],WHEATHARVESTTBL[Field],WheatYield40[[#This Row],[Field]])</calculatedColumnFormula>
    </tableColumn>
    <tableColumn id="15" xr3:uid="{0CC91649-B0FE-437F-9DBE-D04A48316368}" name="TOTAL EXP" totalsRowFunction="sum" dataDxfId="1150" totalsRowDxfId="1149">
      <calculatedColumnFormula>SUMIFS(EXPENSETBL45[TOTAL],EXPENSETBL45[FIELD],WheatYield40[[#This Row],[Field]],EXPENSETBL45[CROP],$A$73,EXPENSETBL45[YEAR],$B$73)</calculatedColumnFormula>
    </tableColumn>
    <tableColumn id="16" xr3:uid="{FF142EB1-A4B6-4DFD-8B7D-97B739FD289B}" name="BREAKEVEN" totalsRowFunction="custom" dataDxfId="1148" totalsRowDxfId="1147">
      <calculatedColumnFormula>IFERROR((WheatYield40[[#This Row],[TOTAL EXP]]/WheatYield40[[#This Row],[Total Bushels]]),"-")</calculatedColumnFormula>
      <totalsRowFormula>IFERROR((WheatYield40[[#Totals],[TOTAL EXP]]/WheatYield40[[#Totals],[Total Bushels]]),"-")</totalsRowFormula>
    </tableColumn>
    <tableColumn id="17" xr3:uid="{27A3002C-F375-458C-B9F6-374257FB5489}" name="TOTME" totalsRowFunction="sum" dataDxfId="1146" totalsRowDxfId="1145">
      <calculatedColumnFormula>SUMIFS(EXPENSETBL45[$M.E.],EXPENSETBL45[FIELD],WheatYield40[[#This Row],[Field]],EXPENSETBL45[CROP],$A$73,EXPENSETBL45[YEAR],$B$73)</calculatedColumnFormula>
    </tableColumn>
    <tableColumn id="18" xr3:uid="{C8F65F6C-C26C-4095-A52E-1C97BAEBBC73}" name="ME BE" totalsRowFunction="custom" dataDxfId="1144" totalsRowDxfId="1143">
      <calculatedColumnFormula>IFERROR((WheatYield40[[#This Row],[TOTME]]/WheatYield40[[#This Row],[Total MCCENT]]),"-")</calculatedColumnFormula>
      <totalsRowFormula>IFERROR((WheatYield40[[#Totals],[TOTME]]/WheatYield40[[#Totals],[Total MCCENT]]),"-")</totalsRowFormula>
    </tableColumn>
    <tableColumn id="19" xr3:uid="{50B42F9C-682C-47DE-A1E0-B8C5DA725561}" name="TOT LL" totalsRowFunction="sum" dataDxfId="1142" totalsRowDxfId="1141">
      <calculatedColumnFormula>SUMIFS(EXPENSETBL45[$L.L.],EXPENSETBL45[FIELD],WheatYield40[[#This Row],[Field]],EXPENSETBL45[CROP],$A$73,EXPENSETBL45[YEAR],$B$73)</calculatedColumnFormula>
    </tableColumn>
    <tableColumn id="20" xr3:uid="{93CEFE9F-5310-4714-86CE-FF28D74ECC87}" name="LL BE" totalsRowFunction="custom" dataDxfId="1140" totalsRowDxfId="1139">
      <calculatedColumnFormula>IFERROR((WheatYield40[[#This Row],[TOT LL]]/WheatYield40[[#This Row],[Total L.L.]]),"-")</calculatedColumnFormula>
      <totalsRowFormula>IFERROR((WheatYield40[[#Totals],[TOT LL]]/WheatYield40[[#Totals],[Total L.L.]]),"-")</totalsRowFormula>
    </tableColumn>
    <tableColumn id="21" xr3:uid="{FD25A744-AC85-42E5-8C54-9E5EDC329CA2}" name="GROSS BUSHELS" totalsRowFunction="sum" dataDxfId="1138" totalsRowDxfId="1137">
      <calculatedColumnFormula>SUMIFS(WHEATHARVESTTBL[Net],WHEATHARVESTTBL[Field],WheatYield40[[#This Row],[Field]])/60</calculatedColumnFormula>
    </tableColumn>
  </tableColumns>
  <tableStyleInfo name="TableStyleMedium2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48D02C48-CC91-4B29-B73A-18A7F926381D}" name="Table11172541" displayName="Table11172541" ref="A225:Q233" totalsRowCount="1" headerRowDxfId="1136" dataDxfId="1135" totalsRowDxfId="1134">
  <autoFilter ref="A225:Q232" xr:uid="{D550E0B5-0871-4763-8587-36A7184DD9B6}"/>
  <tableColumns count="17">
    <tableColumn id="1" xr3:uid="{1596DAE3-CD31-49A6-B149-E8175E328188}" name="Client " totalsRowLabel="Total" dataDxfId="1133" totalsRowDxfId="1132"/>
    <tableColumn id="2" xr3:uid="{2A8FC2FC-247C-4664-AFE1-37BAE5B19F49}" name="Farm " dataDxfId="1131" totalsRowDxfId="1130"/>
    <tableColumn id="3" xr3:uid="{D8316B3D-5FC8-4F51-AE6B-FF3F0612341F}" name="Field" dataDxfId="1129" totalsRowDxfId="1128"/>
    <tableColumn id="4" xr3:uid="{ACE21F4B-0619-4EDA-BAF3-29F8D70D4BCB}" name="Acres" totalsRowFunction="sum" dataDxfId="1127" totalsRowDxfId="1126">
      <calculatedColumnFormula>IFERROR((VLOOKUP(Table11172541[[#This Row],[Field]],FIELDACRE,2,FALSE)),"")</calculatedColumnFormula>
    </tableColumn>
    <tableColumn id="5" xr3:uid="{7F903EB4-3661-4895-8983-F5079C0283BA}" name="Legal" dataDxfId="1125" totalsRowDxfId="1124">
      <calculatedColumnFormula>IFERROR(VLOOKUP(Table11172541[[#This Row],[Field]],FIELDACRE,3,FALSE),"")</calculatedColumnFormula>
    </tableColumn>
    <tableColumn id="6" xr3:uid="{9A16A996-49B6-4B55-BCB8-660BA71D944C}" name="FSA Farm" dataDxfId="1123" totalsRowDxfId="1122">
      <calculatedColumnFormula>IFERROR(VLOOKUP(Table11172541[[#This Row],[Field]],FIELDACRE,4,FALSE),"")</calculatedColumnFormula>
    </tableColumn>
    <tableColumn id="7" xr3:uid="{DC4085C3-38AE-47C7-91D0-4623FA795A65}" name="Tract" dataDxfId="1121" totalsRowDxfId="1120">
      <calculatedColumnFormula>IFERROR(VLOOKUP(Table11172541[[#This Row],[Field]],FIELDACRE,5,FALSE),"")</calculatedColumnFormula>
    </tableColumn>
    <tableColumn id="8" xr3:uid="{85228FB4-8F60-442D-A895-95FB46EB5337}" name="Crop" dataDxfId="1119" totalsRowDxfId="1118"/>
    <tableColumn id="9" xr3:uid="{6DD3939C-5E6F-4F5F-9D2A-982286DE914E}" name="Variety" dataDxfId="1117" totalsRowDxfId="1116"/>
    <tableColumn id="10" xr3:uid="{8E59224B-4188-4B86-A3E1-9B89EF03623B}" name="Yield/ Acre" totalsRowFunction="average" dataDxfId="1115" totalsRowDxfId="1114">
      <calculatedColumnFormula>IFERROR(((Table11172541[[#This Row],[TOT '#]]/2000)/Table11172541[[#This Row],[Acres]]),"-")</calculatedColumnFormula>
    </tableColumn>
    <tableColumn id="11" xr3:uid="{69FB4D16-09E9-45DA-9D3D-A34756C0B456}" name="TOT #" dataDxfId="1113" totalsRowDxfId="1112">
      <calculatedColumnFormula>SUMIF(#REF!,Table11172541[[#This Row],[Field]],#REF!)</calculatedColumnFormula>
    </tableColumn>
    <tableColumn id="12" xr3:uid="{F882FFA5-03F8-47DB-B0CC-DF0C8A36D9E3}" name="TOT BALES" dataDxfId="1111" totalsRowDxfId="1110"/>
    <tableColumn id="13" xr3:uid="{6FD12682-2D82-409E-A464-B2AFECCE2853}" name="TOT. ME" dataDxfId="1109" totalsRowDxfId="1108">
      <calculatedColumnFormula>SUMIFS(EXPENSETBL45[$M.E.],EXPENSETBL45[FIELD],Table11172541[[#This Row],[Field]],EXPENSETBL45[CROP],Table11172541[[#This Row],[Crop]],EXPENSETBL45[YEAR],Table11172541[[#This Row],[YEAR]])</calculatedColumnFormula>
    </tableColumn>
    <tableColumn id="14" xr3:uid="{06307BFC-DCA6-49CF-AA43-15C0FF505CA6}" name="TOT LL" dataDxfId="1107" totalsRowDxfId="1106">
      <calculatedColumnFormula>SUMIFS(EXPENSETBL45[$L.L.],EXPENSETBL45[FIELD],Table11172541[[#This Row],[Field]],EXPENSETBL45[CROP],Table11172541[[#This Row],[Crop]],EXPENSETBL45[YEAR],Table11172541[[#This Row],[YEAR]])</calculatedColumnFormula>
    </tableColumn>
    <tableColumn id="15" xr3:uid="{BA2CE764-E9C8-4466-8CD0-53C0F6730318}" name="TOT EXP$" dataDxfId="1105" totalsRowDxfId="1104">
      <calculatedColumnFormula>SUMIFS(EXPENSETBL45[TOTAL],EXPENSETBL45[FIELD],Table11172541[[#This Row],[Field]],EXPENSETBL45[CROP],Table11172541[[#This Row],[Crop]],EXPENSETBL45[YEAR],Table11172541[[#This Row],[YEAR]])</calculatedColumnFormula>
    </tableColumn>
    <tableColumn id="16" xr3:uid="{D68C85E6-BA15-4162-ADD4-A046A07300CA}" name="BREAKEVEN" dataDxfId="1103" totalsRowDxfId="1102">
      <calculatedColumnFormula>((Table11172541[[#This Row],[TOT EXP$]]/Table11172541[[#This Row],[Yield/ Acre]])/Table11172541[[#This Row],[Acres]])</calculatedColumnFormula>
    </tableColumn>
    <tableColumn id="17" xr3:uid="{6DD46407-AF98-4811-AA57-03A8367C0BCF}" name="YEAR" dataDxfId="1101" totalsRowDxfId="1100"/>
  </tableColumns>
  <tableStyleInfo name="TableStyleMedium2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4B0A0D1A-9CE1-4C8D-A657-B2CC2763F5EB}" name="Table3142" displayName="Table3142" ref="A84:H92" totalsRowCount="1" headerRowDxfId="1099" dataDxfId="1098" totalsRowDxfId="1097">
  <autoFilter ref="A84:H91" xr:uid="{321D85CD-0A59-45C5-8308-D126BF8CEBAF}"/>
  <tableColumns count="8">
    <tableColumn id="1" xr3:uid="{E8B5D4FC-FA1F-4FA7-AA8D-DFADE72CC135}" name="Settlement #" totalsRowLabel="Total" dataDxfId="1096" totalsRowDxfId="1095"/>
    <tableColumn id="2" xr3:uid="{9AD0E278-EBF9-4B2A-B56D-2A26841C0599}" name="Price" totalsRowFunction="average" dataDxfId="1094" totalsRowDxfId="1093"/>
    <tableColumn id="3" xr3:uid="{753EC7E6-4245-4187-8295-893E6518FF5F}" name="Bushels" totalsRowFunction="custom" dataDxfId="1092" totalsRowDxfId="1091">
      <totalsRowFormula>SUBTOTAL(109,C85:C91)</totalsRowFormula>
    </tableColumn>
    <tableColumn id="4" xr3:uid="{A24D50AE-87B4-4AB3-8471-0971BE915332}" name="INT $" totalsRowFunction="sum" dataDxfId="1090" totalsRowDxfId="1089"/>
    <tableColumn id="5" xr3:uid="{FBF1C49F-4EA4-4588-B7E3-8B696F7F10C3}" name="Bonus" totalsRowFunction="sum" dataDxfId="1088" totalsRowDxfId="1087"/>
    <tableColumn id="6" xr3:uid="{09EAC029-FBDB-4357-AC70-9636ECF1BFE4}" name="DISCOUNTS" totalsRowFunction="sum" dataDxfId="1086" totalsRowDxfId="1085"/>
    <tableColumn id="7" xr3:uid="{7BB8CA19-01BB-43D8-9FFD-B182E58122C0}" name="TOTAL $" totalsRowFunction="custom" dataDxfId="1084" totalsRowDxfId="1083">
      <calculatedColumnFormula>(Table3142[[#This Row],[Price]]*Table3142[[#This Row],[Bushels]])-Table3142[[#This Row],[DISCOUNTS]]+Table3142[[#This Row],[Bonus]]</calculatedColumnFormula>
      <totalsRowFormula>SUBTOTAL(109,G85:G91)</totalsRowFormula>
    </tableColumn>
    <tableColumn id="8" xr3:uid="{402DDF13-5284-44E9-AB2B-8A7B6E4B2626}" name="LOCATION" dataDxfId="1082" totalsRowDxfId="1081"/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6E7672D-0BFA-4508-A792-9D8AF84D78CF}" name="Table3243" displayName="Table3243" ref="A236:I241" totalsRowCount="1" headerRowDxfId="1080" dataDxfId="1079" totalsRowDxfId="1078">
  <autoFilter ref="A236:I240" xr:uid="{59FC206B-D6F3-4F46-8AE6-2C75CC8137E1}"/>
  <tableColumns count="9">
    <tableColumn id="1" xr3:uid="{4258E0C7-669D-453E-81F8-4309FB3D3629}" name="SOLD TO" totalsRowLabel="Total" dataDxfId="1077" totalsRowDxfId="1076"/>
    <tableColumn id="2" xr3:uid="{381C0130-657E-4630-9A4F-30E50910106C}" name="$/TON" dataDxfId="1075" totalsRowDxfId="1074"/>
    <tableColumn id="3" xr3:uid="{D9FF0E30-F9A1-4F88-84F9-86E4072E31DD}" name="TRANS PRICE" dataDxfId="1073" totalsRowDxfId="1072"/>
    <tableColumn id="4" xr3:uid="{5E22C2C2-7AE1-42E6-ACD3-B906F9ACE211}" name="TONS" dataDxfId="1071" totalsRowDxfId="1070"/>
    <tableColumn id="5" xr3:uid="{EC6250B1-5B42-4431-895D-94BAD853A6D0}" name="TRANS $" totalsRowFunction="sum" dataDxfId="1069" totalsRowDxfId="1068"/>
    <tableColumn id="6" xr3:uid="{64ED6DF1-66FC-4F66-BB9F-323887839357}" name="Bale $" dataDxfId="1067" totalsRowDxfId="1066">
      <calculatedColumnFormula>Table3243[[#This Row],[TONS]]*Table3243[[#This Row],[$/TON]]</calculatedColumnFormula>
    </tableColumn>
    <tableColumn id="7" xr3:uid="{6CCBD1E0-7C13-44A9-A695-19C5828A7298}" name="Total $" dataDxfId="1065" totalsRowDxfId="1064">
      <calculatedColumnFormula>Table3243[[#This Row],[Bale $]]+Table3243[[#This Row],[TRANS $]]</calculatedColumnFormula>
    </tableColumn>
    <tableColumn id="8" xr3:uid="{DE83288C-8C0D-44C4-A300-80BE2A8CC71F}" name="Return / Acre" dataDxfId="1063" totalsRowDxfId="1062"/>
    <tableColumn id="9" xr3:uid="{71DC7F68-ED62-4F5F-BE08-3882E54E40FE}" name="Forage" dataDxfId="1061" totalsRowDxfId="1060"/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AB12986-DAC8-4475-AB0A-8F2394038E99}" name="CORNSOLDTBL44" displayName="CORNSOLDTBL44" ref="A203:I220" totalsRowCount="1" headerRowDxfId="1059" dataDxfId="1058" totalsRowDxfId="1056" tableBorderDxfId="1057" totalsRowBorderDxfId="1055">
  <autoFilter ref="A203:I219" xr:uid="{2C191F94-CC66-4C26-ABD6-8E9972551CB2}"/>
  <tableColumns count="9">
    <tableColumn id="1" xr3:uid="{1DFBF43A-F180-461B-BFA6-C61096421563}" name="Settlement #" dataDxfId="1054" totalsRowDxfId="1053"/>
    <tableColumn id="2" xr3:uid="{C2F8F4B7-863F-4F0C-86D4-B8DFE2C9DFF9}" name="Price" dataDxfId="1052" totalsRowDxfId="1051"/>
    <tableColumn id="3" xr3:uid="{E1A992F1-DAE7-43A9-AFE1-1F246572CCBD}" name="TOT BU" dataDxfId="1050" totalsRowDxfId="1049"/>
    <tableColumn id="4" xr3:uid="{14DAB081-9BA6-40ED-B66D-E73027BE1A0B}" name="DISC BU" dataDxfId="1048" totalsRowDxfId="1047"/>
    <tableColumn id="5" xr3:uid="{763DF0C3-41B8-4A74-A787-A64EAD1A4990}" name="SOLD BU" dataDxfId="1046" totalsRowDxfId="1045"/>
    <tableColumn id="6" xr3:uid="{FEA014C7-3090-4F3D-B872-38C6E75F9A1C}" name="TOT $" dataDxfId="1044" totalsRowDxfId="1043" dataCellStyle="Currency">
      <calculatedColumnFormula>CORNSOLDTBL44[[#This Row],[Price]]*CORNSOLDTBL44[[#This Row],[TOT BU]]</calculatedColumnFormula>
    </tableColumn>
    <tableColumn id="7" xr3:uid="{DDA89271-BD4E-474C-A7EC-2CF219F4A69A}" name="Destination" dataDxfId="1042" totalsRowDxfId="1041"/>
    <tableColumn id="8" xr3:uid="{236AEF80-E5D3-4A01-B00E-F17E7E36B976}" name="DEDUCTIONS" dataDxfId="1040" totalsRowDxfId="1039" dataCellStyle="Currency"/>
    <tableColumn id="9" xr3:uid="{E72BD6F4-A81C-4B15-8A0E-9E90ECD5EF69}" name="PAID BUSHELS" totalsRowFunction="sum" dataDxfId="1038" totalsRowDxfId="1037" dataCellStyle="Currency">
      <calculatedColumnFormula>CORNSOLDTBL44[[#This Row],[TOT $]]+CORNSOLDTBL44[[#This Row],[DEDUCTIONS]]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9691E46-D71F-4CED-BFB5-6A2C27F93FF2}" name="EXPENSETBL45" displayName="EXPENSETBL45" ref="A244:R426" totalsRowCount="1" headerRowDxfId="1036" dataDxfId="1035" totalsRowDxfId="1034">
  <autoFilter ref="A244:R425" xr:uid="{86E7160E-6850-4EBE-9652-249900108192}">
    <filterColumn colId="16">
      <filters blank="1">
        <filter val="CORN"/>
      </filters>
    </filterColumn>
  </autoFilter>
  <sortState xmlns:xlrd2="http://schemas.microsoft.com/office/spreadsheetml/2017/richdata2" ref="A245:R358">
    <sortCondition ref="H244:H425"/>
  </sortState>
  <tableColumns count="18">
    <tableColumn id="1" xr3:uid="{CF120103-34CD-4E75-9614-0F2778BDFD3A}" name="DATE" totalsRowLabel="Total" dataDxfId="1033" totalsRowDxfId="1032"/>
    <tableColumn id="2" xr3:uid="{9CE69B5E-2208-4440-9415-960A7CB61493}" name="CLIENT" dataDxfId="1031" totalsRowDxfId="1030"/>
    <tableColumn id="3" xr3:uid="{A98AC5F8-9FD8-4F61-BB6C-4A4817B840E1}" name="FARM" dataDxfId="1029" totalsRowDxfId="1028"/>
    <tableColumn id="4" xr3:uid="{B36C95FF-FAB2-4FC3-84B2-3216B29E3EB3}" name="FIELD" dataDxfId="1027" totalsRowDxfId="1026"/>
    <tableColumn id="5" xr3:uid="{3895DF01-BB06-41B1-B4E0-8E9024EAD196}" name="ACRES" dataDxfId="1025" totalsRowDxfId="1024">
      <calculatedColumnFormula>IFERROR(VLOOKUP(EXPENSETBL45[[#This Row],[FIELD]],FFTBL[[Field]:[Acres]],2,FALSE),"-")</calculatedColumnFormula>
    </tableColumn>
    <tableColumn id="6" xr3:uid="{58EF1455-D5FE-4A79-B64D-4102981D8CB4}" name="CROPOP" dataDxfId="1023" totalsRowDxfId="1022"/>
    <tableColumn id="7" xr3:uid="{D8663D86-4074-4CAC-851F-4B725C9F689A}" name="SPLIT" dataDxfId="1021" totalsRowDxfId="1020"/>
    <tableColumn id="8" xr3:uid="{A9A4E5B4-9441-4269-A0F4-4DA812CCD0B0}" name="OPERATION" dataDxfId="1019" totalsRowDxfId="1018"/>
    <tableColumn id="9" xr3:uid="{EA4F1003-04BB-4A74-B074-F19BA5C506A2}" name="UOM" dataDxfId="1017" totalsRowDxfId="1016">
      <calculatedColumnFormula>IFERROR(VLOOKUP(EXPENSETBL45[[#This Row],[OPERATION]],OPERATIONCOST,2,FALSE)," ")</calculatedColumnFormula>
    </tableColumn>
    <tableColumn id="10" xr3:uid="{992A120E-E137-4BD0-B0D1-F02C1D5DA0E9}" name="$/UOM" totalsRowFunction="sum" dataDxfId="1015" totalsRowDxfId="1014">
      <calculatedColumnFormula>IFERROR(VLOOKUP(EXPENSETBL45[[#This Row],[OPERATION]],OPERATIONCOST,3,FALSE)," ")</calculatedColumnFormula>
    </tableColumn>
    <tableColumn id="11" xr3:uid="{D26F05FD-3717-4EB9-A146-498B66F81DC7}" name="QTY" totalsRowFunction="sum" dataDxfId="1013" totalsRowDxfId="1012">
      <calculatedColumnFormula>IF(EXPENSETBL45[[#This Row],[UOM]]="acre",EXPENSETBL45[[#This Row],[ACRES]]," ")</calculatedColumnFormula>
    </tableColumn>
    <tableColumn id="13" xr3:uid="{F33D7C6E-22DF-4D99-9F25-307620AEDC0B}" name="MCC.ENT" dataDxfId="1011" totalsRowDxfId="1010">
      <calculatedColumnFormula>IF(G245="SPLIT",0.65,1)</calculatedColumnFormula>
    </tableColumn>
    <tableColumn id="14" xr3:uid="{EB066D1F-88D6-4D21-9CB8-FEBB59364601}" name="L.L." dataDxfId="1009" totalsRowDxfId="1008">
      <calculatedColumnFormula>IF(G245="SPLIT",0.35,0)</calculatedColumnFormula>
    </tableColumn>
    <tableColumn id="15" xr3:uid="{E3CABE9B-E723-4D3D-8B93-C9745D89EA72}" name="$M.E." totalsRowFunction="sum" dataDxfId="1007" totalsRowDxfId="1006">
      <calculatedColumnFormula>IFERROR((EXPENSETBL45[[#This Row],[MCC.ENT]]*EXPENSETBL45[[#This Row],[TOTAL]])," ")</calculatedColumnFormula>
    </tableColumn>
    <tableColumn id="16" xr3:uid="{A93B5ACB-6B24-445F-AF67-F342E0B7842B}" name="$L.L." totalsRowFunction="sum" dataDxfId="1005" totalsRowDxfId="1004">
      <calculatedColumnFormula>IFERROR((EXPENSETBL45[[#This Row],[L.L.]]*EXPENSETBL45[[#This Row],[TOTAL]])," ")</calculatedColumnFormula>
    </tableColumn>
    <tableColumn id="17" xr3:uid="{CA9EF7AA-FA2A-4011-A074-B21B8CC35FC9}" name="TOTAL" totalsRowFunction="sum" dataDxfId="1003" totalsRowDxfId="1002">
      <calculatedColumnFormula>IFERROR((EXPENSETBL45[[#This Row],[QTY]]*EXPENSETBL45[[#This Row],[$/UOM]])," ")</calculatedColumnFormula>
    </tableColumn>
    <tableColumn id="12" xr3:uid="{A9AE389D-FA86-4349-814C-37066311D06F}" name="CROP" dataDxfId="1001" totalsRowDxfId="1000"/>
    <tableColumn id="18" xr3:uid="{CAF00F1D-0614-44FE-AFE4-A18E569C5E41}" name="YEAR" dataDxfId="999" totalsRowDxfId="998"/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3CE4E072-0556-416F-8D4B-0F647C872243}" name="CORNYIELDPERF" displayName="CORNYIELDPERF" ref="A185:U200" totalsRowCount="1" headerRowDxfId="997" dataDxfId="996" totalsRowDxfId="995">
  <autoFilter ref="A185:U199" xr:uid="{21409DA1-C9D3-44EC-90C0-71B1A6739993}"/>
  <tableColumns count="21">
    <tableColumn id="1" xr3:uid="{57931CE1-25D7-4D07-A4D4-5B8961AE6CBA}" name="Client " totalsRowLabel="Total" dataDxfId="994" totalsRowDxfId="993"/>
    <tableColumn id="2" xr3:uid="{FC0984B5-2A49-4DD9-9A60-81598B3CD63A}" name="Farm " dataDxfId="992" totalsRowDxfId="991"/>
    <tableColumn id="3" xr3:uid="{F624D369-D448-4172-A52D-9A65063C9E3D}" name="Field" dataDxfId="990" totalsRowDxfId="989"/>
    <tableColumn id="4" xr3:uid="{FD91B1F7-394E-489C-8E46-B8EE967D55E1}" name="Acres" totalsRowFunction="sum" dataDxfId="988" totalsRowDxfId="987">
      <calculatedColumnFormula>IFERROR((VLOOKUP(CORNYIELDPERF[[#This Row],[Field]],FIELDACRE,2,FALSE)),"")</calculatedColumnFormula>
    </tableColumn>
    <tableColumn id="5" xr3:uid="{F3F9E4D7-2863-4AA5-A234-54E933CD0BFB}" name="Legal" dataDxfId="986" totalsRowDxfId="985">
      <calculatedColumnFormula>IFERROR(VLOOKUP(CORNYIELDPERF[[#This Row],[Field]],FIELDACRE,3,FALSE),"")</calculatedColumnFormula>
    </tableColumn>
    <tableColumn id="6" xr3:uid="{33E9577C-63DB-4DBE-A2FC-5F92F88C7C93}" name="FSA Farm" dataDxfId="984" totalsRowDxfId="983">
      <calculatedColumnFormula>IFERROR(VLOOKUP(CORNYIELDPERF[[#This Row],[Field]],FIELDACRE,4,FALSE),"")</calculatedColumnFormula>
    </tableColumn>
    <tableColumn id="7" xr3:uid="{E26E0145-A754-4F03-9F88-0F901586DF33}" name="Tract" dataDxfId="982" totalsRowDxfId="981">
      <calculatedColumnFormula>IFERROR(VLOOKUP(CORNYIELDPERF[[#This Row],[Field]],FIELDACRE,5,FALSE),"")</calculatedColumnFormula>
    </tableColumn>
    <tableColumn id="8" xr3:uid="{F685A8E4-D739-4E50-9D4F-25577E15F8ED}" name="Crop" dataDxfId="980" totalsRowDxfId="979"/>
    <tableColumn id="9" xr3:uid="{DB33B25B-E68D-4374-8002-73FD34E5AE16}" name="Variety" dataDxfId="978" totalsRowDxfId="977"/>
    <tableColumn id="10" xr3:uid="{910044F8-E7C7-4C99-872D-B857F17E64EC}" name="Yield/ Acre" totalsRowFunction="average" dataDxfId="976" totalsRowDxfId="975">
      <calculatedColumnFormula>IFERROR(CORNYIELDPERF[[#This Row],[TOT BU]]/CORNYIELDPERF[[#This Row],[Acres]],"")</calculatedColumnFormula>
    </tableColumn>
    <tableColumn id="11" xr3:uid="{00290690-32DD-4474-B7CF-F83C8A97F773}" name="TOT #" dataDxfId="974" totalsRowDxfId="973">
      <calculatedColumnFormula>SUMIF(CORNHARVESTTBL[Field],CORNYIELDPERF[[#This Row],[Field]],CORNHARVESTTBL[Net])</calculatedColumnFormula>
    </tableColumn>
    <tableColumn id="12" xr3:uid="{E9508792-8F82-4422-B19C-BB50A033F954}" name="TOT BU" totalsRowFunction="sum" dataDxfId="972" totalsRowDxfId="971">
      <calculatedColumnFormula>SUMIF(CORNHARVESTTBL[Field],CORNYIELDPERF[[#This Row],[Field]],CORNHARVESTTBL[Net Units])</calculatedColumnFormula>
    </tableColumn>
    <tableColumn id="13" xr3:uid="{A0368DB4-30B4-4806-8AA9-54EBBEEC8230}" name="TOT. M77" totalsRowFunction="sum" dataDxfId="970" totalsRowDxfId="969">
      <calculatedColumnFormula>CORNYIELDPERF[[#This Row],[TOT BU]]*0.65</calculatedColumnFormula>
    </tableColumn>
    <tableColumn id="14" xr3:uid="{5E8B01BE-C55D-4B7B-B6C0-C4578BE0AEC1}" name="TOT LL" totalsRowFunction="custom" dataDxfId="968" totalsRowDxfId="967">
      <calculatedColumnFormula>CORNYIELDPERF[[#This Row],[TOT BU]]*0.35</calculatedColumnFormula>
      <totalsRowFormula>SUBTOTAL(109,N186:N199)</totalsRowFormula>
    </tableColumn>
    <tableColumn id="15" xr3:uid="{D21E4673-7F8F-4D5C-B439-84403AC2B8AB}" name="TOTAL EXP" totalsRowFunction="sum" dataDxfId="966" totalsRowDxfId="965">
      <calculatedColumnFormula>SUMIFS(EXPENSETBL45[TOTAL],EXPENSETBL45[FIELD],CORNYIELDPERF[[#This Row],[Field]],EXPENSETBL45[CROP],$A$184,EXPENSETBL45[YEAR],$B$184)</calculatedColumnFormula>
    </tableColumn>
    <tableColumn id="16" xr3:uid="{A4CF22A2-7BD0-487D-95DC-5E178D71014E}" name="BREAKEVEN" dataDxfId="964" totalsRowDxfId="963">
      <calculatedColumnFormula>IFERROR((CORNYIELDPERF[[#This Row],[TOTAL EXP]]/CORNYIELDPERF[[#This Row],[TOT BU]]),"-")</calculatedColumnFormula>
    </tableColumn>
    <tableColumn id="17" xr3:uid="{AEE81270-6283-455B-BC68-7B393616AA8D}" name="TOTM77" dataDxfId="962" totalsRowDxfId="961">
      <calculatedColumnFormula>SUMIFS(EXPENSETBL45[$M.E.],EXPENSETBL45[FIELD],CORNYIELDPERF[[#This Row],[Field]],EXPENSETBL45[CROP],$A$184,EXPENSETBL45[YEAR],$B$184)</calculatedColumnFormula>
    </tableColumn>
    <tableColumn id="18" xr3:uid="{D7A7F185-D582-438B-8A8C-2C70DAF22987}" name="ME BE" dataDxfId="960" totalsRowDxfId="959">
      <calculatedColumnFormula>IFERROR((CORNYIELDPERF[[#This Row],[TOTM77]]/CORNYIELDPERF[[#This Row],[TOT. M77]]),"-")</calculatedColumnFormula>
    </tableColumn>
    <tableColumn id="19" xr3:uid="{5FB62455-4EE6-4D41-83A7-F6CAC9B61C49}" name="TOT LL2" dataDxfId="958" totalsRowDxfId="957">
      <calculatedColumnFormula>SUMIFS(EXPENSETBL45[$L.L.],EXPENSETBL45[FIELD],CORNYIELDPERF[[#This Row],[Field]],EXPENSETBL45[CROP],$A$184,EXPENSETBL45[YEAR],$B$184)</calculatedColumnFormula>
    </tableColumn>
    <tableColumn id="20" xr3:uid="{6FB4B931-B2FD-4D04-A0CF-2626163CA42F}" name="LL BE" dataDxfId="956" totalsRowDxfId="955">
      <calculatedColumnFormula>IFERROR((CORNYIELDPERF[[#This Row],[TOT LL2]]/CORNYIELDPERF[[#This Row],[TOT LL]]),"-")</calculatedColumnFormula>
    </tableColumn>
    <tableColumn id="21" xr3:uid="{110086BB-2A14-46D8-B826-9417FB61984B}" name="GROSS BU" dataDxfId="954" totalsRowDxfId="953"/>
  </tableColumns>
  <tableStyleInfo name="TableStyleMedium2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C0A9AC-8FE8-4468-ABBA-6BAE92A1CB88}" name="CORNHARVESTTBL" displayName="CORNHARVESTTBL" ref="A97:AC181" totalsRowCount="1" headerRowDxfId="952" dataDxfId="950" totalsRowDxfId="948" headerRowBorderDxfId="951" tableBorderDxfId="949" totalsRowBorderDxfId="947">
  <autoFilter ref="A97:AC180" xr:uid="{E633F5CE-C02C-43E5-8BCC-A80936355F1B}"/>
  <tableColumns count="29">
    <tableColumn id="26" xr3:uid="{68499431-4ED8-40EB-9617-40751C369DAD}" name="Date" totalsRowLabel="Total" dataDxfId="946" totalsRowDxfId="945"/>
    <tableColumn id="27" xr3:uid="{ACB70726-D509-4431-9744-8B1A521B7916}" name="Truck" dataDxfId="944" totalsRowDxfId="943"/>
    <tableColumn id="28" xr3:uid="{D61799E0-40FC-4C35-ABC2-0A856F674001}" name="Destination" dataDxfId="942" totalsRowDxfId="941"/>
    <tableColumn id="1" xr3:uid="{A1B21C76-242B-464E-96CC-518F8E6B8085}" name="Location" dataDxfId="940" totalsRowDxfId="939"/>
    <tableColumn id="2" xr3:uid="{BD905027-732A-44D5-BE04-F95220ECAE8A}" name="Tick/ %Full" dataDxfId="938" totalsRowDxfId="937"/>
    <tableColumn id="3" xr3:uid="{02D3A216-5FA5-4F02-B36E-A787DA2F045A}" name="Client" dataDxfId="936" totalsRowDxfId="935"/>
    <tableColumn id="4" xr3:uid="{3481C5AD-9BC2-4433-B213-9990F01DEA46}" name="Farm" dataDxfId="934" totalsRowDxfId="933"/>
    <tableColumn id="5" xr3:uid="{4271CC82-0DDD-49FB-8088-C143C0F2F7F3}" name="Field" dataDxfId="932" totalsRowDxfId="931"/>
    <tableColumn id="6" xr3:uid="{FC95CC98-97C6-471F-8CB1-AD920BE24AC4}" name="Crop" dataDxfId="930" totalsRowDxfId="929"/>
    <tableColumn id="7" xr3:uid="{1401DF2C-4C46-494F-B98C-EEAE2D2CD481}" name="Variety" dataDxfId="928" totalsRowDxfId="927"/>
    <tableColumn id="8" xr3:uid="{B26B3C25-33D0-409D-8124-FD2C41ADFBBA}" name="AVG" dataDxfId="926" totalsRowDxfId="925"/>
    <tableColumn id="9" xr3:uid="{1AB8BC65-ED7C-4E60-926E-1DB78BC1DF55}" name="~#" dataDxfId="924" totalsRowDxfId="923"/>
    <tableColumn id="10" xr3:uid="{2574C2A3-D778-4C98-AB99-7362E999B59C}" name="Gross/ -Truck Net" dataDxfId="922" totalsRowDxfId="921"/>
    <tableColumn id="11" xr3:uid="{F306F63A-C6A6-4D5D-ACB0-A63D1EFDC1FA}" name="Tare" dataDxfId="920" totalsRowDxfId="919"/>
    <tableColumn id="12" xr3:uid="{4A09FA6F-F70E-4B5C-9938-4EA316E8C16D}" name="Net" totalsRowFunction="sum" dataDxfId="918" totalsRowDxfId="917">
      <calculatedColumnFormula>(CORNHARVESTTBL[[#This Row],[Gross/ -Truck Net]]-CORNHARVESTTBL[[#This Row],[Tare]])</calculatedColumnFormula>
    </tableColumn>
    <tableColumn id="13" xr3:uid="{51F3CC28-09EA-483C-A450-B214DC865C55}" name="TW" dataDxfId="916" totalsRowDxfId="915"/>
    <tableColumn id="14" xr3:uid="{C57CDE40-E625-4C31-B7F0-720AF1E19D3D}" name="Mois." dataDxfId="914" totalsRowDxfId="913"/>
    <tableColumn id="15" xr3:uid="{B42FCF3A-B76B-49C7-A362-21E26F8E91EB}" name="Dockage" dataDxfId="912" totalsRowDxfId="911"/>
    <tableColumn id="16" xr3:uid="{835EA58C-B95A-4239-B399-CBF4ED08F113}" name="Dry $" dataDxfId="910" totalsRowDxfId="909"/>
    <tableColumn id="17" xr3:uid="{30E527C6-64CA-4F6B-8B5D-02589F17B230}" name="Gross Units" dataDxfId="908" totalsRowDxfId="907">
      <calculatedColumnFormula>CORNHARVESTTBL[[#This Row],[Net]]/56</calculatedColumnFormula>
    </tableColumn>
    <tableColumn id="18" xr3:uid="{C2E40AFF-C104-4A8F-A54C-A7ED3A42DCF2}" name="Shrink" totalsRowFunction="sum" dataDxfId="906" totalsRowDxfId="905"/>
    <tableColumn id="19" xr3:uid="{E9A4D0F7-8B63-4421-A98F-ABAE4FB78004}" name="Dockage2" dataDxfId="904" totalsRowDxfId="903"/>
    <tableColumn id="20" xr3:uid="{08D5164B-3CDF-4C6C-8BDC-6C199DC38CF7}" name="Net Units" dataDxfId="902" totalsRowDxfId="901">
      <calculatedColumnFormula>CORNHARVESTTBL[[#This Row],[Gross Units]]-CORNHARVESTTBL[[#This Row],[Shrink]]</calculatedColumnFormula>
    </tableColumn>
    <tableColumn id="21" xr3:uid="{6575604B-4DAB-4C36-BA8B-17066AB601BF}" name="Shares" dataDxfId="900" totalsRowDxfId="899"/>
    <tableColumn id="22" xr3:uid="{A8CA174B-6DFF-4724-BEA1-602D789BF051}" name="MCC. ENT." dataDxfId="898" totalsRowDxfId="897"/>
    <tableColumn id="23" xr3:uid="{2951B127-310B-433B-ABE7-4C9D1277E2EC}" name="L.L." dataDxfId="896" totalsRowDxfId="895"/>
    <tableColumn id="24" xr3:uid="{9FA613D1-BAC3-41B6-ABDB-F36FC12A6D33}" name="MCC. ENT. BU" totalsRowFunction="sum" dataDxfId="894" totalsRowDxfId="893"/>
    <tableColumn id="25" xr3:uid="{BF113F7C-A910-47E3-9213-3424EDFC8BE6}" name="L.L. BU" totalsRowFunction="sum" dataDxfId="892" totalsRowDxfId="891"/>
    <tableColumn id="29" xr3:uid="{A982C9BD-0122-4E57-B419-16DC14053BBA}" name="Column1" dataDxfId="890" totalsRowDxfId="889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A3E8AC0E-7A2E-40CD-B40A-D7FE037C9B20}" name="Table91" displayName="Table91" ref="A3:K19" totalsRowCount="1" headerRowDxfId="888" dataDxfId="887" totalsRowDxfId="885" tableBorderDxfId="886">
  <autoFilter ref="A3:K18" xr:uid="{A3E8AC0E-7A2E-40CD-B40A-D7FE037C9B20}"/>
  <tableColumns count="11">
    <tableColumn id="1" xr3:uid="{3E0C2A0D-F925-41BA-A10E-852AB5F37CB8}" name="DATE" totalsRowLabel="Total" dataDxfId="884" totalsRowDxfId="883"/>
    <tableColumn id="2" xr3:uid="{F1CF938F-2630-44F9-B57E-556F24B4653D}" name="CLIENT" dataDxfId="882" totalsRowDxfId="881"/>
    <tableColumn id="3" xr3:uid="{21F1F659-F184-43A4-82E5-C4AF67271889}" name="FARM" dataDxfId="880" totalsRowDxfId="879"/>
    <tableColumn id="4" xr3:uid="{68C3F461-A9CC-44AF-A5DB-0141CDC071C9}" name="FIELD" dataDxfId="878" totalsRowDxfId="877"/>
    <tableColumn id="5" xr3:uid="{25EC51D4-6188-4752-A548-F8221B30472A}" name="ACRES" totalsRowFunction="sum" dataDxfId="876" totalsRowDxfId="875">
      <calculatedColumnFormula>VLOOKUP(D4,FFTBL[[Field]:[Acres]],2,FALSE)</calculatedColumnFormula>
    </tableColumn>
    <tableColumn id="6" xr3:uid="{E811A329-5935-4CB3-B5DF-C56273C167FF}" name="RENTAL AGREEMENT" dataDxfId="874" totalsRowDxfId="873"/>
    <tableColumn id="7" xr3:uid="{C7A6FEE7-3856-481F-9F5B-3A3BC7CE7FF8}" name="RENTAL RATE / ACRE" dataDxfId="872" totalsRowDxfId="871"/>
    <tableColumn id="8" xr3:uid="{8799291D-4901-4679-BD53-AFEF16573BEB}" name="TOTAL RENT " totalsRowFunction="sum" dataDxfId="870" totalsRowDxfId="869">
      <calculatedColumnFormula>Table91[[#This Row],[RENTAL RATE / ACRE]]*Table91[[#This Row],[ACRES]]</calculatedColumnFormula>
    </tableColumn>
    <tableColumn id="9" xr3:uid="{B69A5AF4-DE96-423B-B69E-E45B0E47065D}" name="AMOUNT PAID" totalsRowFunction="sum" dataDxfId="868" totalsRowDxfId="867">
      <calculatedColumnFormula>Table91[[#This Row],[TOTAL RENT ]]</calculatedColumnFormula>
    </tableColumn>
    <tableColumn id="10" xr3:uid="{27CE924C-0CF5-480C-8FDD-4AFB3D91957A}" name="AMT OWED" totalsRowFunction="sum" dataDxfId="866" totalsRowDxfId="865">
      <calculatedColumnFormula>Table91[[#This Row],[TOTAL RENT ]]-Table91[[#This Row],[AMOUNT PAID]]</calculatedColumnFormula>
    </tableColumn>
    <tableColumn id="11" xr3:uid="{BF0D4D1E-6EB3-4F8D-8703-A6CA1D384073}" name="DATE PAID" dataDxfId="864" totalsRowDxfId="863"/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EF5BF08-E8A5-4C02-98E1-379B7DF006E3}" name="ROTATIONTBL" displayName="ROTATIONTBL" ref="A3:AC99" totalsRowCount="1" headerRowDxfId="763" dataDxfId="762" totalsRowDxfId="761">
  <autoFilter ref="A3:AC98" xr:uid="{1B155632-A439-441D-8002-12D4726C826D}"/>
  <sortState xmlns:xlrd2="http://schemas.microsoft.com/office/spreadsheetml/2017/richdata2" ref="A5:AC98">
    <sortCondition ref="Q3:Q98"/>
  </sortState>
  <tableColumns count="29">
    <tableColumn id="1" xr3:uid="{41B26105-BD71-4A19-B66A-CDDB9DC215E3}" name="CLIENT " totalsRowLabel="Total" dataDxfId="760" totalsRowDxfId="759"/>
    <tableColumn id="2" xr3:uid="{1C26578B-EB8F-4B84-9EF0-D44F6797C952}" name="FARM" dataDxfId="758" totalsRowDxfId="757"/>
    <tableColumn id="3" xr3:uid="{70781593-8C66-4C5F-BA39-4462BDF9304C}" name="FIELD" dataDxfId="756" totalsRowDxfId="755"/>
    <tableColumn id="13" xr3:uid="{33B54277-6FD6-41A9-BAD7-7F12333620F5}" name="LEGAL" dataDxfId="754" totalsRowDxfId="753">
      <calculatedColumnFormula>VLOOKUP(ROTATIONTBL[[#This Row],[FIELD]],FIELDACRE,3,FALSE)</calculatedColumnFormula>
    </tableColumn>
    <tableColumn id="12" xr3:uid="{0E7194F6-ACC1-489E-B4DF-C8EEF38054BF}" name="FSA FARM" totalsRowLabel="TOTAL ACRES" dataDxfId="752" totalsRowDxfId="751">
      <calculatedColumnFormula>VLOOKUP(ROTATIONTBL[[#This Row],[FIELD]],FIELDACRE,4,FALSE)</calculatedColumnFormula>
    </tableColumn>
    <tableColumn id="11" xr3:uid="{6534EB87-DCFD-4875-BBF2-5723603FA7D2}" name="TRACT" dataDxfId="750" totalsRowDxfId="749">
      <calculatedColumnFormula>VLOOKUP(ROTATIONTBL[[#This Row],[FIELD]],FIELDACRE,5,FALSE)</calculatedColumnFormula>
    </tableColumn>
    <tableColumn id="4" xr3:uid="{95B028A6-823E-4FE8-8928-4D607C524350}" name="ACRES" totalsRowFunction="sum" dataDxfId="748" totalsRowDxfId="747"/>
    <tableColumn id="27" xr3:uid="{BD2BF765-CE9B-4996-B332-9AAC56C428DA}" name="KIND" dataDxfId="746" totalsRowDxfId="745">
      <calculatedColumnFormula>IFERROR(VLOOKUP(ROTATIONTBL[[#This Row],[FIELD]],ROTATIONRG,6,FALSE)," ")</calculatedColumnFormula>
    </tableColumn>
    <tableColumn id="5" xr3:uid="{DAF577E8-21AA-4E22-BCCE-7A73E413A08B}" name="COUNTY" dataDxfId="744" totalsRowDxfId="743"/>
    <tableColumn id="6" xr3:uid="{1DBEA0DA-CF85-4E39-8792-2BDEEAA4050D}" name="2018 CROP" totalsRowLabel="2018" dataDxfId="742" totalsRowDxfId="741"/>
    <tableColumn id="7" xr3:uid="{F9A67134-3C4E-4117-BC32-81ED28B799EC}" name="2019 CROP" totalsRowLabel="2019" dataDxfId="740" totalsRowDxfId="739"/>
    <tableColumn id="8" xr3:uid="{972DBB83-7E82-4F6E-8D26-9DA41D1B6EDA}" name="2020 CROP" totalsRowLabel="2020" dataDxfId="738" totalsRowDxfId="737"/>
    <tableColumn id="9" xr3:uid="{F256A900-6A86-4EFD-915D-8BEC09C4FB33}" name="2021 CROP" totalsRowLabel="2021" dataDxfId="736" totalsRowDxfId="735"/>
    <tableColumn id="10" xr3:uid="{12497CB3-1060-42B8-A024-3157A8D9F508}" name="2022 CROP" totalsRowLabel="2022" dataDxfId="734" totalsRowDxfId="733"/>
    <tableColumn id="15" xr3:uid="{08D18F66-A461-4B73-985B-F70CF17DE6E3}" name="2023 CROP" totalsRowLabel="2023" dataDxfId="732" totalsRowDxfId="731"/>
    <tableColumn id="16" xr3:uid="{F8DD0822-BDCD-44CB-8E26-59DF76069C86}" name="2024 CROP" totalsRowLabel="2024" dataDxfId="730" totalsRowDxfId="729"/>
    <tableColumn id="17" xr3:uid="{B4ECBEA9-3299-4642-8ED0-B329751F8A7E}" name="2025 CROP" totalsRowLabel="2025" dataDxfId="728" totalsRowDxfId="727"/>
    <tableColumn id="23" xr3:uid="{EEC210C0-46BB-4828-9BAB-148B6D2E3F4A}" name="2025 Reporting" dataDxfId="726" totalsRowDxfId="725"/>
    <tableColumn id="18" xr3:uid="{90A0C5C0-17BC-470F-8E58-C1143F9A8103}" name="2026 CROP" totalsRowLabel="2026" dataDxfId="724" totalsRowDxfId="723"/>
    <tableColumn id="19" xr3:uid="{5E83AB7A-DBAB-49A6-9966-3510ACD2B829}" name="2027 CROP" totalsRowLabel="2027" dataDxfId="722" totalsRowDxfId="721"/>
    <tableColumn id="20" xr3:uid="{041AC04E-9BDD-44E5-9C41-277766940134}" name="2028 CROP" totalsRowLabel="2028" dataDxfId="720" totalsRowDxfId="719"/>
    <tableColumn id="24" xr3:uid="{A55FEE7C-9D58-48C8-8696-18066EE1BEED}" name="2029 CROP" totalsRowLabel="2029" dataDxfId="718" totalsRowDxfId="717"/>
    <tableColumn id="25" xr3:uid="{E3538F2E-F78C-42C6-91FB-4D6AEC7749A0}" name="21 Plant Date" dataDxfId="716" totalsRowDxfId="715"/>
    <tableColumn id="26" xr3:uid="{5047D597-56CA-4F85-9D97-CB7B3933125E}" name="22 Plant Date" dataDxfId="714" totalsRowDxfId="713"/>
    <tableColumn id="14" xr3:uid="{BA96BD1B-9933-475C-BA87-D799096096B7}" name="23 Plant Date" dataDxfId="712" totalsRowDxfId="711"/>
    <tableColumn id="21" xr3:uid="{2E3AEAE5-F6B0-4158-AFCB-2FFF9A017C3C}" name="23 Variety" dataDxfId="710" totalsRowDxfId="709"/>
    <tableColumn id="28" xr3:uid="{6D7B8FB3-5D04-4FA8-8C61-77B4B4F4966A}" name="2024 crop reporting2" dataDxfId="708" totalsRowDxfId="707"/>
    <tableColumn id="29" xr3:uid="{2F238D5B-0B86-4E23-9702-83606B8489B1}" name="2024 plant date3" dataDxfId="706" totalsRowDxfId="705"/>
    <tableColumn id="22" xr3:uid="{BE5C8013-815F-4B10-BFC2-1E15F53BB9FC}" name="2024 VARIETY" dataDxfId="704" totalsRowDxfId="703"/>
  </tableColumns>
  <tableStyleInfo name="TableStyleMedium8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626DBC5-1034-474B-9C20-8116C94A211F}" name="FARMTOTCROP" displayName="FARMTOTCROP" ref="A101:D123" totalsRowCount="1" headerRowDxfId="702" dataDxfId="701">
  <autoFilter ref="A101:D122" xr:uid="{75C1ED5F-BCDC-4405-82EC-266D601E2DF9}"/>
  <tableColumns count="4">
    <tableColumn id="1" xr3:uid="{247DB825-8C80-42DF-B65F-FFC70AB7BD01}" name="FARM" totalsRowLabel="Total" dataDxfId="700" totalsRowDxfId="699"/>
    <tableColumn id="2" xr3:uid="{468449E9-EAF3-4D79-81BE-032A4EC15B8D}" name="YEAR" dataDxfId="698" totalsRowDxfId="697"/>
    <tableColumn id="3" xr3:uid="{CDB38A27-9084-4BE3-9B75-15E5C18FAEB8}" name="CROP" dataDxfId="696" totalsRowDxfId="695"/>
    <tableColumn id="4" xr3:uid="{704BD807-23B8-4E26-87D9-9A0B45ECABC4}" name="ACRES" totalsRowFunction="sum" dataDxfId="694" totalsRowDxfId="693">
      <calculatedColumnFormula>SUMIFS(ROTATIONTBL[ACRES],ROTATIONTBL[2024 CROP],C102,ROTATIONTBL[FARM],A102)</calculatedColumnFormula>
    </tableColumn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4134FED-9EEF-4DD6-8A5D-1A922C524CA6}" name="GOVPAYMENTTBL" displayName="GOVPAYMENTTBL" ref="A134:Q151" totalsRowCount="1" tableBorderDxfId="692">
  <autoFilter ref="A134:Q150" xr:uid="{04134FED-9EEF-4DD6-8A5D-1A922C524CA6}"/>
  <tableColumns count="17">
    <tableColumn id="1" xr3:uid="{2B75C188-D89E-4589-8480-8C4436BA5B80}" name="CLIENT " totalsRowLabel="Total" totalsRowDxfId="691"/>
    <tableColumn id="2" xr3:uid="{F770273A-2D04-4C30-A953-E8E3C97C2CF5}" name="FARM" totalsRowDxfId="690"/>
    <tableColumn id="3" xr3:uid="{44F1A5E4-8F9B-47EE-8DDC-440E766C1790}" name="COUNTY" totalsRowDxfId="689"/>
    <tableColumn id="4" xr3:uid="{066162D7-1213-468A-8F76-0D97A3FC7A87}" name="TOTAL ACRES" totalsRowFunction="custom" totalsRowDxfId="688">
      <totalsRowFormula>SUM(D150,D145,D138)</totalsRowFormula>
    </tableColumn>
    <tableColumn id="5" xr3:uid="{8BDD8C1D-CBFB-4F0E-A5C8-4E47D5A09FFB}" name="WHEAT" totalsRowFunction="custom" dataDxfId="687" totalsRowDxfId="686">
      <calculatedColumnFormula>SUMIFS(ROTATIONTBL[[ACRES]:[ACRES]],INDIRECT("ROTATIONTBL[" &amp;$B$132&amp;"]"),E$134,ROTATIONTBL[[COUNTY]:[COUNTY]],$C135,ROTATIONTBL[[FARM]:[FARM]],$B135)</calculatedColumnFormula>
      <totalsRowFormula>SUM(E135:E136,E139:E144,E146:E149)</totalsRowFormula>
    </tableColumn>
    <tableColumn id="6" xr3:uid="{56FD8ED7-64FD-42DA-8530-A63023E7C82F}" name="CORN" totalsRowFunction="custom" dataDxfId="685" totalsRowDxfId="684">
      <calculatedColumnFormula>SUMIFS(ROTATIONTBL[[ACRES]:[ACRES]],INDIRECT("ROTATIONTBL[" &amp;$B$132&amp;"]"),F$134,ROTATIONTBL[[COUNTY]:[COUNTY]],$C135,ROTATIONTBL[[FARM]:[FARM]],$B135)</calculatedColumnFormula>
      <totalsRowFormula>SUM(F150,F145,F138)</totalsRowFormula>
    </tableColumn>
    <tableColumn id="7" xr3:uid="{40809D0F-44B2-4324-90C3-4A88304DF946}" name="SORGHUM" totalsRowFunction="custom" dataDxfId="683" totalsRowDxfId="682">
      <calculatedColumnFormula>SUMIFS(ROTATIONTBL[[ACRES]:[ACRES]],INDIRECT("ROTATIONTBL[" &amp;$B$132&amp;"]"),G$134,ROTATIONTBL[[COUNTY]:[COUNTY]],$C135,ROTATIONTBL[[FARM]:[FARM]],$B135)</calculatedColumnFormula>
      <totalsRowFormula>SUM(G150,G145,G138)</totalsRowFormula>
    </tableColumn>
    <tableColumn id="8" xr3:uid="{58A90FF5-EFD4-4C44-B735-1AF9034CB9D3}" name="OAT/WHEAT" totalsRowFunction="custom" dataDxfId="681" totalsRowDxfId="680">
      <calculatedColumnFormula>SUMIFS(ROTATIONTBL[[ACRES]:[ACRES]],INDIRECT("ROTATIONTBL[" &amp;$B$132&amp;"]"),H$134,ROTATIONTBL[[COUNTY]:[COUNTY]],$C135,ROTATIONTBL[[FARM]:[FARM]],$B135)</calculatedColumnFormula>
      <totalsRowFormula>SUM(H150,H145,H138)</totalsRowFormula>
    </tableColumn>
    <tableColumn id="9" xr3:uid="{390654C1-7A27-4704-BED2-72ED091EAA92}" name="TRITICALE" totalsRowFunction="custom" dataDxfId="679" totalsRowDxfId="678">
      <calculatedColumnFormula>SUMIFS(ROTATIONTBL[[ACRES]:[ACRES]],INDIRECT("ROTATIONTBL[" &amp;$B$132&amp;"]"),I$134,ROTATIONTBL[[COUNTY]:[COUNTY]],$C135,ROTATIONTBL[[FARM]:[FARM]],$B135)</calculatedColumnFormula>
      <totalsRowFormula>SUM(I150,I145,I138)</totalsRowFormula>
    </tableColumn>
    <tableColumn id="10" xr3:uid="{ADB07E8C-EE69-4530-A7AC-12ADCB9C32B1}" name="FORG/ WHEAT" totalsRowFunction="custom" dataDxfId="677" totalsRowDxfId="676">
      <calculatedColumnFormula>SUMIFS(ROTATIONTBL[[ACRES]:[ACRES]],INDIRECT("ROTATIONTBL[" &amp;$B$132&amp;"]"),J$134,ROTATIONTBL[[COUNTY]:[COUNTY]],$C135,ROTATIONTBL[[FARM]:[FARM]],$B135)</calculatedColumnFormula>
      <totalsRowFormula>SUM(J150,J145,J138)</totalsRowFormula>
    </tableColumn>
    <tableColumn id="11" xr3:uid="{A584C37A-BA89-4AB4-8F36-88777AAC4A63}" name="GOLDEN GERMAN" totalsRowFunction="custom" dataDxfId="675" totalsRowDxfId="674">
      <calculatedColumnFormula>SUMIFS(ROTATIONTBL[[ACRES]:[ACRES]],INDIRECT("ROTATIONTBL[" &amp;$B$132&amp;"]"),K$134,ROTATIONTBL[[COUNTY]:[COUNTY]],$C135,ROTATIONTBL[[FARM]:[FARM]],$B135)</calculatedColumnFormula>
      <totalsRowFormula>SUM(K150,K145,K138)</totalsRowFormula>
    </tableColumn>
    <tableColumn id="12" xr3:uid="{B380F4EE-D9F2-4679-965D-8DA88C0DDCB0}" name="SPRING GRAZED" totalsRowFunction="custom" dataDxfId="673" totalsRowDxfId="672">
      <calculatedColumnFormula>SUMIFS(ROTATIONTBL[[ACRES]:[ACRES]],INDIRECT("ROTATIONTBL[" &amp;$B$132&amp;"]"),L$134,ROTATIONTBL[[COUNTY]:[COUNTY]],$C135,ROTATIONTBL[[FARM]:[FARM]],$B135)</calculatedColumnFormula>
      <totalsRowFormula>SUM(L150,L145,L138)</totalsRowFormula>
    </tableColumn>
    <tableColumn id="13" xr3:uid="{35189656-D6F2-4897-A0EF-F7241BCDD60F}" name="FALL GRAZED" totalsRowFunction="custom" dataDxfId="671" totalsRowDxfId="670">
      <calculatedColumnFormula>SUMIFS(ROTATIONTBL[[ACRES]:[ACRES]],INDIRECT("ROTATIONTBL[" &amp;$B$132&amp;"]"),M$134,ROTATIONTBL[[COUNTY]:[COUNTY]],$C135,ROTATIONTBL[[FARM]:[FARM]],$B135)</calculatedColumnFormula>
      <totalsRowFormula>SUM(M150,M145,M138)</totalsRowFormula>
    </tableColumn>
    <tableColumn id="14" xr3:uid="{EC003151-C616-4D23-B251-71E2E6B2E195}" name="FALLOW" totalsRowFunction="custom" dataDxfId="669" totalsRowDxfId="668">
      <calculatedColumnFormula>SUMIFS(ROTATIONTBL[[ACRES]:[ACRES]],INDIRECT("ROTATIONTBL[" &amp;$B$132&amp;"]"),N$134,ROTATIONTBL[[COUNTY]:[COUNTY]],$C135,ROTATIONTBL[[FARM]:[FARM]],$B135)</calculatedColumnFormula>
      <totalsRowFormula>SUM(N150,N145,N138)</totalsRowFormula>
    </tableColumn>
    <tableColumn id="15" xr3:uid="{AA827DC1-39D7-4067-9D94-4EE3A67F9D5A}" name="PASTURE" totalsRowFunction="custom" dataDxfId="667" totalsRowDxfId="666">
      <calculatedColumnFormula>SUMIFS(ROTATIONTBL[[ACRES]:[ACRES]],INDIRECT("ROTATIONTBL[" &amp;$B$132&amp;"]"),O$134,ROTATIONTBL[[COUNTY]:[COUNTY]],$C135,ROTATIONTBL[[FARM]:[FARM]],$B135)</calculatedColumnFormula>
      <totalsRowFormula>SUM(O150,O145,O138)</totalsRowFormula>
    </tableColumn>
    <tableColumn id="16" xr3:uid="{67F3D34C-210E-4815-8A64-E6B7871D9651}" name="WASTE" totalsRowFunction="custom" dataDxfId="665" totalsRowDxfId="664">
      <calculatedColumnFormula>SUMIFS(ROTATIONTBL[[ACRES]:[ACRES]],INDIRECT("ROTATIONTBL[" &amp;$B$132&amp;"]"),P$134,ROTATIONTBL[[COUNTY]:[COUNTY]],$C135,ROTATIONTBL[[FARM]:[FARM]],$B135)</calculatedColumnFormula>
      <totalsRowFormula>SUM(P150,P145,P138)</totalsRowFormula>
    </tableColumn>
    <tableColumn id="17" xr3:uid="{DAC3111C-4CE4-4952-AD50-A9A583CBF74E}" name="BUILDING SITE" totalsRowFunction="custom" dataDxfId="663" totalsRowDxfId="662">
      <calculatedColumnFormula>SUMIFS(ROTATIONTBL[[ACRES]:[ACRES]],INDIRECT("ROTATIONTBL[" &amp;$B$132&amp;"]"),Q$134,ROTATIONTBL[[COUNTY]:[COUNTY]],$C135,ROTATIONTBL[[FARM]:[FARM]],$B135)</calculatedColumnFormula>
      <totalsRowFormula>SUM(Q150,Q145,Q138)</totalsRowFormula>
    </tableColumn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E1592C-016F-483D-8635-FDACCF079C04}" name="Table18" displayName="Table18" ref="A4:M63" totalsRowCount="1">
  <autoFilter ref="A4:M62" xr:uid="{65E1592C-016F-483D-8635-FDACCF079C04}">
    <filterColumn colId="5">
      <filters>
        <filter val="CORN"/>
      </filters>
    </filterColumn>
  </autoFilter>
  <sortState xmlns:xlrd2="http://schemas.microsoft.com/office/spreadsheetml/2017/richdata2" ref="A5:M62">
    <sortCondition ref="F4:F62"/>
  </sortState>
  <tableColumns count="13">
    <tableColumn id="1" xr3:uid="{E4E4253D-D233-4ED3-BE73-32BE033F7D4A}" name="CLIENT" totalsRowLabel="Total" dataDxfId="542" totalsRowDxfId="541"/>
    <tableColumn id="2" xr3:uid="{064D5C19-BFEE-4C0E-AC29-C1660869165A}" name="FARM" dataDxfId="540" totalsRowDxfId="539"/>
    <tableColumn id="3" xr3:uid="{86095DB8-E483-417E-AF3C-DC2503CF1BF2}" name="FIELD" dataDxfId="538" totalsRowDxfId="537"/>
    <tableColumn id="4" xr3:uid="{633C489E-6471-43CC-B909-49223B29B645}" name="ACRES" totalsRowFunction="sum" dataDxfId="536" totalsRowDxfId="535"/>
    <tableColumn id="5" xr3:uid="{C500D63B-718F-488B-AF90-D361AD95F442}" name="Order" dataDxfId="534" totalsRowDxfId="533"/>
    <tableColumn id="6" xr3:uid="{F726DF7D-AF80-45E8-8F25-CB20F3F40C11}" name="CROP" dataDxfId="532" totalsRowDxfId="531"/>
    <tableColumn id="7" xr3:uid="{9D2ED292-DF9C-4756-8B3F-D4C1C8DA636B}" name="VARIETY" dataDxfId="530"/>
    <tableColumn id="8" xr3:uid="{8C0C44E7-4CDC-4589-9753-359F4E898202}" name="RATE" dataDxfId="529"/>
    <tableColumn id="9" xr3:uid="{33ECADF2-1871-4409-BCB0-314E95FE8387}" name="#'S" totalsRowFunction="sum" dataDxfId="528">
      <calculatedColumnFormula>Table18[[#This Row],[RATE]]*Table18[[#This Row],[ACRES]]</calculatedColumnFormula>
    </tableColumn>
    <tableColumn id="13" xr3:uid="{A3221677-F8E5-484E-B2A0-04CAE49F4B7D}" name="BAGS1" totalsRowFunction="sum" dataDxfId="527" totalsRowDxfId="526">
      <calculatedColumnFormula>Table18[[#This Row],['#''S]]/50</calculatedColumnFormula>
    </tableColumn>
    <tableColumn id="11" xr3:uid="{A9E739F0-BB9D-46AD-BE4D-1250017934F0}" name="SKS/A" totalsRowFunction="average"/>
    <tableColumn id="12" xr3:uid="{3FEE5050-C056-47C6-94ED-F25D166C630E}" name="BAGS 80K" totalsRowFunction="sum" dataDxfId="525" totalsRowDxfId="524">
      <calculatedColumnFormula>((Table18[[#This Row],[SKS/A]]*1000)*Table18[[#This Row],[ACRES]])/80000</calculatedColumnFormula>
    </tableColumn>
    <tableColumn id="14" xr3:uid="{2FF99C31-F2B2-43B7-BFC3-A1C716CCE5BD}" name="BAGS " dataDxfId="523">
      <calculatedColumnFormula>Table18[[#This Row],[BAGS ]]</calculatedColumnFormula>
    </tableColumn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E6E179D-7F36-433B-8329-0647064F32BF}" name="CORNYIELDPERF15" displayName="CORNYIELDPERF15" ref="A63:T78" totalsRowCount="1" headerRowDxfId="488" dataDxfId="487" totalsRowDxfId="486">
  <autoFilter ref="A63:T77" xr:uid="{9E8727AE-5E4E-4BF4-BDE2-847D7B4EF281}"/>
  <tableColumns count="20">
    <tableColumn id="1" xr3:uid="{53E7DD8E-F1A8-4CA9-B66F-877329AF348D}" name="Client " totalsRowLabel="Total" dataDxfId="485" totalsRowDxfId="484"/>
    <tableColumn id="2" xr3:uid="{3B7B45E3-3D6C-4972-8B9D-8F8E0A0EE7AA}" name="Farm " dataDxfId="483" totalsRowDxfId="482"/>
    <tableColumn id="3" xr3:uid="{4C242124-FCDA-4FBD-A7CB-56A6825DF306}" name="Field" dataDxfId="481" totalsRowDxfId="480"/>
    <tableColumn id="4" xr3:uid="{47A6CA9A-7508-4DAB-8A47-D75B7575022F}" name="Acres" totalsRowFunction="sum" dataDxfId="479" totalsRowDxfId="478">
      <calculatedColumnFormula>IFERROR((VLOOKUP(CORNYIELDPERF15[[#This Row],[Field]],FIELDACRE,2,FALSE)),"")</calculatedColumnFormula>
    </tableColumn>
    <tableColumn id="5" xr3:uid="{66F1517E-F475-4A8D-89E2-332FD540DF01}" name="Legal" dataDxfId="477" totalsRowDxfId="476">
      <calculatedColumnFormula>IFERROR(VLOOKUP(CORNYIELDPERF15[[#This Row],[Field]],FIELDACRE,3,FALSE),"")</calculatedColumnFormula>
    </tableColumn>
    <tableColumn id="6" xr3:uid="{380C1297-0EC7-4597-8513-9B296215429A}" name="FSA Farm" dataDxfId="475" totalsRowDxfId="474">
      <calculatedColumnFormula>IFERROR(VLOOKUP(CORNYIELDPERF15[[#This Row],[Field]],FIELDACRE,4,FALSE),"")</calculatedColumnFormula>
    </tableColumn>
    <tableColumn id="7" xr3:uid="{3375C1A8-7786-4A45-A845-E2165434DA7A}" name="Tract" dataDxfId="473" totalsRowDxfId="472">
      <calculatedColumnFormula>IFERROR(VLOOKUP(CORNYIELDPERF15[[#This Row],[Field]],FIELDACRE,5,FALSE),"")</calculatedColumnFormula>
    </tableColumn>
    <tableColumn id="8" xr3:uid="{7F93BFD0-C174-4984-B9EA-B61BDCE552B5}" name="Crop" dataDxfId="471" totalsRowDxfId="470"/>
    <tableColumn id="9" xr3:uid="{B709A647-A653-44EB-BA82-E9797FFE1E65}" name="Variety" dataDxfId="469" totalsRowDxfId="468"/>
    <tableColumn id="10" xr3:uid="{9101A21C-D7D3-4FBE-BEB0-7A4C4CF2CE9F}" name="Yield/ Acre" totalsRowFunction="average" dataDxfId="467" totalsRowDxfId="466">
      <calculatedColumnFormula>IFERROR(CORNYIELDPERF15[[#This Row],[TOT BU]]/CORNYIELDPERF15[[#This Row],[Acres]],"")</calculatedColumnFormula>
    </tableColumn>
    <tableColumn id="11" xr3:uid="{7E36A6BB-FD27-4EBB-BFBE-0667109B4E11}" name="TOT #" dataDxfId="465" totalsRowDxfId="464">
      <calculatedColumnFormula>SUMIF(corntbl17[Field],CORNYIELDPERF15[[#This Row],[Field]],corntbl17[Net])</calculatedColumnFormula>
    </tableColumn>
    <tableColumn id="12" xr3:uid="{63C95056-4AB4-4333-8B3B-357FAA9D97B8}" name="TOT BU" dataDxfId="463" totalsRowDxfId="462">
      <calculatedColumnFormula>SUMIF(corntbl17[Field],CORNYIELDPERF15[[#This Row],[Field]],corntbl17[Net Units])</calculatedColumnFormula>
    </tableColumn>
    <tableColumn id="13" xr3:uid="{5584849C-EFE1-48DB-BE35-839A8941741A}" name="TOT. ME" dataDxfId="461" totalsRowDxfId="460">
      <calculatedColumnFormula>CORNYIELDPERF15[[#This Row],[TOT BU]]*0.65</calculatedColumnFormula>
    </tableColumn>
    <tableColumn id="14" xr3:uid="{CCC2DDD3-58D6-4CD4-A7D9-AFF92F478D0F}" name="TOT LL" dataDxfId="459" totalsRowDxfId="458">
      <calculatedColumnFormula>CORNYIELDPERF15[[#This Row],[TOT BU]]*0.35</calculatedColumnFormula>
    </tableColumn>
    <tableColumn id="15" xr3:uid="{ACBB6CDC-EFEA-4115-A89E-DB4BA5C55CA6}" name="TOTAL EXP" dataDxfId="457" totalsRowDxfId="456">
      <calculatedColumnFormula>SUMIF(EXPENSETBL45[FIELD],CORNYIELDPERF15[[#This Row],[Field]],EXPENSETBL45[TOTAL])</calculatedColumnFormula>
    </tableColumn>
    <tableColumn id="16" xr3:uid="{3B050844-CF25-4322-8815-7DBF3C86A8AB}" name="BREAKEVEN" dataDxfId="455" totalsRowDxfId="454">
      <calculatedColumnFormula>CORNYIELDPERF15[[#This Row],[TOTAL EXP]]/CORNYIELDPERF15[[#This Row],[TOT BU]]</calculatedColumnFormula>
    </tableColumn>
    <tableColumn id="17" xr3:uid="{D9D22C2A-7ABB-4600-95E7-D9088F23287A}" name="TOTME" dataDxfId="453" totalsRowDxfId="452">
      <calculatedColumnFormula>SUMIF(EXPENSETBL45[FIELD],CORNYIELDPERF15[[#This Row],[Field]],EXPENSETBL45[MCC.ENT])</calculatedColumnFormula>
    </tableColumn>
    <tableColumn id="18" xr3:uid="{5AB9EC9A-0BA8-4115-9011-92FA3BF67C95}" name="ME BE" dataDxfId="451" totalsRowDxfId="450">
      <calculatedColumnFormula>CORNYIELDPERF15[[#This Row],[TOTME]]/CORNYIELDPERF15[[#This Row],[TOT. ME]]</calculatedColumnFormula>
    </tableColumn>
    <tableColumn id="19" xr3:uid="{BEC89D38-04EC-4649-9C04-2F9D0532A93E}" name="TOT LL2" dataDxfId="449" totalsRowDxfId="448">
      <calculatedColumnFormula>SUMIF(EXPENSETBL45[FIELD],CORNYIELDPERF15[[#This Row],[Field]],EXPENSETBL45[L.L.])</calculatedColumnFormula>
    </tableColumn>
    <tableColumn id="20" xr3:uid="{75BF7FB4-5A6D-45D8-B532-133C2D1244D4}" name="LL BE" dataDxfId="447" totalsRowDxfId="446">
      <calculatedColumnFormula>CORNYIELDPERF15[[#This Row],[TOT LL2]]/CORNYIELDPERF15[[#This Row],[TOT LL]]</calculatedColumnFormula>
    </tableColumn>
  </tableColumns>
  <tableStyleInfo name="TableStyleMedium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956AC1B-B8E3-4DDF-B559-88D0A11A57DE}" name="corntbl17" displayName="corntbl17" ref="A22:W62" totalsRowCount="1" headerRowDxfId="445" dataDxfId="444" totalsRowDxfId="443">
  <autoFilter ref="A22:W61" xr:uid="{477F2392-8AC8-46A7-8C06-CF25939A1252}"/>
  <tableColumns count="23">
    <tableColumn id="26" xr3:uid="{57558B12-C69C-43F4-80D1-E9148323AD68}" name="Date" totalsRowLabel="Total" dataDxfId="442" totalsRowDxfId="441"/>
    <tableColumn id="27" xr3:uid="{C081186B-3CF0-4F36-BBF8-C85991759937}" name="Truck" dataDxfId="440" totalsRowDxfId="439"/>
    <tableColumn id="28" xr3:uid="{95011997-1037-4513-96C6-67B6C11BA7E5}" name="Destination" dataDxfId="438" totalsRowDxfId="437"/>
    <tableColumn id="1" xr3:uid="{4753CCCB-C832-4557-9C05-030C5DBF414E}" name="Location" dataDxfId="436" totalsRowDxfId="435"/>
    <tableColumn id="2" xr3:uid="{DF8A6EEA-4AD8-47B3-9EC8-443BA0D84AC3}" name="Tick/ %Full" dataDxfId="434" totalsRowDxfId="433"/>
    <tableColumn id="3" xr3:uid="{33993A29-1862-46A8-8DCD-96C28892B40F}" name="Client" dataDxfId="432" totalsRowDxfId="431"/>
    <tableColumn id="4" xr3:uid="{4145ACD2-EFCD-4F2C-8CB7-19A397A06A1C}" name="Farm" dataDxfId="430" totalsRowDxfId="429"/>
    <tableColumn id="5" xr3:uid="{51AB5350-5ECD-4A22-9739-22A38F66773B}" name="Field" dataDxfId="428" totalsRowDxfId="427"/>
    <tableColumn id="6" xr3:uid="{2F8644EE-64C3-4EB9-A34C-4C2D242A1D03}" name="Crop" dataDxfId="426" totalsRowDxfId="425"/>
    <tableColumn id="7" xr3:uid="{4B702E24-B700-4289-B691-4073F43B10EF}" name="Variety" dataDxfId="424" totalsRowDxfId="423"/>
    <tableColumn id="8" xr3:uid="{AD0DABD6-F1A1-4240-824D-E175DB943BD5}" name="AVG" dataDxfId="422" totalsRowDxfId="421"/>
    <tableColumn id="9" xr3:uid="{1444BC5D-5132-4A1B-B2F5-1C51D225520E}" name="~#" dataDxfId="420" totalsRowDxfId="419"/>
    <tableColumn id="10" xr3:uid="{685D9E62-7A17-4382-9428-EF9BD1F4A94A}" name="Gross/ -Truck Net" dataDxfId="418" totalsRowDxfId="417"/>
    <tableColumn id="11" xr3:uid="{DFE1900A-3F0A-41A9-B6B6-3EB9E78B184C}" name="Tare" dataDxfId="416" totalsRowDxfId="415"/>
    <tableColumn id="12" xr3:uid="{1F245E37-91AA-44BF-B6C0-85BA9180788F}" name="Net" totalsRowFunction="sum" dataDxfId="414" totalsRowDxfId="413">
      <calculatedColumnFormula>(corntbl17[[#This Row],[Gross/ -Truck Net]]-corntbl17[[#This Row],[Tare]])</calculatedColumnFormula>
    </tableColumn>
    <tableColumn id="13" xr3:uid="{D27EFB20-1DED-4D9B-BB3A-B3AE9528B6E6}" name="TW" dataDxfId="412" totalsRowDxfId="411"/>
    <tableColumn id="14" xr3:uid="{364152E5-2995-4C90-965B-416747FF00E5}" name="Mois." dataDxfId="410" totalsRowDxfId="409"/>
    <tableColumn id="15" xr3:uid="{59C8AB5A-A205-497C-8C6B-CBDC8557E5B8}" name="Dockage" dataDxfId="408" totalsRowDxfId="407"/>
    <tableColumn id="16" xr3:uid="{612817CA-2236-42C7-85CB-6AC417FC0BF1}" name="Dry $" dataDxfId="406" totalsRowDxfId="405"/>
    <tableColumn id="17" xr3:uid="{6912AA40-F4B0-4CA3-A514-45B94C20B26C}" name="Gross Units" dataDxfId="404" totalsRowDxfId="403">
      <calculatedColumnFormula>corntbl17[[#This Row],[Net]]/56</calculatedColumnFormula>
    </tableColumn>
    <tableColumn id="18" xr3:uid="{04FB4434-1508-401D-8C60-3FCC2F39B3A0}" name="Shrink" totalsRowFunction="sum" dataDxfId="402" totalsRowDxfId="401"/>
    <tableColumn id="19" xr3:uid="{7AFA992A-9BCA-4ABD-A73A-4318745E1BD2}" name="Dockage2" dataDxfId="400" totalsRowDxfId="399"/>
    <tableColumn id="20" xr3:uid="{2D72349D-99DD-422A-83D6-435913DEC35F}" name="Net Units" dataDxfId="398" totalsRowDxfId="397">
      <calculatedColumnFormula>corntbl17[[#This Row],[Gross Units]]-corntbl17[[#This Row],[Shrink]]</calculatedColumnFormula>
    </tableColumn>
  </tableColumns>
  <tableStyleInfo name="TableStyleMedium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4D7627E-DC59-4AAC-9FA1-E6AD4D4F3A28}" name="Table21" displayName="Table21" ref="B3:Q17" totalsRowCount="1" headerRowDxfId="396" dataDxfId="395">
  <autoFilter ref="B3:Q16" xr:uid="{84D7627E-DC59-4AAC-9FA1-E6AD4D4F3A28}"/>
  <tableColumns count="16">
    <tableColumn id="1" xr3:uid="{380F24BE-6517-44B9-8EBD-3B93A14442AD}" name="Farm" dataDxfId="394" totalsRowDxfId="393"/>
    <tableColumn id="2" xr3:uid="{E5E00CDB-1B79-4E44-981B-DE095EF52982}" name="Field" dataDxfId="392" totalsRowDxfId="391"/>
    <tableColumn id="3" xr3:uid="{3173B342-610E-4DE0-B649-7EE4C35CDA9E}" name="Legal" dataDxfId="390" totalsRowDxfId="389"/>
    <tableColumn id="4" xr3:uid="{10D3EF06-C19D-4544-BFC3-024F3CC62A03}" name="FSA Farm" dataDxfId="388" totalsRowDxfId="387"/>
    <tableColumn id="5" xr3:uid="{A389E5E4-F3DF-4C1A-A2B7-E9A3105D9919}" name="Tract" dataDxfId="386" totalsRowDxfId="385"/>
    <tableColumn id="6" xr3:uid="{D7CEDA1F-5C1A-495E-A5EB-237DC5499DDA}" name="Acres" dataDxfId="384" totalsRowDxfId="383"/>
    <tableColumn id="7" xr3:uid="{DCBC9C47-5A17-49C1-825A-64D503D49C4E}" name="Ins Cost / A" dataDxfId="382" totalsRowDxfId="381"/>
    <tableColumn id="8" xr3:uid="{DF6C426F-C435-49AE-AEA1-2B2B37916EDB}" name="APH" dataDxfId="380" totalsRowDxfId="379"/>
    <tableColumn id="9" xr3:uid="{AEC111EF-59F3-405E-9A32-EE343E164B50}" name="Spec Yield" totalsRowFunction="custom" dataDxfId="378" totalsRowDxfId="377">
      <totalsRowFormula>AVERAGE(Table21[Spec Yield])</totalsRowFormula>
    </tableColumn>
    <tableColumn id="10" xr3:uid="{0CD0D329-A6D4-4D5C-AF3A-1D8F34A72F04}" name="Spec Bu" totalsRowFunction="sum" dataDxfId="376" totalsRowDxfId="375">
      <calculatedColumnFormula>Table21[[#This Row],[Spec Yield]]*Table21[[#This Row],[Acres]]</calculatedColumnFormula>
    </tableColumn>
    <tableColumn id="11" xr3:uid="{D42A873C-780C-4B3A-9671-B8E5D8AB644F}" name="M77%" dataDxfId="374" totalsRowDxfId="373"/>
    <tableColumn id="12" xr3:uid="{44503A02-BC66-4BCB-8B61-2DA5A6CD1039}" name="LL %" dataDxfId="372" totalsRowDxfId="371"/>
    <tableColumn id="13" xr3:uid="{B00DA383-9A48-4F6D-B4C7-2AC7385CC89B}" name="M77 BU" totalsRowFunction="sum" dataDxfId="370" totalsRowDxfId="369">
      <calculatedColumnFormula>Table21[[#This Row],[M77%]]*Table21[[#This Row],[Spec Bu]]</calculatedColumnFormula>
    </tableColumn>
    <tableColumn id="14" xr3:uid="{C449CC17-3F1F-490B-A1FE-3FC9F74ACC25}" name="LL BU" totalsRowFunction="sum" dataDxfId="368" totalsRowDxfId="367">
      <calculatedColumnFormula>Table21[[#This Row],[LL %]]*Table21[[#This Row],[Spec Bu]]</calculatedColumnFormula>
    </tableColumn>
    <tableColumn id="15" xr3:uid="{2472D1CB-B95B-456A-8726-9CA253398406}" name="ActBu2" dataDxfId="366" totalsRowDxfId="365"/>
    <tableColumn id="16" xr3:uid="{18CB8BB6-B0C6-479A-93BD-BA8CA151CD7A}" name="Ins %2" dataDxfId="364" totalsRowDxfId="363"/>
  </tableColumns>
  <tableStyleInfo name="TableStyleMedium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67B71C7-CF02-42F0-9B7C-4056A3562FF9}" name="Table22" displayName="Table22" ref="A7:R18" totalsRowCount="1" headerRowDxfId="345" dataDxfId="344" totalsRowDxfId="343">
  <autoFilter ref="A7:R17" xr:uid="{F67B71C7-CF02-42F0-9B7C-4056A3562FF9}"/>
  <tableColumns count="18">
    <tableColumn id="1" xr3:uid="{37D42B3C-EB89-4714-A526-A7B4963C2625}" name="Client" totalsRowLabel="Total" dataDxfId="342" totalsRowDxfId="341"/>
    <tableColumn id="2" xr3:uid="{AD9B153E-99EE-4C65-8783-2EAD87D380B5}" name="Farm" dataDxfId="340" totalsRowDxfId="339"/>
    <tableColumn id="3" xr3:uid="{E16B95AF-55FE-48AA-9016-B40598BB4DF6}" name="Field" dataDxfId="338" totalsRowDxfId="337"/>
    <tableColumn id="4" xr3:uid="{432FC273-16A7-463D-AD6B-7729F7652376}" name="Legal" dataDxfId="336" totalsRowDxfId="335"/>
    <tableColumn id="5" xr3:uid="{EAC41964-C6C6-47F9-928F-FEBD2A688B15}" name="FSA Farm" dataDxfId="334" totalsRowDxfId="333"/>
    <tableColumn id="6" xr3:uid="{44A6597B-9DCA-470B-8641-D48816B0D4B2}" name="Tract" dataDxfId="332" totalsRowDxfId="331"/>
    <tableColumn id="7" xr3:uid="{3A059D26-63C5-45FA-8F1D-B8B4FBDC7068}" name="Acres" dataDxfId="330" totalsRowDxfId="329"/>
    <tableColumn id="8" xr3:uid="{2D8F4546-ED8E-4ED8-84F3-334D727B3C92}" name="Soil" dataDxfId="328" totalsRowDxfId="327"/>
    <tableColumn id="9" xr3:uid="{DBAB905A-36ED-420A-88EB-52CD79D09D73}" name="County" dataDxfId="326" totalsRowDxfId="325"/>
    <tableColumn id="10" xr3:uid="{FAFB0953-D6E3-4545-A81D-DA8C6B071DE9}" name="SPEC YI" totalsRowFunction="average" dataDxfId="324" totalsRowDxfId="323"/>
    <tableColumn id="11" xr3:uid="{8119013A-6893-4467-BE71-F6C479A2A99E}" name="SPEC BU" totalsRowFunction="sum" dataDxfId="322" totalsRowDxfId="321">
      <calculatedColumnFormula>Table22[[#This Row],[SPEC YI]]*Table22[[#This Row],[Acres]]</calculatedColumnFormula>
    </tableColumn>
    <tableColumn id="12" xr3:uid="{C998FDA7-C2BF-426A-8D9B-4E118CE2698B}" name="M77 %" dataDxfId="320" totalsRowDxfId="319"/>
    <tableColumn id="13" xr3:uid="{F05C19BF-DBEB-446D-A3A6-3F5DED0FA0FD}" name="LL %" dataDxfId="318" totalsRowDxfId="317"/>
    <tableColumn id="14" xr3:uid="{3E6EABF1-8A1A-42F1-BC42-5485532C261E}" name="SP M77 BU" totalsRowFunction="sum" dataDxfId="316" totalsRowDxfId="315">
      <calculatedColumnFormula>Table22[[#This Row],[M77 %]]*Table22[[#This Row],[SPEC BU]]</calculatedColumnFormula>
    </tableColumn>
    <tableColumn id="15" xr3:uid="{0E9D9C6F-F8E6-4C4B-AE97-B33F403C476E}" name="SP LL BU " totalsRowFunction="sum" dataDxfId="314" totalsRowDxfId="313">
      <calculatedColumnFormula>Table22[[#This Row],[LL %]]*Table22[[#This Row],[SPEC BU]]</calculatedColumnFormula>
    </tableColumn>
    <tableColumn id="16" xr3:uid="{650ECAA0-4688-44B0-9195-B7B654D678C4}" name="Spec $" dataDxfId="312" totalsRowDxfId="311"/>
    <tableColumn id="17" xr3:uid="{5BCAC0BF-9547-4B1A-BC34-A230244CE2F4}" name="M77$" dataDxfId="310" totalsRowDxfId="309"/>
    <tableColumn id="18" xr3:uid="{CE825D97-F0B0-4C20-95E7-F2068667A7A8}" name="LL$" dataDxfId="308" totalsRowDxfId="307"/>
  </tableColumns>
  <tableStyleInfo name="TableStyleMedium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E528DB2D-6C3A-427E-BF40-696C0816D39C}" name="HARVESTTBL3777" displayName="HARVESTTBL3777" ref="A4:Y66" totalsRowCount="1" headerRowDxfId="306" dataDxfId="305" totalsRowDxfId="304">
  <autoFilter ref="A4:Y65" xr:uid="{0E16A937-7CA6-4AA9-9C24-D6AA5794E586}"/>
  <sortState xmlns:xlrd2="http://schemas.microsoft.com/office/spreadsheetml/2017/richdata2" ref="A5:Y65">
    <sortCondition ref="A4:A65"/>
  </sortState>
  <tableColumns count="25">
    <tableColumn id="1" xr3:uid="{25FF84ED-29F0-4EB5-BBA9-B8457C0082E8}" name="Date" totalsRowLabel="TOTALS" dataDxfId="303" totalsRowDxfId="302"/>
    <tableColumn id="24" xr3:uid="{F3E150CD-4CEB-42CA-8FA9-05681ABF185C}" name="Crop" dataDxfId="301" totalsRowDxfId="300"/>
    <tableColumn id="25" xr3:uid="{AF64B918-76C1-4B59-ABFD-0DCEDCD1D819}" name="Truck" dataDxfId="299" totalsRowDxfId="298"/>
    <tableColumn id="2" xr3:uid="{F44A813A-3223-49A4-9F35-36042E65223C}" name="Location" dataDxfId="297" totalsRowDxfId="296"/>
    <tableColumn id="3" xr3:uid="{7E3936AF-1F19-4AB0-8278-4111A06857E6}" name="Ticket #" dataDxfId="295" totalsRowDxfId="294"/>
    <tableColumn id="4" xr3:uid="{4C609B20-38B6-4759-A82F-22ECA07CEDD7}" name="Client" dataDxfId="293" totalsRowDxfId="292"/>
    <tableColumn id="5" xr3:uid="{A83207E1-1460-4744-9B96-0003D04AAEEE}" name="Farm" dataDxfId="291" totalsRowDxfId="290"/>
    <tableColumn id="6" xr3:uid="{83BAD260-0FAD-42A4-B74B-8EA8A97BD484}" name="Field" dataDxfId="289" totalsRowDxfId="288"/>
    <tableColumn id="7" xr3:uid="{BE57DDFF-923F-46D9-9B7A-FDB503262C0C}" name="Variety" dataDxfId="287" totalsRowDxfId="286"/>
    <tableColumn id="8" xr3:uid="{DF180FBC-D1D7-4313-9197-1C8B4E58DA6B}" name="Gross" dataDxfId="285" totalsRowDxfId="284"/>
    <tableColumn id="9" xr3:uid="{05C5767A-2239-4471-9FCD-F9A2392B598D}" name="Tare" dataDxfId="283" totalsRowDxfId="282"/>
    <tableColumn id="10" xr3:uid="{E3074708-55A9-498F-860E-FBDD476A76CC}" name="Net" totalsRowFunction="sum" dataDxfId="281" totalsRowDxfId="280">
      <calculatedColumnFormula>J5-K5</calculatedColumnFormula>
    </tableColumn>
    <tableColumn id="11" xr3:uid="{7633F011-F84B-4B3D-AA32-16C482A37338}" name="TW" dataDxfId="279" totalsRowDxfId="278"/>
    <tableColumn id="12" xr3:uid="{8789CDEE-2A77-4046-BD88-6D54B1815795}" name="Mois." dataDxfId="277" totalsRowDxfId="276"/>
    <tableColumn id="13" xr3:uid="{012EC40A-A4E1-430B-907C-2B6F9473C0A9}" name="Dock" totalsRowFunction="average" dataDxfId="275" totalsRowDxfId="274"/>
    <tableColumn id="14" xr3:uid="{486666CB-4501-4EB5-A098-03AFE842D87B}" name="Prot" totalsRowFunction="average" dataDxfId="273" totalsRowDxfId="272"/>
    <tableColumn id="15" xr3:uid="{F060FB25-1709-425C-8C84-DA350ED16A37}" name="Gross Units" totalsRowFunction="sum" dataDxfId="271" totalsRowDxfId="270">
      <calculatedColumnFormula>L5/60</calculatedColumnFormula>
    </tableColumn>
    <tableColumn id="16" xr3:uid="{3A84C58C-7F69-44CE-90FD-900D73C15D55}" name="Shrink" dataDxfId="269" totalsRowDxfId="268"/>
    <tableColumn id="17" xr3:uid="{3BF1DA0B-6F21-48A5-9EF5-8570FCCD1EEF}" name="Dockage2" dataDxfId="267" totalsRowDxfId="266">
      <calculatedColumnFormula>Q5*O5</calculatedColumnFormula>
    </tableColumn>
    <tableColumn id="18" xr3:uid="{3B422F06-7469-4305-8375-8F4718BB5B84}" name="Net Units" totalsRowFunction="sum" dataDxfId="265" totalsRowDxfId="264">
      <calculatedColumnFormula>HARVESTTBL3777[[#This Row],[Gross Units]]-(HARVESTTBL3777[[#This Row],[Shrink]]/60)-(HARVESTTBL3777[[#This Row],[Dockage2]]/60)</calculatedColumnFormula>
    </tableColumn>
    <tableColumn id="19" xr3:uid="{304AEEF0-CB21-4A1F-9319-ED83CABAF4C0}" name="Shares" dataDxfId="263" totalsRowDxfId="262"/>
    <tableColumn id="20" xr3:uid="{B91AF045-24A0-49CE-94E7-57FC50930476}" name="MCC. ENT." dataDxfId="261" totalsRowDxfId="260"/>
    <tableColumn id="21" xr3:uid="{EDCA5598-8D86-4299-9DD2-87F2E6D03540}" name="L.L." dataDxfId="259" totalsRowDxfId="258"/>
    <tableColumn id="22" xr3:uid="{69DBE5A7-BA3A-4656-876D-937F32EA6D39}" name="MCC. ENT. BU" totalsRowFunction="sum" dataDxfId="257" totalsRowDxfId="256">
      <calculatedColumnFormula>T5*V5</calculatedColumnFormula>
    </tableColumn>
    <tableColumn id="23" xr3:uid="{8C0D90D5-4B77-46C2-9651-A20A3546F935}" name="L.L. BU" totalsRowFunction="sum" dataDxfId="255" totalsRowDxfId="254">
      <calculatedColumnFormula>T5*W5</calculatedColumnFormula>
    </tableColumn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EE5DC528-9121-4344-81DE-5E8A2AAE9479}" name="WheatYield4078" displayName="WheatYield4078" ref="A71:T78" totalsRowCount="1" headerRowDxfId="253" dataDxfId="252" totalsRowDxfId="251">
  <autoFilter ref="A71:T77" xr:uid="{44F18BF6-D08E-4397-88F0-4DAF560920CE}"/>
  <tableColumns count="20">
    <tableColumn id="1" xr3:uid="{4BC033D4-359E-4296-9DCB-6E56B7208339}" name="Client " totalsRowLabel="Total" dataDxfId="250" totalsRowDxfId="249"/>
    <tableColumn id="2" xr3:uid="{4502F5C3-FA31-44F9-B58D-7DE065BA389A}" name="Farm " dataDxfId="248" totalsRowDxfId="247"/>
    <tableColumn id="3" xr3:uid="{3A93108D-F6CA-4382-8953-2EBA31FAA162}" name="Field" dataDxfId="246" totalsRowDxfId="245"/>
    <tableColumn id="4" xr3:uid="{E1A14A9A-A1B9-4E98-BCD2-1F6E8AAD468B}" name="Acres" totalsRowFunction="sum" dataDxfId="244" totalsRowDxfId="243">
      <calculatedColumnFormula>VLOOKUP(WheatYield4078[[#This Row],[Field]],FFTBL[[Field]:[COUNTY]],2,FALSE)</calculatedColumnFormula>
    </tableColumn>
    <tableColumn id="5" xr3:uid="{2F928C1E-4A18-4F9D-83ED-494A494831AC}" name="Legal" dataDxfId="242" totalsRowDxfId="241">
      <calculatedColumnFormula>VLOOKUP(WheatYield4078[[#This Row],[Field]],FFTBL[[Field]:[COUNTY]],3,FALSE)</calculatedColumnFormula>
    </tableColumn>
    <tableColumn id="6" xr3:uid="{15E33EA1-B6F1-4AC7-B55E-73AC0A48D661}" name="FSA Farm" dataDxfId="240" totalsRowDxfId="239">
      <calculatedColumnFormula>VLOOKUP(WheatYield4078[[#This Row],[Field]],FFTBL[[Field]:[COUNTY]],4,FALSE)</calculatedColumnFormula>
    </tableColumn>
    <tableColumn id="7" xr3:uid="{D4E5064D-9AB1-44B1-B62C-77BF9A63620E}" name="Tract" dataDxfId="238" totalsRowDxfId="237">
      <calculatedColumnFormula>VLOOKUP(WheatYield4078[[#This Row],[Field]],FFTBL[[Field]:[COUNTY]],5,FALSE)</calculatedColumnFormula>
    </tableColumn>
    <tableColumn id="8" xr3:uid="{E3D63E9F-798F-4473-8CFD-F5D7AAB7A1C1}" name="Crop" dataDxfId="236" totalsRowDxfId="235"/>
    <tableColumn id="9" xr3:uid="{23311379-64AC-4DEE-B18A-DEF33A102CCA}" name="Variety" dataDxfId="234" totalsRowDxfId="233"/>
    <tableColumn id="10" xr3:uid="{D37E404C-8529-4CAE-9577-E7F5ED129738}" name="Yield/ Acre" totalsRowFunction="average" dataDxfId="232" totalsRowDxfId="231">
      <calculatedColumnFormula>IFERROR(WheatYield4078[[#This Row],[Total Bushels]]/WheatYield4078[[#This Row],[Acres]],"")</calculatedColumnFormula>
    </tableColumn>
    <tableColumn id="11" xr3:uid="{02B4F762-EFD7-4C98-A2FF-6E58AA6CF6A5}" name="Total #'s" dataDxfId="230" totalsRowDxfId="229">
      <calculatedColumnFormula>SUMIF(HARVESTTBL3777[Field],WheatYield4078[[#This Row],[Field]],HARVESTTBL3777[Net])</calculatedColumnFormula>
    </tableColumn>
    <tableColumn id="12" xr3:uid="{DAAB0F8A-565D-43F3-BA25-95B1D0339121}" name="Total Bushels" totalsRowFunction="sum" dataDxfId="228" totalsRowDxfId="227">
      <calculatedColumnFormula>SUMIF(HARVESTTBL3777[Field],WheatYield4078[[#This Row],[Field]],HARVESTTBL3777[Net Units])</calculatedColumnFormula>
    </tableColumn>
    <tableColumn id="13" xr3:uid="{C8DDCC2E-A004-44CD-83DC-5E459774FA7D}" name="Total MCCENT" totalsRowFunction="sum" dataDxfId="226" totalsRowDxfId="225">
      <calculatedColumnFormula>WheatYield4078[[#This Row],[Total Bushels]]*0.65</calculatedColumnFormula>
    </tableColumn>
    <tableColumn id="14" xr3:uid="{9A9CCC7D-0816-42BC-BF4B-333BB40F2906}" name="Total L.L." totalsRowFunction="sum" dataDxfId="224" totalsRowDxfId="223">
      <calculatedColumnFormula>WheatYield4078[[#This Row],[Total Bushels]]*0.35</calculatedColumnFormula>
    </tableColumn>
    <tableColumn id="15" xr3:uid="{3DC7C7B1-9CA2-4AE2-9D3E-F12570FE6628}" name="TOTAL EXP" totalsRowFunction="sum" dataDxfId="222" totalsRowDxfId="221">
      <calculatedColumnFormula>SUMIF(EXPENSETBL4583[FIELD],WheatYield4078[[#This Row],[Field]],EXPENSETBL4583[TOTAL])</calculatedColumnFormula>
    </tableColumn>
    <tableColumn id="16" xr3:uid="{A81CE8E3-E61B-4DDC-816B-735A3CB6A1B5}" name="BREAKEVEN" totalsRowFunction="custom" dataDxfId="220" totalsRowDxfId="219">
      <calculatedColumnFormula>WheatYield4078[[#This Row],[TOTAL EXP]]/WheatYield4078[[#This Row],[Total Bushels]]</calculatedColumnFormula>
      <totalsRowFormula>WheatYield4078[[#Totals],[TOTAL EXP]]/WheatYield4078[[#Totals],[Total Bushels]]</totalsRowFormula>
    </tableColumn>
    <tableColumn id="17" xr3:uid="{F36298CB-8910-4E9C-9D9E-73E0F2E1DCCA}" name="TOTME" totalsRowFunction="sum" dataDxfId="218" totalsRowDxfId="217">
      <calculatedColumnFormula>SUMIF(EXPENSETBL4583[FIELD],WheatYield4078[[#This Row],[Field]],EXPENSETBL4583[$M.E.])</calculatedColumnFormula>
    </tableColumn>
    <tableColumn id="18" xr3:uid="{83363F5C-E7E1-4828-86E6-79E7FD61BA7C}" name="ME BE" totalsRowFunction="custom" dataDxfId="216" totalsRowDxfId="215">
      <calculatedColumnFormula>WheatYield4078[[#This Row],[TOTME]]/WheatYield4078[[#This Row],[Total MCCENT]]</calculatedColumnFormula>
      <totalsRowFormula>WheatYield4078[[#Totals],[TOTME]]/WheatYield4078[[#Totals],[Total MCCENT]]</totalsRowFormula>
    </tableColumn>
    <tableColumn id="19" xr3:uid="{77F66349-7FBF-4A72-854E-38EEAFE455BE}" name="TOT LL" totalsRowFunction="sum" dataDxfId="214" totalsRowDxfId="213">
      <calculatedColumnFormula>SUMIF(EXPENSETBL4583[FIELD],WheatYield4078[[#This Row],[Field]],EXPENSETBL4583[$L.L.])</calculatedColumnFormula>
    </tableColumn>
    <tableColumn id="20" xr3:uid="{5F8EEC20-1A17-41B3-B934-8F42F652E74A}" name="LL BE" totalsRowFunction="custom" dataDxfId="212" totalsRowDxfId="211">
      <calculatedColumnFormula>WheatYield4078[[#This Row],[TOT LL]]/WheatYield4078[[#This Row],[Total L.L.]]</calculatedColumnFormula>
      <totalsRowFormula>WheatYield4078[[#Totals],[TOT LL]]/WheatYield4078[[#Totals],[Total L.L.]]</totalsRowFormula>
    </tableColumn>
  </tableColumns>
  <tableStyleInfo name="TableStyleMedium2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9034742A-A36C-42E2-A818-146A4C899E69}" name="Table1117254179" displayName="Table1117254179" ref="A170:P179" totalsRowCount="1" headerRowDxfId="210" dataDxfId="209" totalsRowDxfId="208">
  <autoFilter ref="A170:P178" xr:uid="{D550E0B5-0871-4763-8587-36A7184DD9B6}"/>
  <tableColumns count="16">
    <tableColumn id="1" xr3:uid="{A43697D9-9057-46C5-8E74-442540476323}" name="Client " totalsRowLabel="Total" dataDxfId="207" totalsRowDxfId="206"/>
    <tableColumn id="2" xr3:uid="{1F505AE2-AAEA-4D31-B7A7-C352ECEC9E3A}" name="Farm " dataDxfId="205" totalsRowDxfId="204"/>
    <tableColumn id="3" xr3:uid="{9E92CFFE-3F2B-42E4-B521-CCE6B0FC761C}" name="Field" dataDxfId="203" totalsRowDxfId="202"/>
    <tableColumn id="4" xr3:uid="{2FE4D231-8FA3-4AD0-B4DC-D1E50E1A8296}" name="Acres" totalsRowFunction="sum" dataDxfId="201" totalsRowDxfId="200">
      <calculatedColumnFormula>IFERROR((VLOOKUP(Table1117254179[[#This Row],[Field]],FIELDACRE,2,FALSE)),"")</calculatedColumnFormula>
    </tableColumn>
    <tableColumn id="5" xr3:uid="{07112DF8-1FD9-44B5-9C30-63F9419F29BE}" name="Legal" dataDxfId="199" totalsRowDxfId="198">
      <calculatedColumnFormula>IFERROR(VLOOKUP(Table1117254179[[#This Row],[Field]],FIELDACRE,3,FALSE),"")</calculatedColumnFormula>
    </tableColumn>
    <tableColumn id="6" xr3:uid="{4DA81DA7-3B08-478D-8D61-CE8CE119F528}" name="FSA Farm" dataDxfId="197" totalsRowDxfId="196">
      <calculatedColumnFormula>IFERROR(VLOOKUP(Table1117254179[[#This Row],[Field]],FIELDACRE,4,FALSE),"")</calculatedColumnFormula>
    </tableColumn>
    <tableColumn id="7" xr3:uid="{BD052FA9-0D6E-41D6-B93A-F40C2C77CD17}" name="Tract" dataDxfId="195" totalsRowDxfId="194">
      <calculatedColumnFormula>IFERROR(VLOOKUP(Table1117254179[[#This Row],[Field]],FIELDACRE,5,FALSE),"")</calculatedColumnFormula>
    </tableColumn>
    <tableColumn id="8" xr3:uid="{383C45EC-2F57-454C-8386-FF4CC7573F61}" name="Crop" dataDxfId="193" totalsRowDxfId="192"/>
    <tableColumn id="9" xr3:uid="{ACFC415C-402C-4CD3-B44F-A33CF1DC7145}" name="Variety" dataDxfId="191" totalsRowDxfId="190"/>
    <tableColumn id="10" xr3:uid="{B32BB8CE-829B-4D41-8A34-E375070047DC}" name="Yield/ Acre" totalsRowFunction="average" dataDxfId="189" totalsRowDxfId="188">
      <calculatedColumnFormula>(Table1117254179[[#This Row],[TOT '#]]/2000)/Table1117254179[[#This Row],[Acres]]</calculatedColumnFormula>
    </tableColumn>
    <tableColumn id="11" xr3:uid="{32BDB5DA-2F34-443F-8F9A-D768D563DBD1}" name="TOT #" dataDxfId="187" totalsRowDxfId="186">
      <calculatedColumnFormula>SUMIF(#REF!,Table1117254179[[#This Row],[Field]],#REF!)</calculatedColumnFormula>
    </tableColumn>
    <tableColumn id="12" xr3:uid="{5B5A1D96-01BA-44FE-B941-EB904ADD4C1A}" name="TOT BALES" dataDxfId="185" totalsRowDxfId="184">
      <calculatedColumnFormula>SUMIF(#REF!,Table1117254179[[#This Row],[Field]],#REF!)</calculatedColumnFormula>
    </tableColumn>
    <tableColumn id="13" xr3:uid="{01F26529-EA50-4756-9001-8FD038B9054B}" name="TOT. ME" dataDxfId="183" totalsRowDxfId="182">
      <calculatedColumnFormula>Table1117254179[[#This Row],[TOT BALES]]*0.65</calculatedColumnFormula>
    </tableColumn>
    <tableColumn id="14" xr3:uid="{4A50CA28-64A5-40DD-85C1-F90498492267}" name="TOT LL" dataDxfId="181" totalsRowDxfId="180">
      <calculatedColumnFormula>Table1117254179[[#This Row],[TOT BALES]]*0.35</calculatedColumnFormula>
    </tableColumn>
    <tableColumn id="15" xr3:uid="{6CF4391B-8716-4270-ACC6-FDE00F971E35}" name="TOT EXP$" dataDxfId="179" totalsRowDxfId="178">
      <calculatedColumnFormula>SUMIF(EXPENSETBL4583[FIELD],Table1117254179[[#This Row],[Field]],EXPENSETBL4583[TOTAL])</calculatedColumnFormula>
    </tableColumn>
    <tableColumn id="16" xr3:uid="{708DEE2A-9A46-48E4-A067-BACD2381935E}" name="BREAKEVEN" dataDxfId="177" totalsRowDxfId="176">
      <calculatedColumnFormula>((Table1117254179[[#This Row],[TOT EXP$]]/Table1117254179[[#This Row],[Yield/ Acre]])/Table1117254179[[#This Row],[Acres]])/0.75</calculatedColumnFormula>
    </tableColumn>
  </tableColumns>
  <tableStyleInfo name="TableStyleMedium2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92939B4-1968-459C-B55E-CC988F5562F9}" name="Table314280" displayName="Table314280" ref="A80:H88" totalsRowCount="1" headerRowDxfId="175" dataDxfId="174">
  <autoFilter ref="A80:H87" xr:uid="{321D85CD-0A59-45C5-8308-D126BF8CEBAF}"/>
  <tableColumns count="8">
    <tableColumn id="1" xr3:uid="{BF2BB604-BB4B-40BB-8BA5-9500D9B99574}" name="Settlement #" totalsRowLabel="Total" dataDxfId="173" totalsRowDxfId="172"/>
    <tableColumn id="2" xr3:uid="{31B932DD-5932-4581-BFBE-6A3025130F4E}" name="Price" totalsRowFunction="average" dataDxfId="171" totalsRowDxfId="170"/>
    <tableColumn id="3" xr3:uid="{A8750325-CFA7-4CB0-8D39-6874F0B9B34C}" name="Bushels" totalsRowFunction="sum" dataDxfId="169" totalsRowDxfId="168"/>
    <tableColumn id="4" xr3:uid="{E0E58A26-12F5-4F7F-87EA-1BF9C6120C25}" name="INT $" totalsRowFunction="sum" dataDxfId="167" totalsRowDxfId="166"/>
    <tableColumn id="5" xr3:uid="{487E393D-857B-48B3-90E8-0551A2726F1C}" name="Bonus" totalsRowFunction="sum" dataDxfId="165" totalsRowDxfId="164"/>
    <tableColumn id="6" xr3:uid="{AC6A5EA9-A43B-47C2-A8B1-18C770BABB27}" name="DISCOUNTS" totalsRowFunction="sum" dataDxfId="163" totalsRowDxfId="162"/>
    <tableColumn id="7" xr3:uid="{7D71C15D-A100-419B-A794-C254779556F0}" name="TOTAL $" totalsRowFunction="sum" dataDxfId="161" totalsRowDxfId="160">
      <calculatedColumnFormula>(Table314280[[#This Row],[Price]]*Table314280[[#This Row],[Bushels]])-Table314280[[#This Row],[DISCOUNTS]]</calculatedColumnFormula>
    </tableColumn>
    <tableColumn id="8" xr3:uid="{5EDEF581-6E5E-4740-995C-24A3AC1FC403}" name="LOCATION" dataDxfId="159" totalsRowDxfId="158"/>
  </tableColumns>
  <tableStyleInfo name="TableStyleMedium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B5AFE5D0-B9D8-456B-9461-AF0C94F97499}" name="Table324381" displayName="Table324381" ref="A182:I187" totalsRowCount="1" headerRowDxfId="157" dataDxfId="156">
  <autoFilter ref="A182:I186" xr:uid="{59FC206B-D6F3-4F46-8AE6-2C75CC8137E1}"/>
  <tableColumns count="9">
    <tableColumn id="1" xr3:uid="{B3E93A99-54F3-46B3-B5EA-ECF3AB25316D}" name="SOLD TO" totalsRowLabel="Total" dataDxfId="155" totalsRowDxfId="154"/>
    <tableColumn id="2" xr3:uid="{8465B78D-D9E9-45C2-99DF-7A8142CD761C}" name="$/TON" dataDxfId="153" totalsRowDxfId="152"/>
    <tableColumn id="3" xr3:uid="{5DDA5573-BA29-40D5-9063-F671B53C6B0A}" name="TRANS PRICE" dataDxfId="151" totalsRowDxfId="150"/>
    <tableColumn id="4" xr3:uid="{7B7A26FF-9231-45CA-9531-7309D1E3F2B9}" name="TONS" dataDxfId="149" totalsRowDxfId="148"/>
    <tableColumn id="5" xr3:uid="{9BEBF6A1-D4FD-4C89-9895-9B662FFD6388}" name="TRANS $" totalsRowFunction="sum" dataDxfId="147" totalsRowDxfId="146"/>
    <tableColumn id="6" xr3:uid="{3D4E5C89-7384-4557-BD57-6B41704158C4}" name="Bale $" dataDxfId="145" totalsRowDxfId="144">
      <calculatedColumnFormula>Table324381[[#This Row],[TONS]]*Table324381[[#This Row],[$/TON]]</calculatedColumnFormula>
    </tableColumn>
    <tableColumn id="7" xr3:uid="{8106C548-7440-41FF-A855-946212850455}" name="Total $" dataDxfId="143" totalsRowDxfId="142">
      <calculatedColumnFormula>Table324381[[#This Row],[Bale $]]+Table324381[[#This Row],[TRANS $]]</calculatedColumnFormula>
    </tableColumn>
    <tableColumn id="8" xr3:uid="{6429F7B5-4720-486B-99FA-A559E9EE8C55}" name="R/Acre" dataDxfId="141" totalsRowDxfId="140"/>
    <tableColumn id="9" xr3:uid="{222A9F03-48EB-4ED8-9B69-8532F79039CE}" name="Forage" dataDxfId="139" totalsRowDxfId="138"/>
  </tableColumns>
  <tableStyleInfo name="TableStyleMedium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D8BB4B74-1146-42DD-A1C1-C408FEAE91FF}" name="CORNSOLDTBL4482" displayName="CORNSOLDTBL4482" ref="A153:I165" totalsRowCount="1" headerRowDxfId="137" dataDxfId="136" totalsRowDxfId="134" tableBorderDxfId="135" totalsRowBorderDxfId="133">
  <autoFilter ref="A153:I164" xr:uid="{2C191F94-CC66-4C26-ABD6-8E9972551CB2}"/>
  <tableColumns count="9">
    <tableColumn id="1" xr3:uid="{54CCEC89-BCD2-4FA1-9B8B-B197A2F52CBB}" name="Settlement #" totalsRowLabel="Total" dataDxfId="132" totalsRowDxfId="131"/>
    <tableColumn id="2" xr3:uid="{BCDE4F7E-9572-4C43-B020-33A3F96F5381}" name="Price" totalsRowFunction="average" dataDxfId="130" totalsRowDxfId="129"/>
    <tableColumn id="3" xr3:uid="{9066211D-8375-46C3-82A8-3084F7362A83}" name="TOT BU" totalsRowFunction="sum" dataDxfId="128" totalsRowDxfId="127"/>
    <tableColumn id="4" xr3:uid="{CFF57642-D8F2-488B-A2D9-B38E8FC54EAF}" name="DISC BU" dataDxfId="126" totalsRowDxfId="125"/>
    <tableColumn id="5" xr3:uid="{ACBDFE90-C91F-4816-9AE7-DD3FA2A6E173}" name="SOLD BU" totalsRowFunction="sum" dataDxfId="124" totalsRowDxfId="123"/>
    <tableColumn id="6" xr3:uid="{22743B6D-A4A2-4E03-A68D-9EE65FAAAFF9}" name="TOT $" totalsRowFunction="sum" dataDxfId="122" totalsRowDxfId="121" dataCellStyle="Currency" totalsRowCellStyle="Currency">
      <calculatedColumnFormula>CORNSOLDTBL4482[[#This Row],[SOLD BU]]*CORNSOLDTBL4482[[#This Row],[Price]]</calculatedColumnFormula>
    </tableColumn>
    <tableColumn id="7" xr3:uid="{1046A448-B308-455E-AC64-6151CB1892E2}" name="Destination" dataDxfId="120" totalsRowDxfId="119"/>
    <tableColumn id="8" xr3:uid="{A5038AE2-C2B4-4681-9474-BAEF8B44F791}" name="DEDUCTIONS" dataDxfId="118" totalsRowDxfId="117" dataCellStyle="Currency" totalsRowCellStyle="Currency"/>
    <tableColumn id="9" xr3:uid="{B09EC9CF-79F0-45EC-9675-850541F965F9}" name="PAID BUSHELS" totalsRowFunction="sum" dataDxfId="116" totalsRowDxfId="115" dataCellStyle="Currency" totalsRowCellStyle="Currency">
      <calculatedColumnFormula>CORNSOLDTBL4482[[#This Row],[TOT $]]+CORNSOLDTBL4482[[#This Row],[DEDUCTIONS]]</calculatedColumnFormula>
    </tableColumn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C7804107-0218-4866-983F-9A3314376453}" name="EXPENSETBL4583" displayName="EXPENSETBL4583" ref="A190:R420" totalsRowCount="1">
  <autoFilter ref="A190:R419" xr:uid="{86E7160E-6850-4EBE-9652-249900108192}"/>
  <sortState xmlns:xlrd2="http://schemas.microsoft.com/office/spreadsheetml/2017/richdata2" ref="A191:R265">
    <sortCondition ref="F190:F415"/>
  </sortState>
  <tableColumns count="18">
    <tableColumn id="1" xr3:uid="{F6D9C34F-4CE4-4ABB-A252-3AC00B57CB33}" name="DATE" totalsRowLabel="Total"/>
    <tableColumn id="2" xr3:uid="{3F807908-26BA-4629-B7D1-B457F2F8379E}" name="CLIENT"/>
    <tableColumn id="3" xr3:uid="{D0B904DF-D570-43AC-B6C1-2D0CDFFC88F0}" name="FARM"/>
    <tableColumn id="4" xr3:uid="{DF5BA969-74A5-4D2A-A2C8-5ACF7FFF2525}" name="FIELD"/>
    <tableColumn id="5" xr3:uid="{7A769269-927B-4D75-BA29-52A20C1609EC}" name="ACRES" dataDxfId="114">
      <calculatedColumnFormula>VLOOKUP(EXPENSETBL4583[[#This Row],[FIELD]],FFTBL[[Field]:[Acres]],2,FALSE)</calculatedColumnFormula>
    </tableColumn>
    <tableColumn id="6" xr3:uid="{7D6AABB0-C77B-4839-90CC-D61FE879DCEE}" name="CROPOP"/>
    <tableColumn id="7" xr3:uid="{3B5BE109-9459-428A-9399-2D26576BA636}" name="SPLIT"/>
    <tableColumn id="8" xr3:uid="{9A9913A4-9E86-44E3-A290-F9C825D742E7}" name="OPERATION"/>
    <tableColumn id="9" xr3:uid="{C808B426-6BBF-42BE-8A79-B1D4A34EC969}" name="UOM" dataDxfId="113">
      <calculatedColumnFormula>IFERROR(VLOOKUP(EXPENSETBL4583[[#This Row],[OPERATION]],OPERATIONCOST,2,FALSE)," ")</calculatedColumnFormula>
    </tableColumn>
    <tableColumn id="10" xr3:uid="{6EABF3CD-5374-492A-A315-441700A49E6A}" name="$/UOM" totalsRowFunction="sum" dataDxfId="112" totalsRowDxfId="111">
      <calculatedColumnFormula>IFERROR(VLOOKUP(EXPENSETBL4583[[#This Row],[OPERATION]],OPERATIONCOST,3,FALSE)," ")</calculatedColumnFormula>
    </tableColumn>
    <tableColumn id="11" xr3:uid="{437C45BF-6FC8-43B9-8E72-6F4F0B10F270}" name="QTY" totalsRowFunction="sum">
      <calculatedColumnFormula>IF(EXPENSETBL4583[[#This Row],[UOM]]="acre",EXPENSETBL4583[[#This Row],[ACRES]]," ")</calculatedColumnFormula>
    </tableColumn>
    <tableColumn id="13" xr3:uid="{745734FD-12C1-4EF5-9FE9-3C4112D58817}" name="MCC.ENT" dataDxfId="110">
      <calculatedColumnFormula>IF(G191="SPLIT",0.65,1)</calculatedColumnFormula>
    </tableColumn>
    <tableColumn id="14" xr3:uid="{827F893B-A6F1-453D-B3BE-21CDE619CC88}" name="L.L." dataDxfId="109">
      <calculatedColumnFormula>IF(G191="SPLIT",0.35,0)</calculatedColumnFormula>
    </tableColumn>
    <tableColumn id="15" xr3:uid="{9F8A18E7-A963-4FA1-AF3D-1CB33B593929}" name="$M.E." totalsRowFunction="sum" dataDxfId="108" totalsRowDxfId="107">
      <calculatedColumnFormula>IFERROR((EXPENSETBL4583[[#This Row],[MCC.ENT]]*EXPENSETBL4583[[#This Row],[TOTAL]])," ")</calculatedColumnFormula>
    </tableColumn>
    <tableColumn id="16" xr3:uid="{EF5D169F-BAF0-4BD2-A3CB-E4B58F91A47F}" name="$L.L." totalsRowFunction="sum" dataDxfId="106" totalsRowDxfId="105">
      <calculatedColumnFormula>IFERROR((EXPENSETBL4583[[#This Row],[L.L.]]*EXPENSETBL4583[[#This Row],[TOTAL]])," ")</calculatedColumnFormula>
    </tableColumn>
    <tableColumn id="17" xr3:uid="{C5DDEA45-E6F7-40DA-B754-7624AC38FC49}" name="TOTAL" totalsRowFunction="sum" dataDxfId="104" totalsRowDxfId="103">
      <calculatedColumnFormula>IFERROR((EXPENSETBL4583[[#This Row],[QTY]]*EXPENSETBL4583[[#This Row],[$/UOM]])," ")</calculatedColumnFormula>
    </tableColumn>
    <tableColumn id="12" xr3:uid="{15BC83C4-AB73-435A-A035-D8C40A9DA359}" name="CROP" dataDxfId="102"/>
    <tableColumn id="18" xr3:uid="{DB1ACC1D-468B-41FC-8E6B-4E419B05ABAC}" name="YEAR" dataDxfId="101"/>
  </tableColumns>
  <tableStyleInfo name="TableStyleMedium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240A8252-AA01-44D4-8CA7-20FC2D7F7C8C}" name="CORNYIELDPERF84" displayName="CORNYIELDPERF84" ref="A135:T150" totalsRowCount="1" headerRowDxfId="100" dataDxfId="99" totalsRowDxfId="98">
  <autoFilter ref="A135:T149" xr:uid="{21409DA1-C9D3-44EC-90C0-71B1A6739993}">
    <filterColumn colId="8">
      <filters>
        <filter val="P0622AML"/>
        <filter val="P1244AM"/>
      </filters>
    </filterColumn>
  </autoFilter>
  <tableColumns count="20">
    <tableColumn id="1" xr3:uid="{4A982696-9502-40B3-8387-90B36BBBF700}" name="Client " totalsRowLabel="Total" dataDxfId="97" totalsRowDxfId="96"/>
    <tableColumn id="2" xr3:uid="{CB795318-7651-462C-ADBB-B9FB3101B43A}" name="Farm " dataDxfId="95" totalsRowDxfId="94"/>
    <tableColumn id="3" xr3:uid="{B702C7B7-FC0F-458D-AABE-3C506E223471}" name="Field" dataDxfId="93" totalsRowDxfId="92"/>
    <tableColumn id="4" xr3:uid="{B8146603-3DEF-4C57-A899-A49590DF593E}" name="Acres" totalsRowFunction="sum" dataDxfId="91" totalsRowDxfId="90">
      <calculatedColumnFormula>IFERROR((VLOOKUP(CORNYIELDPERF84[[#This Row],[Field]],FIELDACRE,2,FALSE)),"")</calculatedColumnFormula>
    </tableColumn>
    <tableColumn id="5" xr3:uid="{F988C7E0-B9AA-44EA-8D6E-8F51BB99064B}" name="Legal" dataDxfId="89" totalsRowDxfId="88">
      <calculatedColumnFormula>IFERROR(VLOOKUP(CORNYIELDPERF84[[#This Row],[Field]],FIELDACRE,3,FALSE),"")</calculatedColumnFormula>
    </tableColumn>
    <tableColumn id="6" xr3:uid="{B00FBAF5-ACDB-4068-BEF3-FCCAD11380B7}" name="FSA Farm" dataDxfId="87" totalsRowDxfId="86">
      <calculatedColumnFormula>IFERROR(VLOOKUP(CORNYIELDPERF84[[#This Row],[Field]],FIELDACRE,4,FALSE),"")</calculatedColumnFormula>
    </tableColumn>
    <tableColumn id="7" xr3:uid="{4AFFC1DB-9195-4E25-8881-AAB58792AF2E}" name="Tract" dataDxfId="85" totalsRowDxfId="84">
      <calculatedColumnFormula>IFERROR(VLOOKUP(CORNYIELDPERF84[[#This Row],[Field]],FIELDACRE,5,FALSE),"")</calculatedColumnFormula>
    </tableColumn>
    <tableColumn id="8" xr3:uid="{751E1DA5-2394-472F-80DC-4546190A3F89}" name="Crop" dataDxfId="83" totalsRowDxfId="82"/>
    <tableColumn id="9" xr3:uid="{58F7608E-A386-4E60-AA80-0F723830D81E}" name="Variety" dataDxfId="81" totalsRowDxfId="80"/>
    <tableColumn id="10" xr3:uid="{46E109A6-5BF0-4B1C-8058-EBB9E14C778E}" name="Yield/ Acre" totalsRowFunction="average" dataDxfId="79" totalsRowDxfId="78">
      <calculatedColumnFormula>IFERROR(CORNYIELDPERF84[[#This Row],[TOT BU]]/CORNYIELDPERF84[[#This Row],[Acres]],"")</calculatedColumnFormula>
    </tableColumn>
    <tableColumn id="11" xr3:uid="{693C3952-8FFB-4847-9423-E40FC1CC9A63}" name="TOT #" dataDxfId="77" totalsRowDxfId="76">
      <calculatedColumnFormula>SUMIF(corntbl85[Field],CORNYIELDPERF84[[#This Row],[Field]],corntbl85[Net])</calculatedColumnFormula>
    </tableColumn>
    <tableColumn id="12" xr3:uid="{11AA7CEB-061C-4F59-9431-E6E7547B19AE}" name="TOT BU" totalsRowFunction="sum" dataDxfId="75" totalsRowDxfId="74">
      <calculatedColumnFormula>SUMIF(corntbl85[Field],CORNYIELDPERF84[[#This Row],[Field]],corntbl85[Net Units])</calculatedColumnFormula>
    </tableColumn>
    <tableColumn id="13" xr3:uid="{8DA79F50-DCED-403E-8457-7E552E8D2B82}" name="TOT. ME" totalsRowFunction="sum" dataDxfId="73" totalsRowDxfId="72">
      <calculatedColumnFormula>CORNYIELDPERF84[[#This Row],[TOT BU]]*0.65</calculatedColumnFormula>
    </tableColumn>
    <tableColumn id="14" xr3:uid="{4DEEC3D5-5FE7-4C73-BD53-FFC395DFB482}" name="TOT LL" totalsRowFunction="custom" dataDxfId="71" totalsRowDxfId="70">
      <calculatedColumnFormula>CORNYIELDPERF84[[#This Row],[TOT BU]]*0.35</calculatedColumnFormula>
      <totalsRowFormula>SUBTOTAL(109,N136:N149)</totalsRowFormula>
    </tableColumn>
    <tableColumn id="15" xr3:uid="{C4CA8FE1-9E3E-4D5A-973A-79068BEE64EE}" name="TOTAL EXP" dataDxfId="69" totalsRowDxfId="68">
      <calculatedColumnFormula>SUMIF(EXPENSETBL4583[FIELD],CORNYIELDPERF84[[#This Row],[Field]],EXPENSETBL4583[TOTAL])</calculatedColumnFormula>
    </tableColumn>
    <tableColumn id="16" xr3:uid="{5892B889-7984-438D-8A85-BFD045742481}" name="BREAKEVEN" dataDxfId="67" totalsRowDxfId="66">
      <calculatedColumnFormula>CORNYIELDPERF84[[#This Row],[TOTAL EXP]]/CORNYIELDPERF84[[#This Row],[TOT BU]]</calculatedColumnFormula>
    </tableColumn>
    <tableColumn id="17" xr3:uid="{AA74C965-27E4-468F-8049-A53FC70A0D1B}" name="TOTME" dataDxfId="65" totalsRowDxfId="64">
      <calculatedColumnFormula>SUMIF(EXPENSETBL4583[FIELD],CORNYIELDPERF84[[#This Row],[Field]],EXPENSETBL4583[MCC.ENT])</calculatedColumnFormula>
    </tableColumn>
    <tableColumn id="18" xr3:uid="{2028A021-7DAF-4A2A-A4CC-780090627549}" name="ME BE" dataDxfId="63" totalsRowDxfId="62">
      <calculatedColumnFormula>CORNYIELDPERF84[[#This Row],[TOTME]]/CORNYIELDPERF84[[#This Row],[TOT. ME]]</calculatedColumnFormula>
    </tableColumn>
    <tableColumn id="19" xr3:uid="{3620B063-CD40-45BD-85B3-DB219D54D56C}" name="TOT LL2" dataDxfId="61" totalsRowDxfId="60">
      <calculatedColumnFormula>SUMIF(EXPENSETBL4583[FIELD],CORNYIELDPERF84[[#This Row],[Field]],EXPENSETBL4583[L.L.])</calculatedColumnFormula>
    </tableColumn>
    <tableColumn id="20" xr3:uid="{5DDAEE6D-FB93-4605-8954-B8B6FC40A9D8}" name="LL BE" dataDxfId="59" totalsRowDxfId="58">
      <calculatedColumnFormula>CORNYIELDPERF84[[#This Row],[TOT LL2]]/CORNYIELDPERF84[[#This Row],[TOT LL]]</calculatedColumnFormula>
    </tableColumn>
  </tableColumns>
  <tableStyleInfo name="TableStyleMedium2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7D4F1279-4A01-4124-8918-B016E0C44ED8}" name="corntbl85" displayName="corntbl85" ref="A91:AB131" totalsRowCount="1" headerRowDxfId="57" totalsRowDxfId="56">
  <autoFilter ref="A91:AB130" xr:uid="{E633F5CE-C02C-43E5-8BCC-A80936355F1B}"/>
  <tableColumns count="28">
    <tableColumn id="26" xr3:uid="{ECA6C856-1BEF-48BD-826C-67F6BCE15026}" name="Date" totalsRowLabel="Total" dataDxfId="55" totalsRowDxfId="54"/>
    <tableColumn id="27" xr3:uid="{93656A3B-57A2-4C8C-BF17-66C2AA327551}" name="Truck" dataDxfId="53" totalsRowDxfId="52"/>
    <tableColumn id="28" xr3:uid="{F870FD15-3BE5-439F-815B-2DC9DF8F42FC}" name="Destination" dataDxfId="51" totalsRowDxfId="50"/>
    <tableColumn id="1" xr3:uid="{081435C3-AAAA-4C24-B40A-0A08F67B2632}" name="Location" dataDxfId="49" totalsRowDxfId="48"/>
    <tableColumn id="2" xr3:uid="{E119ED2D-B423-4D10-B979-444AF06DC4D3}" name="Tick/ %Full" dataDxfId="47" totalsRowDxfId="46"/>
    <tableColumn id="3" xr3:uid="{4E9804E9-07DA-47D9-AD61-E04F89586580}" name="Client" dataDxfId="45" totalsRowDxfId="44"/>
    <tableColumn id="4" xr3:uid="{713C3D95-8BC9-48DC-A87A-18A2E734808B}" name="Farm" dataDxfId="43" totalsRowDxfId="42"/>
    <tableColumn id="5" xr3:uid="{A237D038-00EC-41DF-A765-9FF65E7A1069}" name="Field" dataDxfId="41" totalsRowDxfId="40"/>
    <tableColumn id="6" xr3:uid="{D24CAD60-7047-4CF5-B463-2D2EB3CE0189}" name="Crop" dataDxfId="39" totalsRowDxfId="38"/>
    <tableColumn id="7" xr3:uid="{815C2128-D751-4C77-8DEC-21C1D5191EFB}" name="Variety" dataDxfId="37" totalsRowDxfId="36"/>
    <tableColumn id="8" xr3:uid="{D3767016-4C50-4CA6-B7D3-AE4226C58864}" name="AVG" dataDxfId="35" totalsRowDxfId="34"/>
    <tableColumn id="9" xr3:uid="{F654CBF6-04C3-4788-8DCF-06B0EAA29403}" name="~#" dataDxfId="33" totalsRowDxfId="32"/>
    <tableColumn id="10" xr3:uid="{D14FA87B-6080-4DE2-A68D-CF04561580E9}" name="Gross/ -Truck Net" dataDxfId="31" totalsRowDxfId="30"/>
    <tableColumn id="11" xr3:uid="{E7276D0D-BF5E-4716-A84A-A9DD9D6A71DA}" name="Tare" dataDxfId="29" totalsRowDxfId="28"/>
    <tableColumn id="12" xr3:uid="{4602A1CE-CC46-4FB3-8B82-4AE85ED43B1D}" name="Net" totalsRowFunction="sum" dataDxfId="27" totalsRowDxfId="26">
      <calculatedColumnFormula>(corntbl85[[#This Row],[Gross/ -Truck Net]]-corntbl85[[#This Row],[Tare]])</calculatedColumnFormula>
    </tableColumn>
    <tableColumn id="13" xr3:uid="{56E2EE5D-8A2B-40D8-B383-2F655039E57B}" name="TW" dataDxfId="25" totalsRowDxfId="24"/>
    <tableColumn id="14" xr3:uid="{184DC99A-D3D4-414A-923D-D4B2BCFE102E}" name="Mois." dataDxfId="23" totalsRowDxfId="22"/>
    <tableColumn id="15" xr3:uid="{D4CAC318-2106-4069-87EA-D493BA43EB91}" name="Dockage" dataDxfId="21" totalsRowDxfId="20"/>
    <tableColumn id="16" xr3:uid="{7E321C09-BD1E-4745-813D-FF919913D3D5}" name="Dry $" dataDxfId="19" totalsRowDxfId="18"/>
    <tableColumn id="17" xr3:uid="{AD1DB679-3E08-4E26-AB60-5A5FD1D15CFF}" name="Gross Units" dataDxfId="17" totalsRowDxfId="16">
      <calculatedColumnFormula>corntbl85[[#This Row],[Net]]/56</calculatedColumnFormula>
    </tableColumn>
    <tableColumn id="18" xr3:uid="{0BEC1002-6DDB-45CF-ACC8-00169FE5ECC6}" name="Shrink" totalsRowFunction="sum" dataDxfId="15" totalsRowDxfId="14"/>
    <tableColumn id="19" xr3:uid="{24CC5D76-407B-4802-8942-2D0222D15417}" name="Dockage2" dataDxfId="13" totalsRowDxfId="12"/>
    <tableColumn id="20" xr3:uid="{77914B6A-341F-4F1F-8F1F-EA8DDFA0D076}" name="Net Units" dataDxfId="11" totalsRowDxfId="10">
      <calculatedColumnFormula>corntbl85[[#This Row],[Gross Units]]-corntbl85[[#This Row],[Shrink]]</calculatedColumnFormula>
    </tableColumn>
    <tableColumn id="21" xr3:uid="{AF1CC5DC-7A3F-4183-8666-99FF66012D9D}" name="Shares" dataDxfId="9" totalsRowDxfId="8"/>
    <tableColumn id="22" xr3:uid="{D12E91E4-964E-4854-B1B6-75B72D23DB32}" name="MCC. ENT." dataDxfId="7" totalsRowDxfId="6"/>
    <tableColumn id="23" xr3:uid="{FECFCA45-58C0-4D72-95BF-EA42ED3EFAC9}" name="L.L." dataDxfId="5" totalsRowDxfId="4"/>
    <tableColumn id="24" xr3:uid="{335645B4-CFFD-46E1-8A26-570A222333AE}" name="MCC. ENT. BU" totalsRowFunction="sum" dataDxfId="3" totalsRowDxfId="2"/>
    <tableColumn id="25" xr3:uid="{E163F33E-AF35-4D5D-97DA-19BDA8E978B6}" name="L.L. BU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13" Type="http://schemas.openxmlformats.org/officeDocument/2006/relationships/table" Target="../tables/table19.xml"/><Relationship Id="rId18" Type="http://schemas.openxmlformats.org/officeDocument/2006/relationships/table" Target="../tables/table2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12" Type="http://schemas.openxmlformats.org/officeDocument/2006/relationships/table" Target="../tables/table18.xml"/><Relationship Id="rId17" Type="http://schemas.openxmlformats.org/officeDocument/2006/relationships/table" Target="../tables/table23.xml"/><Relationship Id="rId2" Type="http://schemas.openxmlformats.org/officeDocument/2006/relationships/table" Target="../tables/table8.xml"/><Relationship Id="rId16" Type="http://schemas.openxmlformats.org/officeDocument/2006/relationships/table" Target="../tables/table2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5" Type="http://schemas.openxmlformats.org/officeDocument/2006/relationships/table" Target="../tables/table2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Relationship Id="rId14" Type="http://schemas.openxmlformats.org/officeDocument/2006/relationships/table" Target="../tables/table2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1.xml"/><Relationship Id="rId3" Type="http://schemas.openxmlformats.org/officeDocument/2006/relationships/table" Target="../tables/table26.xml"/><Relationship Id="rId7" Type="http://schemas.openxmlformats.org/officeDocument/2006/relationships/table" Target="../tables/table30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9.xml"/><Relationship Id="rId11" Type="http://schemas.openxmlformats.org/officeDocument/2006/relationships/table" Target="../tables/table34.xml"/><Relationship Id="rId5" Type="http://schemas.openxmlformats.org/officeDocument/2006/relationships/table" Target="../tables/table28.xml"/><Relationship Id="rId10" Type="http://schemas.openxmlformats.org/officeDocument/2006/relationships/table" Target="../tables/table33.xml"/><Relationship Id="rId4" Type="http://schemas.openxmlformats.org/officeDocument/2006/relationships/table" Target="../tables/table27.xml"/><Relationship Id="rId9" Type="http://schemas.openxmlformats.org/officeDocument/2006/relationships/table" Target="../tables/table3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4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9.xml"/><Relationship Id="rId3" Type="http://schemas.openxmlformats.org/officeDocument/2006/relationships/table" Target="../tables/table44.xml"/><Relationship Id="rId7" Type="http://schemas.openxmlformats.org/officeDocument/2006/relationships/table" Target="../tables/table48.xml"/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7.xml"/><Relationship Id="rId5" Type="http://schemas.openxmlformats.org/officeDocument/2006/relationships/table" Target="../tables/table46.xml"/><Relationship Id="rId10" Type="http://schemas.openxmlformats.org/officeDocument/2006/relationships/table" Target="../tables/table51.xml"/><Relationship Id="rId4" Type="http://schemas.openxmlformats.org/officeDocument/2006/relationships/table" Target="../tables/table45.xml"/><Relationship Id="rId9" Type="http://schemas.openxmlformats.org/officeDocument/2006/relationships/table" Target="../tables/table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D840B-EB09-4630-AB94-AC523B8506FF}">
  <sheetPr>
    <pageSetUpPr fitToPage="1"/>
  </sheetPr>
  <dimension ref="A1:S107"/>
  <sheetViews>
    <sheetView topLeftCell="A26" workbookViewId="0">
      <selection activeCell="C26" sqref="C26"/>
    </sheetView>
  </sheetViews>
  <sheetFormatPr defaultColWidth="9.140625" defaultRowHeight="12" x14ac:dyDescent="0.2"/>
  <cols>
    <col min="1" max="1" width="14.42578125" style="298" customWidth="1"/>
    <col min="2" max="2" width="10.85546875" style="298" bestFit="1" customWidth="1"/>
    <col min="3" max="3" width="20.7109375" style="298" bestFit="1" customWidth="1"/>
    <col min="4" max="4" width="24.28515625" style="298" customWidth="1"/>
    <col min="5" max="5" width="17.5703125" style="298" customWidth="1"/>
    <col min="6" max="6" width="19.140625" style="298" customWidth="1"/>
    <col min="7" max="7" width="16.85546875" style="298" bestFit="1" customWidth="1"/>
    <col min="8" max="8" width="15.85546875" style="298" bestFit="1" customWidth="1"/>
    <col min="9" max="9" width="16.140625" style="298" bestFit="1" customWidth="1"/>
    <col min="10" max="10" width="14.42578125" style="298" customWidth="1"/>
    <col min="11" max="11" width="13.5703125" style="299" bestFit="1" customWidth="1"/>
    <col min="12" max="14" width="11.28515625" style="299" customWidth="1"/>
    <col min="15" max="15" width="20.28515625" style="299" bestFit="1" customWidth="1"/>
    <col min="16" max="16" width="19.7109375" style="299" bestFit="1" customWidth="1"/>
    <col min="17" max="17" width="13.85546875" style="299" bestFit="1" customWidth="1"/>
    <col min="18" max="18" width="16.42578125" style="299" bestFit="1" customWidth="1"/>
    <col min="19" max="19" width="17.42578125" style="298" bestFit="1" customWidth="1"/>
    <col min="20" max="16384" width="9.140625" style="298"/>
  </cols>
  <sheetData>
    <row r="1" spans="1:19" x14ac:dyDescent="0.2">
      <c r="A1" s="359"/>
      <c r="B1" s="715" t="s">
        <v>0</v>
      </c>
      <c r="C1" s="715"/>
      <c r="D1" s="715"/>
      <c r="E1" s="715"/>
      <c r="F1" s="715"/>
      <c r="G1" s="715"/>
      <c r="H1" s="715"/>
      <c r="I1" s="715"/>
      <c r="J1" s="715"/>
      <c r="K1" s="715"/>
      <c r="L1" s="715"/>
      <c r="M1" s="715"/>
      <c r="N1" s="715"/>
      <c r="O1" s="715"/>
      <c r="P1" s="715"/>
      <c r="Q1" s="715"/>
      <c r="R1" s="715"/>
      <c r="S1" s="715"/>
    </row>
    <row r="2" spans="1:19" x14ac:dyDescent="0.2">
      <c r="A2" s="359"/>
      <c r="B2" s="715"/>
      <c r="C2" s="715"/>
      <c r="D2" s="715"/>
      <c r="E2" s="715"/>
      <c r="F2" s="715"/>
      <c r="G2" s="715"/>
      <c r="H2" s="715"/>
      <c r="I2" s="715"/>
      <c r="J2" s="715"/>
      <c r="K2" s="715"/>
      <c r="L2" s="715"/>
      <c r="M2" s="715"/>
      <c r="N2" s="715"/>
      <c r="O2" s="715"/>
      <c r="P2" s="715"/>
      <c r="Q2" s="715"/>
      <c r="R2" s="715"/>
      <c r="S2" s="715"/>
    </row>
    <row r="3" spans="1:19" s="338" customFormat="1" ht="53.25" customHeight="1" x14ac:dyDescent="0.25">
      <c r="A3" s="336" t="s">
        <v>1</v>
      </c>
      <c r="B3" s="337" t="s">
        <v>2</v>
      </c>
      <c r="C3" s="337" t="s">
        <v>3</v>
      </c>
      <c r="D3" s="337" t="s">
        <v>4</v>
      </c>
      <c r="E3" s="337" t="s">
        <v>5</v>
      </c>
      <c r="F3" s="337" t="s">
        <v>6</v>
      </c>
      <c r="G3" s="338" t="s">
        <v>7</v>
      </c>
      <c r="H3" s="338" t="s">
        <v>8</v>
      </c>
      <c r="I3" s="339" t="s">
        <v>9</v>
      </c>
      <c r="J3" s="339" t="s">
        <v>10</v>
      </c>
      <c r="K3" s="339" t="s">
        <v>11</v>
      </c>
      <c r="L3" s="340" t="s">
        <v>12</v>
      </c>
      <c r="M3" s="340" t="s">
        <v>13</v>
      </c>
      <c r="N3" s="340" t="s">
        <v>14</v>
      </c>
      <c r="O3" s="340" t="s">
        <v>15</v>
      </c>
      <c r="P3" s="340" t="s">
        <v>16</v>
      </c>
      <c r="Q3" s="340" t="s">
        <v>17</v>
      </c>
      <c r="R3" s="340" t="s">
        <v>18</v>
      </c>
      <c r="S3" s="340" t="s">
        <v>19</v>
      </c>
    </row>
    <row r="4" spans="1:19" ht="15.75" x14ac:dyDescent="0.25">
      <c r="A4" s="647" t="s">
        <v>20</v>
      </c>
      <c r="B4" s="647" t="s">
        <v>21</v>
      </c>
      <c r="C4" s="655" t="s">
        <v>22</v>
      </c>
      <c r="D4" s="315" t="str">
        <f>IFERROR(VLOOKUP(WHEATPREMIUM2022[[#This Row],[FIELD]],FFTBL[[Field]:[COUNTY2]],7,FALSE),"")</f>
        <v>PHILLIPS</v>
      </c>
      <c r="E4" s="315" t="str">
        <f>IFERROR(VLOOKUP(WHEATPREMIUM2022[[#This Row],[FIELD]],FFTBL[[Field]:[COUNTY2]],3,FALSE),"")</f>
        <v>NE4 2-6-47</v>
      </c>
      <c r="F4" s="316">
        <f>IFERROR(VLOOKUP(WHEATPREMIUM2022[[#This Row],[FIELD]],FFTBL[[Field]:[COUNTY2]],2,FALSE),"")</f>
        <v>79.2</v>
      </c>
      <c r="G4" s="317">
        <f>SUMIFS(WHEATPREMIUM2022[TOTAL ACRES IN FIELD],WHEATPREMIUM2022[COUNTY FIELD IS LOCATED IN],WHEATPREMIUM2022[[#This Row],[COUNTY FIELD IS LOCATED IN]])</f>
        <v>902.7</v>
      </c>
      <c r="H4" s="439"/>
      <c r="I4" s="319">
        <f>WHEATPREMIUM2022[[#This Row],[COUNTY PREMIUMS]]/WHEATPREMIUM2022[[#This Row],[TOTAL ACRES IN COUNTY ALL OWNERS]]</f>
        <v>0</v>
      </c>
      <c r="J4" s="319">
        <f>WHEATPREMIUM2022[[#This Row],[PREMIUM PER ACRE COST]]*WHEATPREMIUM2022[[#This Row],[TOTAL ACRES IN FIELD]]</f>
        <v>0</v>
      </c>
      <c r="K4" s="437"/>
      <c r="L4" s="438"/>
      <c r="M4" s="320">
        <f>(WHEATPREMIUM2022[[#This Row],[DATE PREMIUM BILL WAS DUE]]-WHEATPREMIUM2022[[#This Row],[DATE PREMIUM PAYMENTS CAME]])*-1</f>
        <v>0</v>
      </c>
      <c r="N4" s="321">
        <v>0.1</v>
      </c>
      <c r="O4" s="319">
        <f>(WHEATPREMIUM2022[[#This Row],[TOTAL PREMIUM ACRE COST]]*((WHEATPREMIUM2022[[#This Row],[INTEREST RATE]])*(WHEATPREMIUM2022[[#This Row],[TOTAL DAYS OF INTERST]]/365)))</f>
        <v>0</v>
      </c>
      <c r="P4" s="439"/>
      <c r="Q4" s="318">
        <f>WHEATPREMIUM2022[[#This Row],[INSURANCE ADMIN FEES]]+WHEATPREMIUM2022[[#This Row],[TOTAL INTEREST]]+WHEATPREMIUM2022[[#This Row],[TOTAL PREMIUM ACRE COST]]</f>
        <v>0</v>
      </c>
      <c r="R4" s="318">
        <f>WHEATPREMIUM2022[[#This Row],[TOTAL INSURANCE PREMIUM PAID]]*0.65</f>
        <v>0</v>
      </c>
      <c r="S4" s="318">
        <f>WHEATPREMIUM2022[[#This Row],[TOTAL INSURANCE PREMIUM PAID]]*0.35</f>
        <v>0</v>
      </c>
    </row>
    <row r="5" spans="1:19" ht="15.75" x14ac:dyDescent="0.25">
      <c r="A5" s="568" t="s">
        <v>20</v>
      </c>
      <c r="B5" s="568" t="s">
        <v>21</v>
      </c>
      <c r="C5" s="637" t="s">
        <v>23</v>
      </c>
      <c r="D5" s="360" t="str">
        <f>IFERROR(VLOOKUP(WHEATPREMIUM2022[[#This Row],[FIELD]],FFTBL[[Field]:[COUNTY2]],7,FALSE),"")</f>
        <v>LOGAN</v>
      </c>
      <c r="E5" s="322" t="str">
        <f>IFERROR(VLOOKUP(WHEATPREMIUM2022[[#This Row],[FIELD]],FFTBL[[Field]:[COUNTY2]],3,FALSE),"")</f>
        <v>SW4 14-7-48</v>
      </c>
      <c r="F5" s="323">
        <f>IFERROR(VLOOKUP(WHEATPREMIUM2022[[#This Row],[FIELD]],FFTBL[[Field]:[COUNTY2]],2,FALSE),"")</f>
        <v>78.599999999999994</v>
      </c>
      <c r="G5" s="317">
        <f>SUMIFS(WHEATPREMIUM2022[TOTAL ACRES IN FIELD],WHEATPREMIUM2022[COUNTY FIELD IS LOCATED IN],WHEATPREMIUM2022[[#This Row],[COUNTY FIELD IS LOCATED IN]])</f>
        <v>338</v>
      </c>
      <c r="H5" s="439"/>
      <c r="I5" s="319">
        <f>WHEATPREMIUM2022[[#This Row],[COUNTY PREMIUMS]]/WHEATPREMIUM2022[[#This Row],[TOTAL ACRES IN COUNTY ALL OWNERS]]</f>
        <v>0</v>
      </c>
      <c r="J5" s="319">
        <f>WHEATPREMIUM2022[[#This Row],[PREMIUM PER ACRE COST]]*WHEATPREMIUM2022[[#This Row],[TOTAL ACRES IN FIELD]]</f>
        <v>0</v>
      </c>
      <c r="K5" s="438"/>
      <c r="L5" s="438"/>
      <c r="M5" s="320">
        <f>(WHEATPREMIUM2022[[#This Row],[DATE PREMIUM BILL WAS DUE]]-WHEATPREMIUM2022[[#This Row],[DATE PREMIUM PAYMENTS CAME]])*-1</f>
        <v>0</v>
      </c>
      <c r="N5" s="321">
        <v>0.1</v>
      </c>
      <c r="O5" s="319">
        <f>(WHEATPREMIUM2022[[#This Row],[TOTAL PREMIUM ACRE COST]]*((WHEATPREMIUM2022[[#This Row],[INTEREST RATE]])*(WHEATPREMIUM2022[[#This Row],[TOTAL DAYS OF INTERST]]/365)))</f>
        <v>0</v>
      </c>
      <c r="P5" s="439"/>
      <c r="Q5" s="318">
        <f>WHEATPREMIUM2022[[#This Row],[INSURANCE ADMIN FEES]]+WHEATPREMIUM2022[[#This Row],[TOTAL INTEREST]]+WHEATPREMIUM2022[[#This Row],[TOTAL PREMIUM ACRE COST]]</f>
        <v>0</v>
      </c>
      <c r="R5" s="318">
        <f>WHEATPREMIUM2022[[#This Row],[TOTAL INSURANCE PREMIUM PAID]]*0.65</f>
        <v>0</v>
      </c>
      <c r="S5" s="318">
        <f>WHEATPREMIUM2022[[#This Row],[TOTAL INSURANCE PREMIUM PAID]]*0.35</f>
        <v>0</v>
      </c>
    </row>
    <row r="6" spans="1:19" ht="15.75" x14ac:dyDescent="0.25">
      <c r="A6" s="568" t="s">
        <v>20</v>
      </c>
      <c r="B6" s="568" t="s">
        <v>21</v>
      </c>
      <c r="C6" s="568" t="s">
        <v>24</v>
      </c>
      <c r="D6" s="360" t="str">
        <f>IFERROR(VLOOKUP(WHEATPREMIUM2022[[#This Row],[FIELD]],FFTBL[[Field]:[COUNTY2]],7,FALSE),"")</f>
        <v>PHILLIPS</v>
      </c>
      <c r="E6" s="322" t="str">
        <f>IFERROR(VLOOKUP(WHEATPREMIUM2022[[#This Row],[FIELD]],FFTBL[[Field]:[COUNTY2]],3,FALSE),"")</f>
        <v>SW4 31-7-47</v>
      </c>
      <c r="F6" s="323">
        <f>IFERROR(VLOOKUP(WHEATPREMIUM2022[[#This Row],[FIELD]],FFTBL[[Field]:[COUNTY2]],2,FALSE),"")</f>
        <v>153</v>
      </c>
      <c r="G6" s="317">
        <f>SUMIFS(WHEATPREMIUM2022[TOTAL ACRES IN FIELD],WHEATPREMIUM2022[COUNTY FIELD IS LOCATED IN],WHEATPREMIUM2022[[#This Row],[COUNTY FIELD IS LOCATED IN]])</f>
        <v>902.7</v>
      </c>
      <c r="H6" s="439"/>
      <c r="I6" s="319">
        <f>WHEATPREMIUM2022[[#This Row],[COUNTY PREMIUMS]]/WHEATPREMIUM2022[[#This Row],[TOTAL ACRES IN COUNTY ALL OWNERS]]</f>
        <v>0</v>
      </c>
      <c r="J6" s="319">
        <f>WHEATPREMIUM2022[[#This Row],[PREMIUM PER ACRE COST]]*WHEATPREMIUM2022[[#This Row],[TOTAL ACRES IN FIELD]]</f>
        <v>0</v>
      </c>
      <c r="K6" s="438"/>
      <c r="L6" s="438"/>
      <c r="M6" s="320">
        <f>(WHEATPREMIUM2022[[#This Row],[DATE PREMIUM BILL WAS DUE]]-WHEATPREMIUM2022[[#This Row],[DATE PREMIUM PAYMENTS CAME]])*-1</f>
        <v>0</v>
      </c>
      <c r="N6" s="321">
        <v>0.1</v>
      </c>
      <c r="O6" s="319">
        <f>(WHEATPREMIUM2022[[#This Row],[TOTAL PREMIUM ACRE COST]]*((WHEATPREMIUM2022[[#This Row],[INTEREST RATE]])*(WHEATPREMIUM2022[[#This Row],[TOTAL DAYS OF INTERST]]/365)))</f>
        <v>0</v>
      </c>
      <c r="P6" s="439"/>
      <c r="Q6" s="318">
        <f>WHEATPREMIUM2022[[#This Row],[INSURANCE ADMIN FEES]]+WHEATPREMIUM2022[[#This Row],[TOTAL INTEREST]]+WHEATPREMIUM2022[[#This Row],[TOTAL PREMIUM ACRE COST]]</f>
        <v>0</v>
      </c>
      <c r="R6" s="318">
        <f>WHEATPREMIUM2022[[#This Row],[TOTAL INSURANCE PREMIUM PAID]]*0.65</f>
        <v>0</v>
      </c>
      <c r="S6" s="318">
        <f>WHEATPREMIUM2022[[#This Row],[TOTAL INSURANCE PREMIUM PAID]]*0.35</f>
        <v>0</v>
      </c>
    </row>
    <row r="7" spans="1:19" ht="15.75" x14ac:dyDescent="0.25">
      <c r="A7" s="568" t="s">
        <v>20</v>
      </c>
      <c r="B7" s="568" t="s">
        <v>21</v>
      </c>
      <c r="C7" s="568" t="s">
        <v>25</v>
      </c>
      <c r="D7" s="360" t="str">
        <f>IFERROR(VLOOKUP(WHEATPREMIUM2022[[#This Row],[FIELD]],FFTBL[[Field]:[COUNTY2]],7,FALSE),"")</f>
        <v>SEDGWICK</v>
      </c>
      <c r="E7" s="322" t="str">
        <f>IFERROR(VLOOKUP(WHEATPREMIUM2022[[#This Row],[FIELD]],FFTBL[[Field]:[COUNTY2]],3,FALSE),"")</f>
        <v>E2 13-9-47</v>
      </c>
      <c r="F7" s="323">
        <f>IFERROR(VLOOKUP(WHEATPREMIUM2022[[#This Row],[FIELD]],FFTBL[[Field]:[COUNTY2]],2,FALSE),"")</f>
        <v>159.69999999999999</v>
      </c>
      <c r="G7" s="317">
        <f>SUMIFS(WHEATPREMIUM2022[TOTAL ACRES IN FIELD],WHEATPREMIUM2022[COUNTY FIELD IS LOCATED IN],WHEATPREMIUM2022[[#This Row],[COUNTY FIELD IS LOCATED IN]])</f>
        <v>159.69999999999999</v>
      </c>
      <c r="H7" s="439"/>
      <c r="I7" s="319">
        <f>WHEATPREMIUM2022[[#This Row],[COUNTY PREMIUMS]]/WHEATPREMIUM2022[[#This Row],[TOTAL ACRES IN COUNTY ALL OWNERS]]</f>
        <v>0</v>
      </c>
      <c r="J7" s="319">
        <f>WHEATPREMIUM2022[[#This Row],[PREMIUM PER ACRE COST]]*WHEATPREMIUM2022[[#This Row],[TOTAL ACRES IN FIELD]]</f>
        <v>0</v>
      </c>
      <c r="K7" s="438"/>
      <c r="L7" s="438"/>
      <c r="M7" s="320">
        <f>(WHEATPREMIUM2022[[#This Row],[DATE PREMIUM BILL WAS DUE]]-WHEATPREMIUM2022[[#This Row],[DATE PREMIUM PAYMENTS CAME]])*-1</f>
        <v>0</v>
      </c>
      <c r="N7" s="321">
        <v>0.1</v>
      </c>
      <c r="O7" s="319">
        <f>(WHEATPREMIUM2022[[#This Row],[TOTAL PREMIUM ACRE COST]]*((WHEATPREMIUM2022[[#This Row],[INTEREST RATE]])*(WHEATPREMIUM2022[[#This Row],[TOTAL DAYS OF INTERST]]/365)))</f>
        <v>0</v>
      </c>
      <c r="P7" s="439"/>
      <c r="Q7" s="318">
        <f>WHEATPREMIUM2022[[#This Row],[INSURANCE ADMIN FEES]]+WHEATPREMIUM2022[[#This Row],[TOTAL INTEREST]]+WHEATPREMIUM2022[[#This Row],[TOTAL PREMIUM ACRE COST]]</f>
        <v>0</v>
      </c>
      <c r="R7" s="318">
        <f>WHEATPREMIUM2022[[#This Row],[TOTAL INSURANCE PREMIUM PAID]]*0.65</f>
        <v>0</v>
      </c>
      <c r="S7" s="318">
        <f>WHEATPREMIUM2022[[#This Row],[TOTAL INSURANCE PREMIUM PAID]]*0.35</f>
        <v>0</v>
      </c>
    </row>
    <row r="8" spans="1:19" ht="15.75" x14ac:dyDescent="0.25">
      <c r="A8" s="645" t="s">
        <v>20</v>
      </c>
      <c r="B8" s="645" t="s">
        <v>26</v>
      </c>
      <c r="C8" s="568" t="s">
        <v>27</v>
      </c>
      <c r="D8" s="360" t="str">
        <f>IFERROR(VLOOKUP(WHEATPREMIUM2022[[#This Row],[FIELD]],FFTBL[[Field]:[COUNTY2]],7,FALSE),"")</f>
        <v>PHILLIPS</v>
      </c>
      <c r="E8" s="322" t="str">
        <f>IFERROR(VLOOKUP(WHEATPREMIUM2022[[#This Row],[FIELD]],FFTBL[[Field]:[COUNTY2]],3,FALSE),"")</f>
        <v>SW 17-6-47</v>
      </c>
      <c r="F8" s="323">
        <f>IFERROR(VLOOKUP(WHEATPREMIUM2022[[#This Row],[FIELD]],FFTBL[[Field]:[COUNTY2]],2,FALSE),"")</f>
        <v>205.6</v>
      </c>
      <c r="G8" s="317">
        <f>SUMIFS(WHEATPREMIUM2022[TOTAL ACRES IN FIELD],WHEATPREMIUM2022[COUNTY FIELD IS LOCATED IN],WHEATPREMIUM2022[[#This Row],[COUNTY FIELD IS LOCATED IN]])</f>
        <v>902.7</v>
      </c>
      <c r="H8" s="439"/>
      <c r="I8" s="319">
        <f>WHEATPREMIUM2022[[#This Row],[COUNTY PREMIUMS]]/WHEATPREMIUM2022[[#This Row],[TOTAL ACRES IN COUNTY ALL OWNERS]]</f>
        <v>0</v>
      </c>
      <c r="J8" s="319">
        <f>WHEATPREMIUM2022[[#This Row],[PREMIUM PER ACRE COST]]*WHEATPREMIUM2022[[#This Row],[TOTAL ACRES IN FIELD]]</f>
        <v>0</v>
      </c>
      <c r="K8" s="438"/>
      <c r="L8" s="438"/>
      <c r="M8" s="320">
        <f>(WHEATPREMIUM2022[[#This Row],[DATE PREMIUM BILL WAS DUE]]-WHEATPREMIUM2022[[#This Row],[DATE PREMIUM PAYMENTS CAME]])*-1</f>
        <v>0</v>
      </c>
      <c r="N8" s="321">
        <v>0.1</v>
      </c>
      <c r="O8" s="319">
        <f>(WHEATPREMIUM2022[[#This Row],[TOTAL PREMIUM ACRE COST]]*((WHEATPREMIUM2022[[#This Row],[INTEREST RATE]])*(WHEATPREMIUM2022[[#This Row],[TOTAL DAYS OF INTERST]]/365)))</f>
        <v>0</v>
      </c>
      <c r="P8" s="439"/>
      <c r="Q8" s="318">
        <f>WHEATPREMIUM2022[[#This Row],[INSURANCE ADMIN FEES]]+WHEATPREMIUM2022[[#This Row],[TOTAL INTEREST]]+WHEATPREMIUM2022[[#This Row],[TOTAL PREMIUM ACRE COST]]</f>
        <v>0</v>
      </c>
      <c r="R8" s="318">
        <f>WHEATPREMIUM2022[[#This Row],[TOTAL INSURANCE PREMIUM PAID]]*0.65</f>
        <v>0</v>
      </c>
      <c r="S8" s="318">
        <f>WHEATPREMIUM2022[[#This Row],[TOTAL INSURANCE PREMIUM PAID]]*0.35</f>
        <v>0</v>
      </c>
    </row>
    <row r="9" spans="1:19" ht="15.75" x14ac:dyDescent="0.25">
      <c r="A9" s="647" t="s">
        <v>20</v>
      </c>
      <c r="B9" s="647" t="s">
        <v>28</v>
      </c>
      <c r="C9" s="655" t="s">
        <v>29</v>
      </c>
      <c r="D9" s="360" t="str">
        <f>IFERROR(VLOOKUP(WHEATPREMIUM2022[[#This Row],[FIELD]],FFTBL[[Field]:[COUNTY2]],7,FALSE),"")</f>
        <v>PHILLIPS</v>
      </c>
      <c r="E9" s="322" t="str">
        <f>IFERROR(VLOOKUP(WHEATPREMIUM2022[[#This Row],[FIELD]],FFTBL[[Field]:[COUNTY2]],3,FALSE),"")</f>
        <v>SW4 35-7-47</v>
      </c>
      <c r="F9" s="323">
        <f>IFERROR(VLOOKUP(WHEATPREMIUM2022[[#This Row],[FIELD]],FFTBL[[Field]:[COUNTY2]],2,FALSE),"")</f>
        <v>79.2</v>
      </c>
      <c r="G9" s="317">
        <f>SUMIFS(WHEATPREMIUM2022[TOTAL ACRES IN FIELD],WHEATPREMIUM2022[COUNTY FIELD IS LOCATED IN],WHEATPREMIUM2022[[#This Row],[COUNTY FIELD IS LOCATED IN]])</f>
        <v>902.7</v>
      </c>
      <c r="H9" s="439"/>
      <c r="I9" s="319">
        <f>WHEATPREMIUM2022[[#This Row],[COUNTY PREMIUMS]]/WHEATPREMIUM2022[[#This Row],[TOTAL ACRES IN COUNTY ALL OWNERS]]</f>
        <v>0</v>
      </c>
      <c r="J9" s="319">
        <f>WHEATPREMIUM2022[[#This Row],[PREMIUM PER ACRE COST]]*WHEATPREMIUM2022[[#This Row],[TOTAL ACRES IN FIELD]]</f>
        <v>0</v>
      </c>
      <c r="K9" s="438"/>
      <c r="L9" s="438"/>
      <c r="M9" s="320">
        <f>(WHEATPREMIUM2022[[#This Row],[DATE PREMIUM BILL WAS DUE]]-WHEATPREMIUM2022[[#This Row],[DATE PREMIUM PAYMENTS CAME]])*-1</f>
        <v>0</v>
      </c>
      <c r="N9" s="321">
        <v>0.1</v>
      </c>
      <c r="O9" s="319">
        <f>(WHEATPREMIUM2022[[#This Row],[TOTAL PREMIUM ACRE COST]]*((WHEATPREMIUM2022[[#This Row],[INTEREST RATE]])*(WHEATPREMIUM2022[[#This Row],[TOTAL DAYS OF INTERST]]/365)))</f>
        <v>0</v>
      </c>
      <c r="P9" s="439"/>
      <c r="Q9" s="318">
        <f>WHEATPREMIUM2022[[#This Row],[INSURANCE ADMIN FEES]]+WHEATPREMIUM2022[[#This Row],[TOTAL INTEREST]]+WHEATPREMIUM2022[[#This Row],[TOTAL PREMIUM ACRE COST]]</f>
        <v>0</v>
      </c>
      <c r="R9" s="318">
        <f>WHEATPREMIUM2022[[#This Row],[TOTAL INSURANCE PREMIUM PAID]]*0.65</f>
        <v>0</v>
      </c>
      <c r="S9" s="318">
        <f>WHEATPREMIUM2022[[#This Row],[TOTAL INSURANCE PREMIUM PAID]]*0.35</f>
        <v>0</v>
      </c>
    </row>
    <row r="10" spans="1:19" ht="15.75" x14ac:dyDescent="0.25">
      <c r="A10" s="568" t="s">
        <v>20</v>
      </c>
      <c r="B10" s="568" t="s">
        <v>28</v>
      </c>
      <c r="C10" s="568" t="s">
        <v>30</v>
      </c>
      <c r="D10" s="360" t="str">
        <f>IFERROR(VLOOKUP(WHEATPREMIUM2022[[#This Row],[FIELD]],FFTBL[[Field]:[COUNTY2]],7,FALSE),"")</f>
        <v>LOGAN</v>
      </c>
      <c r="E10" s="322" t="str">
        <f>IFERROR(VLOOKUP(WHEATPREMIUM2022[[#This Row],[FIELD]],FFTBL[[Field]:[COUNTY2]],3,FALSE),"")</f>
        <v>NE 14-7-48</v>
      </c>
      <c r="F10" s="323">
        <f>IFERROR(VLOOKUP(WHEATPREMIUM2022[[#This Row],[FIELD]],FFTBL[[Field]:[COUNTY2]],2,FALSE),"")</f>
        <v>101.9</v>
      </c>
      <c r="G10" s="317">
        <f>SUMIFS(WHEATPREMIUM2022[TOTAL ACRES IN FIELD],WHEATPREMIUM2022[COUNTY FIELD IS LOCATED IN],WHEATPREMIUM2022[[#This Row],[COUNTY FIELD IS LOCATED IN]])</f>
        <v>338</v>
      </c>
      <c r="H10" s="439"/>
      <c r="I10" s="319">
        <f>WHEATPREMIUM2022[[#This Row],[COUNTY PREMIUMS]]/WHEATPREMIUM2022[[#This Row],[TOTAL ACRES IN COUNTY ALL OWNERS]]</f>
        <v>0</v>
      </c>
      <c r="J10" s="319">
        <f>WHEATPREMIUM2022[[#This Row],[PREMIUM PER ACRE COST]]*WHEATPREMIUM2022[[#This Row],[TOTAL ACRES IN FIELD]]</f>
        <v>0</v>
      </c>
      <c r="K10" s="437"/>
      <c r="L10" s="438"/>
      <c r="M10" s="320">
        <f>(WHEATPREMIUM2022[[#This Row],[DATE PREMIUM BILL WAS DUE]]-WHEATPREMIUM2022[[#This Row],[DATE PREMIUM PAYMENTS CAME]])*-1</f>
        <v>0</v>
      </c>
      <c r="N10" s="321">
        <v>0.1</v>
      </c>
      <c r="O10" s="319">
        <f>(WHEATPREMIUM2022[[#This Row],[TOTAL PREMIUM ACRE COST]]*((WHEATPREMIUM2022[[#This Row],[INTEREST RATE]])*(WHEATPREMIUM2022[[#This Row],[TOTAL DAYS OF INTERST]]/365)))</f>
        <v>0</v>
      </c>
      <c r="P10" s="439"/>
      <c r="Q10" s="318">
        <f>WHEATPREMIUM2022[[#This Row],[INSURANCE ADMIN FEES]]+WHEATPREMIUM2022[[#This Row],[TOTAL INTEREST]]+WHEATPREMIUM2022[[#This Row],[TOTAL PREMIUM ACRE COST]]</f>
        <v>0</v>
      </c>
      <c r="R10" s="318">
        <f>WHEATPREMIUM2022[[#This Row],[TOTAL INSURANCE PREMIUM PAID]]*0.65</f>
        <v>0</v>
      </c>
      <c r="S10" s="318">
        <f>WHEATPREMIUM2022[[#This Row],[TOTAL INSURANCE PREMIUM PAID]]*0.35</f>
        <v>0</v>
      </c>
    </row>
    <row r="11" spans="1:19" ht="15.75" x14ac:dyDescent="0.25">
      <c r="A11" s="568" t="s">
        <v>20</v>
      </c>
      <c r="B11" s="568" t="s">
        <v>28</v>
      </c>
      <c r="C11" s="568" t="s">
        <v>31</v>
      </c>
      <c r="D11" s="315" t="str">
        <f>IFERROR(VLOOKUP(WHEATPREMIUM2022[[#This Row],[FIELD]],FFTBL[[Field]:[COUNTY2]],7,FALSE),"")</f>
        <v>LOGAN</v>
      </c>
      <c r="E11" s="322" t="str">
        <f>IFERROR(VLOOKUP(WHEATPREMIUM2022[[#This Row],[FIELD]],FFTBL[[Field]:[COUNTY2]],3,FALSE),"")</f>
        <v>NE 15-7-48</v>
      </c>
      <c r="F11" s="316">
        <f>IFERROR(VLOOKUP(WHEATPREMIUM2022[[#This Row],[FIELD]],FFTBL[[Field]:[COUNTY2]],2,FALSE),"")</f>
        <v>157.5</v>
      </c>
      <c r="G11" s="317">
        <f>SUMIFS(WHEATPREMIUM2022[TOTAL ACRES IN FIELD],WHEATPREMIUM2022[COUNTY FIELD IS LOCATED IN],WHEATPREMIUM2022[[#This Row],[COUNTY FIELD IS LOCATED IN]])</f>
        <v>338</v>
      </c>
      <c r="H11" s="439"/>
      <c r="I11" s="319">
        <f>WHEATPREMIUM2022[[#This Row],[COUNTY PREMIUMS]]/WHEATPREMIUM2022[[#This Row],[TOTAL ACRES IN COUNTY ALL OWNERS]]</f>
        <v>0</v>
      </c>
      <c r="J11" s="319">
        <f>WHEATPREMIUM2022[[#This Row],[PREMIUM PER ACRE COST]]*WHEATPREMIUM2022[[#This Row],[TOTAL ACRES IN FIELD]]</f>
        <v>0</v>
      </c>
      <c r="K11" s="437"/>
      <c r="L11" s="438"/>
      <c r="M11" s="320">
        <f>(WHEATPREMIUM2022[[#This Row],[DATE PREMIUM BILL WAS DUE]]-WHEATPREMIUM2022[[#This Row],[DATE PREMIUM PAYMENTS CAME]])*-1</f>
        <v>0</v>
      </c>
      <c r="N11" s="321">
        <v>0.1</v>
      </c>
      <c r="O11" s="319">
        <f>(WHEATPREMIUM2022[[#This Row],[TOTAL PREMIUM ACRE COST]]*((WHEATPREMIUM2022[[#This Row],[INTEREST RATE]])*(WHEATPREMIUM2022[[#This Row],[TOTAL DAYS OF INTERST]]/365)))</f>
        <v>0</v>
      </c>
      <c r="P11" s="439"/>
      <c r="Q11" s="318">
        <f>WHEATPREMIUM2022[[#This Row],[INSURANCE ADMIN FEES]]+WHEATPREMIUM2022[[#This Row],[TOTAL INTEREST]]+WHEATPREMIUM2022[[#This Row],[TOTAL PREMIUM ACRE COST]]</f>
        <v>0</v>
      </c>
      <c r="R11" s="318">
        <f>WHEATPREMIUM2022[[#This Row],[TOTAL INSURANCE PREMIUM PAID]]*0.65</f>
        <v>0</v>
      </c>
      <c r="S11" s="318">
        <f>WHEATPREMIUM2022[[#This Row],[TOTAL INSURANCE PREMIUM PAID]]*0.35</f>
        <v>0</v>
      </c>
    </row>
    <row r="12" spans="1:19" ht="15.75" x14ac:dyDescent="0.25">
      <c r="A12" s="568" t="s">
        <v>20</v>
      </c>
      <c r="B12" s="568" t="s">
        <v>32</v>
      </c>
      <c r="C12" s="637" t="s">
        <v>33</v>
      </c>
      <c r="D12" s="315" t="str">
        <f>IFERROR(VLOOKUP(WHEATPREMIUM2022[[#This Row],[FIELD]],FFTBL[[Field]:[COUNTY2]],7,FALSE),"")</f>
        <v>PHILLIPS</v>
      </c>
      <c r="E12" s="322" t="str">
        <f>IFERROR(VLOOKUP(WHEATPREMIUM2022[[#This Row],[FIELD]],FFTBL[[Field]:[COUNTY2]],3,FALSE),"")</f>
        <v>SW4 12-8-47</v>
      </c>
      <c r="F12" s="323">
        <f>IFERROR(VLOOKUP(WHEATPREMIUM2022[[#This Row],[FIELD]],FFTBL[[Field]:[COUNTY2]],2,FALSE),"")</f>
        <v>79.099999999999994</v>
      </c>
      <c r="G12" s="317">
        <f>SUMIFS(WHEATPREMIUM2022[TOTAL ACRES IN FIELD],WHEATPREMIUM2022[COUNTY FIELD IS LOCATED IN],WHEATPREMIUM2022[[#This Row],[COUNTY FIELD IS LOCATED IN]])</f>
        <v>902.7</v>
      </c>
      <c r="H12" s="439"/>
      <c r="I12" s="319">
        <f>WHEATPREMIUM2022[[#This Row],[COUNTY PREMIUMS]]/WHEATPREMIUM2022[[#This Row],[TOTAL ACRES IN COUNTY ALL OWNERS]]</f>
        <v>0</v>
      </c>
      <c r="J12" s="319">
        <f>WHEATPREMIUM2022[[#This Row],[PREMIUM PER ACRE COST]]*WHEATPREMIUM2022[[#This Row],[TOTAL ACRES IN FIELD]]</f>
        <v>0</v>
      </c>
      <c r="K12" s="437"/>
      <c r="L12" s="438"/>
      <c r="M12" s="320">
        <f>(WHEATPREMIUM2022[[#This Row],[DATE PREMIUM BILL WAS DUE]]-WHEATPREMIUM2022[[#This Row],[DATE PREMIUM PAYMENTS CAME]])*-1</f>
        <v>0</v>
      </c>
      <c r="N12" s="321">
        <v>0.1</v>
      </c>
      <c r="O12" s="319">
        <f>(WHEATPREMIUM2022[[#This Row],[TOTAL PREMIUM ACRE COST]]*((WHEATPREMIUM2022[[#This Row],[INTEREST RATE]])*(WHEATPREMIUM2022[[#This Row],[TOTAL DAYS OF INTERST]]/365)))</f>
        <v>0</v>
      </c>
      <c r="P12" s="439"/>
      <c r="Q12" s="318">
        <f>WHEATPREMIUM2022[[#This Row],[INSURANCE ADMIN FEES]]+WHEATPREMIUM2022[[#This Row],[TOTAL INTEREST]]+WHEATPREMIUM2022[[#This Row],[TOTAL PREMIUM ACRE COST]]</f>
        <v>0</v>
      </c>
      <c r="R12" s="318">
        <f>WHEATPREMIUM2022[[#This Row],[TOTAL INSURANCE PREMIUM PAID]]*0.65</f>
        <v>0</v>
      </c>
      <c r="S12" s="318">
        <f>WHEATPREMIUM2022[[#This Row],[TOTAL INSURANCE PREMIUM PAID]]*0.35</f>
        <v>0</v>
      </c>
    </row>
    <row r="13" spans="1:19" ht="15.75" x14ac:dyDescent="0.25">
      <c r="A13" s="568" t="s">
        <v>20</v>
      </c>
      <c r="B13" s="568" t="s">
        <v>32</v>
      </c>
      <c r="C13" s="637" t="s">
        <v>34</v>
      </c>
      <c r="D13" s="315" t="str">
        <f>IFERROR(VLOOKUP(WHEATPREMIUM2022[[#This Row],[FIELD]],FFTBL[[Field]:[COUNTY2]],7,FALSE),"")</f>
        <v>PHILLIPS</v>
      </c>
      <c r="E13" s="322" t="str">
        <f>IFERROR(VLOOKUP(WHEATPREMIUM2022[[#This Row],[FIELD]],FFTBL[[Field]:[COUNTY2]],3,FALSE),"")</f>
        <v>NE4 32-8-47</v>
      </c>
      <c r="F13" s="323">
        <f>IFERROR(VLOOKUP(WHEATPREMIUM2022[[#This Row],[FIELD]],FFTBL[[Field]:[COUNTY2]],2,FALSE),"")</f>
        <v>77.400000000000006</v>
      </c>
      <c r="G13" s="317">
        <f>SUMIFS(WHEATPREMIUM2022[TOTAL ACRES IN FIELD],WHEATPREMIUM2022[COUNTY FIELD IS LOCATED IN],WHEATPREMIUM2022[[#This Row],[COUNTY FIELD IS LOCATED IN]])</f>
        <v>902.7</v>
      </c>
      <c r="H13" s="439"/>
      <c r="I13" s="319">
        <f>WHEATPREMIUM2022[[#This Row],[COUNTY PREMIUMS]]/WHEATPREMIUM2022[[#This Row],[TOTAL ACRES IN COUNTY ALL OWNERS]]</f>
        <v>0</v>
      </c>
      <c r="J13" s="319">
        <f>WHEATPREMIUM2022[[#This Row],[PREMIUM PER ACRE COST]]*WHEATPREMIUM2022[[#This Row],[TOTAL ACRES IN FIELD]]</f>
        <v>0</v>
      </c>
      <c r="K13" s="437"/>
      <c r="L13" s="438"/>
      <c r="M13" s="320">
        <f>(WHEATPREMIUM2022[[#This Row],[DATE PREMIUM BILL WAS DUE]]-WHEATPREMIUM2022[[#This Row],[DATE PREMIUM PAYMENTS CAME]])*-1</f>
        <v>0</v>
      </c>
      <c r="N13" s="321">
        <v>0.1</v>
      </c>
      <c r="O13" s="319">
        <f>(WHEATPREMIUM2022[[#This Row],[TOTAL PREMIUM ACRE COST]]*((WHEATPREMIUM2022[[#This Row],[INTEREST RATE]])*(WHEATPREMIUM2022[[#This Row],[TOTAL DAYS OF INTERST]]/365)))</f>
        <v>0</v>
      </c>
      <c r="P13" s="439"/>
      <c r="Q13" s="318">
        <f>WHEATPREMIUM2022[[#This Row],[INSURANCE ADMIN FEES]]+WHEATPREMIUM2022[[#This Row],[TOTAL INTEREST]]+WHEATPREMIUM2022[[#This Row],[TOTAL PREMIUM ACRE COST]]</f>
        <v>0</v>
      </c>
      <c r="R13" s="318">
        <f>WHEATPREMIUM2022[[#This Row],[TOTAL INSURANCE PREMIUM PAID]]*0.65</f>
        <v>0</v>
      </c>
      <c r="S13" s="318">
        <f>WHEATPREMIUM2022[[#This Row],[TOTAL INSURANCE PREMIUM PAID]]*0.35</f>
        <v>0</v>
      </c>
    </row>
    <row r="14" spans="1:19" ht="15.75" x14ac:dyDescent="0.25">
      <c r="A14" s="568" t="s">
        <v>20</v>
      </c>
      <c r="B14" s="568" t="s">
        <v>35</v>
      </c>
      <c r="C14" s="637" t="s">
        <v>36</v>
      </c>
      <c r="D14" s="315" t="str">
        <f>IFERROR(VLOOKUP(WHEATPREMIUM2022[[#This Row],[FIELD]],FFTBL[[Field]:[COUNTY2]],7,FALSE),"")</f>
        <v>PHILLIPS</v>
      </c>
      <c r="E14" s="322" t="str">
        <f>IFERROR(VLOOKUP(WHEATPREMIUM2022[[#This Row],[FIELD]],FFTBL[[Field]:[COUNTY2]],3,FALSE),"")</f>
        <v>NE 20-8-47</v>
      </c>
      <c r="F14" s="323">
        <f>IFERROR(VLOOKUP(WHEATPREMIUM2022[[#This Row],[FIELD]],FFTBL[[Field]:[COUNTY2]],2,FALSE),"")</f>
        <v>71.5</v>
      </c>
      <c r="G14" s="317">
        <f>SUMIFS(WHEATPREMIUM2022[TOTAL ACRES IN FIELD],WHEATPREMIUM2022[COUNTY FIELD IS LOCATED IN],WHEATPREMIUM2022[[#This Row],[COUNTY FIELD IS LOCATED IN]])</f>
        <v>902.7</v>
      </c>
      <c r="H14" s="439"/>
      <c r="I14" s="319">
        <f>WHEATPREMIUM2022[[#This Row],[COUNTY PREMIUMS]]/WHEATPREMIUM2022[[#This Row],[TOTAL ACRES IN COUNTY ALL OWNERS]]</f>
        <v>0</v>
      </c>
      <c r="J14" s="319">
        <f>WHEATPREMIUM2022[[#This Row],[PREMIUM PER ACRE COST]]*WHEATPREMIUM2022[[#This Row],[TOTAL ACRES IN FIELD]]</f>
        <v>0</v>
      </c>
      <c r="K14" s="437"/>
      <c r="L14" s="438"/>
      <c r="M14" s="320">
        <f>(WHEATPREMIUM2022[[#This Row],[DATE PREMIUM BILL WAS DUE]]-WHEATPREMIUM2022[[#This Row],[DATE PREMIUM PAYMENTS CAME]])*-1</f>
        <v>0</v>
      </c>
      <c r="N14" s="321">
        <v>0.1</v>
      </c>
      <c r="O14" s="319">
        <f>(WHEATPREMIUM2022[[#This Row],[TOTAL PREMIUM ACRE COST]]*((WHEATPREMIUM2022[[#This Row],[INTEREST RATE]])*(WHEATPREMIUM2022[[#This Row],[TOTAL DAYS OF INTERST]]/365)))</f>
        <v>0</v>
      </c>
      <c r="P14" s="439"/>
      <c r="Q14" s="318">
        <f>WHEATPREMIUM2022[[#This Row],[INSURANCE ADMIN FEES]]+WHEATPREMIUM2022[[#This Row],[TOTAL INTEREST]]+WHEATPREMIUM2022[[#This Row],[TOTAL PREMIUM ACRE COST]]</f>
        <v>0</v>
      </c>
      <c r="R14" s="318">
        <f>WHEATPREMIUM2022[[#This Row],[TOTAL INSURANCE PREMIUM PAID]]*0.65</f>
        <v>0</v>
      </c>
      <c r="S14" s="318">
        <f>WHEATPREMIUM2022[[#This Row],[TOTAL INSURANCE PREMIUM PAID]]*0.35</f>
        <v>0</v>
      </c>
    </row>
    <row r="15" spans="1:19" ht="15.75" x14ac:dyDescent="0.25">
      <c r="A15" s="568" t="s">
        <v>20</v>
      </c>
      <c r="B15" s="568" t="s">
        <v>35</v>
      </c>
      <c r="C15" s="637" t="s">
        <v>37</v>
      </c>
      <c r="D15" s="315" t="str">
        <f>IFERROR(VLOOKUP(WHEATPREMIUM2022[[#This Row],[FIELD]],FFTBL[[Field]:[COUNTY2]],7,FALSE),"")</f>
        <v>PHILLIPS</v>
      </c>
      <c r="E15" s="322" t="str">
        <f>IFERROR(VLOOKUP(WHEATPREMIUM2022[[#This Row],[FIELD]],FFTBL[[Field]:[COUNTY2]],3,FALSE),"")</f>
        <v>NW 29-7-47</v>
      </c>
      <c r="F15" s="323">
        <f>IFERROR(VLOOKUP(WHEATPREMIUM2022[[#This Row],[FIELD]],FFTBL[[Field]:[COUNTY2]],2,FALSE),"")</f>
        <v>157.69999999999999</v>
      </c>
      <c r="G15" s="317">
        <f>SUMIFS(WHEATPREMIUM2022[TOTAL ACRES IN FIELD],WHEATPREMIUM2022[COUNTY FIELD IS LOCATED IN],WHEATPREMIUM2022[[#This Row],[COUNTY FIELD IS LOCATED IN]])</f>
        <v>902.7</v>
      </c>
      <c r="H15" s="439"/>
      <c r="I15" s="319">
        <f>WHEATPREMIUM2022[[#This Row],[COUNTY PREMIUMS]]/WHEATPREMIUM2022[[#This Row],[TOTAL ACRES IN COUNTY ALL OWNERS]]</f>
        <v>0</v>
      </c>
      <c r="J15" s="319">
        <f>WHEATPREMIUM2022[[#This Row],[PREMIUM PER ACRE COST]]*WHEATPREMIUM2022[[#This Row],[TOTAL ACRES IN FIELD]]</f>
        <v>0</v>
      </c>
      <c r="K15" s="437"/>
      <c r="L15" s="438"/>
      <c r="M15" s="320">
        <f>(WHEATPREMIUM2022[[#This Row],[DATE PREMIUM BILL WAS DUE]]-WHEATPREMIUM2022[[#This Row],[DATE PREMIUM PAYMENTS CAME]])*-1</f>
        <v>0</v>
      </c>
      <c r="N15" s="321">
        <v>0.1</v>
      </c>
      <c r="O15" s="319">
        <f>(WHEATPREMIUM2022[[#This Row],[TOTAL PREMIUM ACRE COST]]*((WHEATPREMIUM2022[[#This Row],[INTEREST RATE]])*(WHEATPREMIUM2022[[#This Row],[TOTAL DAYS OF INTERST]]/365)))</f>
        <v>0</v>
      </c>
      <c r="P15" s="439"/>
      <c r="Q15" s="318">
        <f>WHEATPREMIUM2022[[#This Row],[INSURANCE ADMIN FEES]]+WHEATPREMIUM2022[[#This Row],[TOTAL INTEREST]]+WHEATPREMIUM2022[[#This Row],[TOTAL PREMIUM ACRE COST]]</f>
        <v>0</v>
      </c>
      <c r="R15" s="318">
        <f>WHEATPREMIUM2022[[#This Row],[TOTAL INSURANCE PREMIUM PAID]]*0.65</f>
        <v>0</v>
      </c>
      <c r="S15" s="318">
        <f>WHEATPREMIUM2022[[#This Row],[TOTAL INSURANCE PREMIUM PAID]]*0.35</f>
        <v>0</v>
      </c>
    </row>
    <row r="16" spans="1:19" s="329" customFormat="1" x14ac:dyDescent="0.2">
      <c r="A16" s="324" t="s">
        <v>38</v>
      </c>
      <c r="B16" s="324"/>
      <c r="C16" s="324"/>
      <c r="D16" s="325"/>
      <c r="E16" s="326"/>
      <c r="F16" s="326"/>
      <c r="G16" s="326"/>
      <c r="H16" s="326"/>
      <c r="I16" s="326"/>
      <c r="J16" s="326"/>
      <c r="K16" s="326"/>
      <c r="L16" s="326"/>
      <c r="M16" s="326"/>
      <c r="N16" s="326"/>
      <c r="O16" s="327">
        <f>SUBTOTAL(109,WHEATPREMIUM2022[TOTAL INTEREST])</f>
        <v>0</v>
      </c>
      <c r="P16" s="328">
        <f>SUBTOTAL(109,WHEATPREMIUM2022[INSURANCE ADMIN FEES])</f>
        <v>0</v>
      </c>
      <c r="Q16" s="328">
        <f>SUBTOTAL(109,WHEATPREMIUM2022[TOTAL INSURANCE PREMIUM PAID])</f>
        <v>0</v>
      </c>
      <c r="R16" s="328">
        <f>SUBTOTAL(109,WHEATPREMIUM2022[M77AG 65% EXPENSE])</f>
        <v>0</v>
      </c>
      <c r="S16" s="328">
        <f>SUBTOTAL(109,WHEATPREMIUM2022[LAND LORD 35% EXPENSE])</f>
        <v>0</v>
      </c>
    </row>
    <row r="17" spans="1:19" s="329" customFormat="1" x14ac:dyDescent="0.2">
      <c r="A17" s="325"/>
      <c r="B17" s="325"/>
      <c r="C17" s="325"/>
      <c r="D17" s="325"/>
      <c r="E17" s="326"/>
      <c r="F17" s="326"/>
      <c r="G17" s="326"/>
      <c r="H17" s="326"/>
      <c r="I17" s="326"/>
      <c r="J17" s="326"/>
      <c r="K17" s="326"/>
      <c r="L17" s="326"/>
      <c r="M17" s="326"/>
      <c r="N17" s="326"/>
      <c r="O17" s="327"/>
      <c r="P17" s="328"/>
      <c r="Q17" s="328"/>
      <c r="R17" s="328"/>
      <c r="S17" s="375">
        <f>SUM(WHEATPREMIUM2022[[#Totals],[M77AG 65% EXPENSE]:[LAND LORD 35% EXPENSE]])</f>
        <v>0</v>
      </c>
    </row>
    <row r="18" spans="1:19" x14ac:dyDescent="0.2">
      <c r="A18" s="359"/>
      <c r="B18" s="716" t="s">
        <v>39</v>
      </c>
      <c r="C18" s="716"/>
      <c r="D18" s="716"/>
      <c r="E18" s="716"/>
      <c r="F18" s="716"/>
      <c r="G18" s="716"/>
      <c r="H18" s="716"/>
      <c r="I18" s="716"/>
      <c r="J18" s="716"/>
      <c r="K18" s="716"/>
      <c r="L18" s="716"/>
      <c r="M18" s="716"/>
      <c r="N18" s="716"/>
      <c r="O18" s="716"/>
      <c r="P18" s="716"/>
      <c r="Q18" s="716"/>
      <c r="R18" s="716"/>
      <c r="S18" s="716"/>
    </row>
    <row r="19" spans="1:19" x14ac:dyDescent="0.2">
      <c r="A19" s="359"/>
      <c r="B19" s="716"/>
      <c r="C19" s="716"/>
      <c r="D19" s="716"/>
      <c r="E19" s="716"/>
      <c r="F19" s="716"/>
      <c r="G19" s="716"/>
      <c r="H19" s="716"/>
      <c r="I19" s="716"/>
      <c r="J19" s="716"/>
      <c r="K19" s="716"/>
      <c r="L19" s="716"/>
      <c r="M19" s="716"/>
      <c r="N19" s="716"/>
      <c r="O19" s="716"/>
      <c r="P19" s="716"/>
      <c r="Q19" s="716"/>
      <c r="R19" s="716"/>
      <c r="S19" s="716"/>
    </row>
    <row r="20" spans="1:19" s="303" customFormat="1" ht="53.25" customHeight="1" x14ac:dyDescent="0.25">
      <c r="A20" s="303" t="s">
        <v>1</v>
      </c>
      <c r="B20" s="303" t="s">
        <v>40</v>
      </c>
      <c r="C20" s="303" t="s">
        <v>3</v>
      </c>
      <c r="D20" s="303" t="s">
        <v>41</v>
      </c>
      <c r="E20" s="303" t="s">
        <v>5</v>
      </c>
      <c r="F20" s="303" t="s">
        <v>42</v>
      </c>
      <c r="G20" s="303" t="s">
        <v>43</v>
      </c>
      <c r="H20" s="303" t="s">
        <v>44</v>
      </c>
      <c r="I20" s="303" t="s">
        <v>45</v>
      </c>
      <c r="J20" s="303" t="s">
        <v>46</v>
      </c>
      <c r="K20" s="304" t="s">
        <v>47</v>
      </c>
      <c r="L20" s="304" t="s">
        <v>48</v>
      </c>
      <c r="M20" s="304" t="s">
        <v>49</v>
      </c>
      <c r="N20" s="304" t="s">
        <v>50</v>
      </c>
      <c r="O20" s="304" t="s">
        <v>51</v>
      </c>
      <c r="P20" s="304" t="s">
        <v>52</v>
      </c>
      <c r="Q20" s="304" t="s">
        <v>53</v>
      </c>
      <c r="R20" s="303" t="s">
        <v>54</v>
      </c>
      <c r="S20" s="303" t="s">
        <v>55</v>
      </c>
    </row>
    <row r="21" spans="1:19" ht="15.75" x14ac:dyDescent="0.25">
      <c r="A21" s="647" t="s">
        <v>20</v>
      </c>
      <c r="B21" s="647" t="s">
        <v>21</v>
      </c>
      <c r="C21" s="655" t="s">
        <v>22</v>
      </c>
      <c r="D21" s="306" t="str">
        <f>IFERROR(VLOOKUP(WHEATCLAIM2022[[#This Row],[FIELD]],FFTBL[[Field]:[COUNTY2]],7,FALSE),"")</f>
        <v>PHILLIPS</v>
      </c>
      <c r="E21" s="306" t="str">
        <f>IFERROR(VLOOKUP(WHEATCLAIM2022[[#This Row],[FIELD]],FFTBL[[Field]:[COUNTY2]],3,FALSE),"")</f>
        <v>NE4 2-6-47</v>
      </c>
      <c r="F21" s="670">
        <f>IFERROR(VLOOKUP(WHEATCLAIM2022[[#This Row],[FIELD]],FFTBL[[Field]:[COUNTY2]],2,FALSE),"")</f>
        <v>79.2</v>
      </c>
      <c r="G21" s="379">
        <f>SUMIFS(WheatYield40[GROSS BUSHELS],WheatYield40[Field],WHEATCLAIM2022[[#This Row],[FIELD]])</f>
        <v>0</v>
      </c>
      <c r="H21" s="308">
        <v>4.7</v>
      </c>
      <c r="I21" s="309"/>
      <c r="J21" s="310">
        <f>WHEATCLAIM2022[[#This Row],[AVERAGE PRODUCTION HISTORY (APH)]]*WHEATCLAIM2022[[#This Row],[HARVEST PRICE / PLANTING PRICE USED]]</f>
        <v>0</v>
      </c>
      <c r="K21" s="311">
        <f>IFERROR((WHEATCLAIM2022[[#This Row],[PER ACRE GARAUNTEE $]]*WHEATCLAIM2022[[#This Row],[ACRES]]),"")</f>
        <v>0</v>
      </c>
      <c r="L21" s="312"/>
      <c r="M21" s="312">
        <f>WHEATCLAIM2022[[#This Row],[TOTAL GARAUNTEE]]-WHEATCLAIM2022[[#This Row],[BUSHELS PRODUCED]]</f>
        <v>0</v>
      </c>
      <c r="N21" s="308">
        <f>(WHEATCLAIM2022[[#This Row],[DEFICIENCY]]*WHEATCLAIM2022[[#This Row],[HARVEST PRICE / PLANTING PRICE USED]])/WHEATCLAIM2022[[#This Row],[ACRES]]</f>
        <v>0</v>
      </c>
      <c r="O21" s="308">
        <f>WHEATCLAIM2022[[#This Row],[BUSHELS PRODUCED]]*WHEATCLAIM2022[[#This Row],[HARVEST PRICE / PLANTING PRICE USED]]</f>
        <v>0</v>
      </c>
      <c r="P21" s="310">
        <f>WHEATCLAIM2022[[#This Row],[DEFICIENCY]]*WHEATCLAIM2022[[#This Row],[HARVEST PRICE / PLANTING PRICE USED]]</f>
        <v>0</v>
      </c>
      <c r="Q21" s="311"/>
      <c r="R21" s="310">
        <f>WHEATCLAIM2022[[#This Row],[PAYMENT FROM INSURANCE]]*0.65</f>
        <v>0</v>
      </c>
      <c r="S21" s="310">
        <f>WHEATCLAIM2022[[#This Row],[PAYMENT FROM INSURANCE]]*0.35</f>
        <v>0</v>
      </c>
    </row>
    <row r="22" spans="1:19" ht="15.75" x14ac:dyDescent="0.25">
      <c r="A22" s="568" t="s">
        <v>20</v>
      </c>
      <c r="B22" s="568" t="s">
        <v>21</v>
      </c>
      <c r="C22" s="637" t="s">
        <v>23</v>
      </c>
      <c r="D22" s="313" t="str">
        <f>IFERROR(VLOOKUP(WHEATCLAIM2022[[#This Row],[FIELD]],FFTBL[[Field]:[COUNTY2]],7,FALSE),"")</f>
        <v>LOGAN</v>
      </c>
      <c r="E22" s="313" t="str">
        <f>IFERROR(VLOOKUP(WHEATCLAIM2022[[#This Row],[FIELD]],FFTBL[[Field]:[COUNTY2]],3,FALSE),"")</f>
        <v>SW4 14-7-48</v>
      </c>
      <c r="F22" s="671">
        <f>IFERROR(VLOOKUP(WHEATCLAIM2022[[#This Row],[FIELD]],FFTBL[[Field]:[COUNTY2]],2,FALSE),"")</f>
        <v>78.599999999999994</v>
      </c>
      <c r="G22" s="379">
        <f>SUMIFS(WheatYield40[GROSS BUSHELS],WheatYield40[Field],WHEATCLAIM2022[[#This Row],[FIELD]])</f>
        <v>0</v>
      </c>
      <c r="H22" s="308">
        <v>4.7</v>
      </c>
      <c r="I22" s="309">
        <v>72</v>
      </c>
      <c r="J22" s="310">
        <f>WHEATCLAIM2022[[#This Row],[AVERAGE PRODUCTION HISTORY (APH)]]*WHEATCLAIM2022[[#This Row],[HARVEST PRICE / PLANTING PRICE USED]]</f>
        <v>338.40000000000003</v>
      </c>
      <c r="K22" s="311">
        <f>IFERROR((WHEATCLAIM2022[[#This Row],[PER ACRE GARAUNTEE $]]*WHEATCLAIM2022[[#This Row],[ACRES]]),"")</f>
        <v>26598.240000000002</v>
      </c>
      <c r="L22" s="312"/>
      <c r="M22" s="312">
        <f>WHEATCLAIM2022[[#This Row],[TOTAL GARAUNTEE]]-WHEATCLAIM2022[[#This Row],[BUSHELS PRODUCED]]</f>
        <v>0</v>
      </c>
      <c r="N22" s="308">
        <f>(WHEATCLAIM2022[[#This Row],[DEFICIENCY]]*WHEATCLAIM2022[[#This Row],[HARVEST PRICE / PLANTING PRICE USED]])/WHEATCLAIM2022[[#This Row],[ACRES]]</f>
        <v>0</v>
      </c>
      <c r="O22" s="308">
        <f>WHEATCLAIM2022[[#This Row],[BUSHELS PRODUCED]]*WHEATCLAIM2022[[#This Row],[HARVEST PRICE / PLANTING PRICE USED]]</f>
        <v>0</v>
      </c>
      <c r="P22" s="310">
        <f>WHEATCLAIM2022[[#This Row],[DEFICIENCY]]*WHEATCLAIM2022[[#This Row],[HARVEST PRICE / PLANTING PRICE USED]]</f>
        <v>0</v>
      </c>
      <c r="Q22" s="311"/>
      <c r="R22" s="310">
        <f>WHEATCLAIM2022[[#This Row],[PAYMENT FROM INSURANCE]]*0.65</f>
        <v>0</v>
      </c>
      <c r="S22" s="310">
        <f>WHEATCLAIM2022[[#This Row],[PAYMENT FROM INSURANCE]]*0.35</f>
        <v>0</v>
      </c>
    </row>
    <row r="23" spans="1:19" ht="15.75" x14ac:dyDescent="0.25">
      <c r="A23" s="568" t="s">
        <v>20</v>
      </c>
      <c r="B23" s="568" t="s">
        <v>21</v>
      </c>
      <c r="C23" s="568" t="s">
        <v>24</v>
      </c>
      <c r="D23" s="313" t="str">
        <f>IFERROR(VLOOKUP(WHEATCLAIM2022[[#This Row],[FIELD]],FFTBL[[Field]:[COUNTY2]],7,FALSE),"")</f>
        <v>PHILLIPS</v>
      </c>
      <c r="E23" s="313" t="str">
        <f>IFERROR(VLOOKUP(WHEATCLAIM2022[[#This Row],[FIELD]],FFTBL[[Field]:[COUNTY2]],3,FALSE),"")</f>
        <v>SW4 31-7-47</v>
      </c>
      <c r="F23" s="671">
        <f>IFERROR(VLOOKUP(WHEATCLAIM2022[[#This Row],[FIELD]],FFTBL[[Field]:[COUNTY2]],2,FALSE),"")</f>
        <v>153</v>
      </c>
      <c r="G23" s="379">
        <f>SUMIFS(WheatYield40[GROSS BUSHELS],WheatYield40[Field],WHEATCLAIM2022[[#This Row],[FIELD]])</f>
        <v>0</v>
      </c>
      <c r="H23" s="308">
        <v>4.7</v>
      </c>
      <c r="I23" s="309"/>
      <c r="J23" s="310">
        <f>WHEATCLAIM2022[[#This Row],[AVERAGE PRODUCTION HISTORY (APH)]]*WHEATCLAIM2022[[#This Row],[HARVEST PRICE / PLANTING PRICE USED]]</f>
        <v>0</v>
      </c>
      <c r="K23" s="311">
        <f>IFERROR((WHEATCLAIM2022[[#This Row],[PER ACRE GARAUNTEE $]]*WHEATCLAIM2022[[#This Row],[ACRES]]),"")</f>
        <v>0</v>
      </c>
      <c r="L23" s="312"/>
      <c r="M23" s="312">
        <f>WHEATCLAIM2022[[#This Row],[TOTAL GARAUNTEE]]-WHEATCLAIM2022[[#This Row],[BUSHELS PRODUCED]]</f>
        <v>0</v>
      </c>
      <c r="N23" s="308">
        <f>(WHEATCLAIM2022[[#This Row],[DEFICIENCY]]*WHEATCLAIM2022[[#This Row],[HARVEST PRICE / PLANTING PRICE USED]])/WHEATCLAIM2022[[#This Row],[ACRES]]</f>
        <v>0</v>
      </c>
      <c r="O23" s="308">
        <f>WHEATCLAIM2022[[#This Row],[BUSHELS PRODUCED]]*WHEATCLAIM2022[[#This Row],[HARVEST PRICE / PLANTING PRICE USED]]</f>
        <v>0</v>
      </c>
      <c r="P23" s="310">
        <f>WHEATCLAIM2022[[#This Row],[DEFICIENCY]]*WHEATCLAIM2022[[#This Row],[HARVEST PRICE / PLANTING PRICE USED]]</f>
        <v>0</v>
      </c>
      <c r="Q23" s="311"/>
      <c r="R23" s="310">
        <f>WHEATCLAIM2022[[#This Row],[PAYMENT FROM INSURANCE]]*0.65</f>
        <v>0</v>
      </c>
      <c r="S23" s="310">
        <f>WHEATCLAIM2022[[#This Row],[PAYMENT FROM INSURANCE]]*0.35</f>
        <v>0</v>
      </c>
    </row>
    <row r="24" spans="1:19" ht="15.75" x14ac:dyDescent="0.25">
      <c r="A24" s="568" t="s">
        <v>20</v>
      </c>
      <c r="B24" s="568" t="s">
        <v>21</v>
      </c>
      <c r="C24" s="568" t="s">
        <v>25</v>
      </c>
      <c r="D24" s="313" t="str">
        <f>IFERROR(VLOOKUP(WHEATCLAIM2022[[#This Row],[FIELD]],FFTBL[[Field]:[COUNTY2]],7,FALSE),"")</f>
        <v>SEDGWICK</v>
      </c>
      <c r="E24" s="313" t="str">
        <f>IFERROR(VLOOKUP(WHEATCLAIM2022[[#This Row],[FIELD]],FFTBL[[Field]:[COUNTY2]],3,FALSE),"")</f>
        <v>E2 13-9-47</v>
      </c>
      <c r="F24" s="671">
        <f>IFERROR(VLOOKUP(WHEATCLAIM2022[[#This Row],[FIELD]],FFTBL[[Field]:[COUNTY2]],2,FALSE),"")</f>
        <v>159.69999999999999</v>
      </c>
      <c r="G24" s="379">
        <f>SUMIFS(WheatYield40[GROSS BUSHELS],WheatYield40[Field],WHEATCLAIM2022[[#This Row],[FIELD]])</f>
        <v>0</v>
      </c>
      <c r="H24" s="308">
        <v>4.7</v>
      </c>
      <c r="I24" s="309">
        <v>68</v>
      </c>
      <c r="J24" s="310">
        <f>WHEATCLAIM2022[[#This Row],[AVERAGE PRODUCTION HISTORY (APH)]]*WHEATCLAIM2022[[#This Row],[HARVEST PRICE / PLANTING PRICE USED]]</f>
        <v>319.60000000000002</v>
      </c>
      <c r="K24" s="311">
        <f>IFERROR((WHEATCLAIM2022[[#This Row],[PER ACRE GARAUNTEE $]]*WHEATCLAIM2022[[#This Row],[ACRES]]),"")</f>
        <v>51040.12</v>
      </c>
      <c r="L24" s="312"/>
      <c r="M24" s="312">
        <f>WHEATCLAIM2022[[#This Row],[TOTAL GARAUNTEE]]-WHEATCLAIM2022[[#This Row],[BUSHELS PRODUCED]]</f>
        <v>0</v>
      </c>
      <c r="N24" s="308">
        <f>(WHEATCLAIM2022[[#This Row],[DEFICIENCY]]*WHEATCLAIM2022[[#This Row],[HARVEST PRICE / PLANTING PRICE USED]])/WHEATCLAIM2022[[#This Row],[ACRES]]</f>
        <v>0</v>
      </c>
      <c r="O24" s="308">
        <f>WHEATCLAIM2022[[#This Row],[BUSHELS PRODUCED]]*WHEATCLAIM2022[[#This Row],[HARVEST PRICE / PLANTING PRICE USED]]</f>
        <v>0</v>
      </c>
      <c r="P24" s="310">
        <f>WHEATCLAIM2022[[#This Row],[DEFICIENCY]]*WHEATCLAIM2022[[#This Row],[HARVEST PRICE / PLANTING PRICE USED]]</f>
        <v>0</v>
      </c>
      <c r="Q24" s="311"/>
      <c r="R24" s="310">
        <f>WHEATCLAIM2022[[#This Row],[PAYMENT FROM INSURANCE]]*0.65</f>
        <v>0</v>
      </c>
      <c r="S24" s="310">
        <f>WHEATCLAIM2022[[#This Row],[PAYMENT FROM INSURANCE]]*0.35</f>
        <v>0</v>
      </c>
    </row>
    <row r="25" spans="1:19" ht="15.75" x14ac:dyDescent="0.25">
      <c r="A25" s="300"/>
      <c r="B25" s="300"/>
      <c r="C25" s="293" t="s">
        <v>56</v>
      </c>
      <c r="D25" s="313">
        <f>IFERROR(VLOOKUP(WHEATCLAIM2022[[#This Row],[FIELD]],FFTBL[[Field]:[COUNTY2]],7,FALSE),"")</f>
        <v>0</v>
      </c>
      <c r="E25" s="313">
        <f>IFERROR(VLOOKUP(WHEATCLAIM2022[[#This Row],[FIELD]],FFTBL[[Field]:[COUNTY2]],3,FALSE),"")</f>
        <v>0</v>
      </c>
      <c r="F25" s="671">
        <f>IFERROR(VLOOKUP(WHEATCLAIM2022[[#This Row],[FIELD]],FFTBL[[Field]:[COUNTY2]],2,FALSE),"")</f>
        <v>39.4</v>
      </c>
      <c r="G25" s="379">
        <f>SUMIFS(WheatYield40[GROSS BUSHELS],WheatYield40[Field],WHEATCLAIM2022[[#This Row],[FIELD]])</f>
        <v>0</v>
      </c>
      <c r="H25" s="308"/>
      <c r="I25" s="309"/>
      <c r="J25" s="310">
        <f>WHEATCLAIM2022[[#This Row],[AVERAGE PRODUCTION HISTORY (APH)]]*WHEATCLAIM2022[[#This Row],[HARVEST PRICE / PLANTING PRICE USED]]</f>
        <v>0</v>
      </c>
      <c r="K25" s="311">
        <f>IFERROR((WHEATCLAIM2022[[#This Row],[PER ACRE GARAUNTEE $]]*WHEATCLAIM2022[[#This Row],[ACRES]]),"")</f>
        <v>0</v>
      </c>
      <c r="L25" s="312"/>
      <c r="M25" s="312">
        <f>WHEATCLAIM2022[[#This Row],[TOTAL GARAUNTEE]]-WHEATCLAIM2022[[#This Row],[BUSHELS PRODUCED]]</f>
        <v>0</v>
      </c>
      <c r="N25" s="308">
        <f>(WHEATCLAIM2022[[#This Row],[DEFICIENCY]]*WHEATCLAIM2022[[#This Row],[HARVEST PRICE / PLANTING PRICE USED]])/WHEATCLAIM2022[[#This Row],[ACRES]]</f>
        <v>0</v>
      </c>
      <c r="O25" s="308">
        <f>WHEATCLAIM2022[[#This Row],[BUSHELS PRODUCED]]*WHEATCLAIM2022[[#This Row],[HARVEST PRICE / PLANTING PRICE USED]]</f>
        <v>0</v>
      </c>
      <c r="P25" s="310">
        <f>WHEATCLAIM2022[[#This Row],[DEFICIENCY]]*WHEATCLAIM2022[[#This Row],[HARVEST PRICE / PLANTING PRICE USED]]</f>
        <v>0</v>
      </c>
      <c r="Q25" s="311"/>
      <c r="R25" s="310">
        <f>WHEATCLAIM2022[[#This Row],[PAYMENT FROM INSURANCE]]*0.65</f>
        <v>0</v>
      </c>
      <c r="S25" s="310">
        <f>WHEATCLAIM2022[[#This Row],[PAYMENT FROM INSURANCE]]*0.35</f>
        <v>0</v>
      </c>
    </row>
    <row r="26" spans="1:19" ht="15.75" x14ac:dyDescent="0.25">
      <c r="A26" s="300"/>
      <c r="B26" s="300"/>
      <c r="C26" s="664" t="s">
        <v>57</v>
      </c>
      <c r="D26" s="313" t="str">
        <f>IFERROR(VLOOKUP(WHEATCLAIM2022[[#This Row],[FIELD]],FFTBL[[Field]:[COUNTY2]],7,FALSE),"")</f>
        <v>SEDGWICK</v>
      </c>
      <c r="E26" s="313" t="str">
        <f>IFERROR(VLOOKUP(WHEATCLAIM2022[[#This Row],[FIELD]],FFTBL[[Field]:[COUNTY2]],3,FALSE),"")</f>
        <v>SW13-9-47</v>
      </c>
      <c r="F26" s="671">
        <f>IFERROR(VLOOKUP(WHEATCLAIM2022[[#This Row],[FIELD]],FFTBL[[Field]:[COUNTY2]],2,FALSE),"")</f>
        <v>72</v>
      </c>
      <c r="G26" s="379">
        <f>SUMIFS(WheatYield40[GROSS BUSHELS],WheatYield40[Field],WHEATCLAIM2022[[#This Row],[FIELD]])</f>
        <v>0</v>
      </c>
      <c r="H26" s="308"/>
      <c r="I26" s="309"/>
      <c r="J26" s="310">
        <f>WHEATCLAIM2022[[#This Row],[AVERAGE PRODUCTION HISTORY (APH)]]*WHEATCLAIM2022[[#This Row],[HARVEST PRICE / PLANTING PRICE USED]]</f>
        <v>0</v>
      </c>
      <c r="K26" s="311">
        <f>IFERROR((WHEATCLAIM2022[[#This Row],[PER ACRE GARAUNTEE $]]*WHEATCLAIM2022[[#This Row],[ACRES]]),"")</f>
        <v>0</v>
      </c>
      <c r="L26" s="312"/>
      <c r="M26" s="312">
        <f>WHEATCLAIM2022[[#This Row],[TOTAL GARAUNTEE]]-WHEATCLAIM2022[[#This Row],[BUSHELS PRODUCED]]</f>
        <v>0</v>
      </c>
      <c r="N26" s="308">
        <f>(WHEATCLAIM2022[[#This Row],[DEFICIENCY]]*WHEATCLAIM2022[[#This Row],[HARVEST PRICE / PLANTING PRICE USED]])/WHEATCLAIM2022[[#This Row],[ACRES]]</f>
        <v>0</v>
      </c>
      <c r="O26" s="308">
        <f>WHEATCLAIM2022[[#This Row],[BUSHELS PRODUCED]]*WHEATCLAIM2022[[#This Row],[HARVEST PRICE / PLANTING PRICE USED]]</f>
        <v>0</v>
      </c>
      <c r="P26" s="310">
        <f>WHEATCLAIM2022[[#This Row],[DEFICIENCY]]*WHEATCLAIM2022[[#This Row],[HARVEST PRICE / PLANTING PRICE USED]]</f>
        <v>0</v>
      </c>
      <c r="Q26" s="311"/>
      <c r="R26" s="310">
        <f>WHEATCLAIM2022[[#This Row],[PAYMENT FROM INSURANCE]]*0.65</f>
        <v>0</v>
      </c>
      <c r="S26" s="310">
        <f>WHEATCLAIM2022[[#This Row],[PAYMENT FROM INSURANCE]]*0.35</f>
        <v>0</v>
      </c>
    </row>
    <row r="27" spans="1:19" ht="15.75" x14ac:dyDescent="0.25">
      <c r="A27" s="645" t="s">
        <v>20</v>
      </c>
      <c r="B27" s="645" t="s">
        <v>26</v>
      </c>
      <c r="C27" s="664" t="s">
        <v>58</v>
      </c>
      <c r="D27" s="313" t="str">
        <f>IFERROR(VLOOKUP(WHEATCLAIM2022[[#This Row],[FIELD]],FFTBL[[Field]:[COUNTY2]],7,FALSE),"")</f>
        <v>PHILLIPS</v>
      </c>
      <c r="E27" s="313" t="str">
        <f>IFERROR(VLOOKUP(WHEATCLAIM2022[[#This Row],[FIELD]],FFTBL[[Field]:[COUNTY2]],3,FALSE),"")</f>
        <v>SW 17-6-47</v>
      </c>
      <c r="F27" s="671">
        <f>IFERROR(VLOOKUP(WHEATCLAIM2022[[#This Row],[FIELD]],FFTBL[[Field]:[COUNTY2]],2,FALSE),"")</f>
        <v>65.400000000000006</v>
      </c>
      <c r="G27" s="379">
        <f>SUMIFS(WheatYield40[GROSS BUSHELS],WheatYield40[Field],WHEATCLAIM2022[[#This Row],[FIELD]])</f>
        <v>0</v>
      </c>
      <c r="H27" s="308">
        <v>4.7</v>
      </c>
      <c r="I27" s="309"/>
      <c r="J27" s="310">
        <f>WHEATCLAIM2022[[#This Row],[AVERAGE PRODUCTION HISTORY (APH)]]*WHEATCLAIM2022[[#This Row],[HARVEST PRICE / PLANTING PRICE USED]]</f>
        <v>0</v>
      </c>
      <c r="K27" s="311">
        <f>IFERROR((WHEATCLAIM2022[[#This Row],[PER ACRE GARAUNTEE $]]*WHEATCLAIM2022[[#This Row],[ACRES]]),"")</f>
        <v>0</v>
      </c>
      <c r="L27" s="312"/>
      <c r="M27" s="312">
        <f>WHEATCLAIM2022[[#This Row],[TOTAL GARAUNTEE]]-WHEATCLAIM2022[[#This Row],[BUSHELS PRODUCED]]</f>
        <v>0</v>
      </c>
      <c r="N27" s="308">
        <f>(WHEATCLAIM2022[[#This Row],[DEFICIENCY]]*WHEATCLAIM2022[[#This Row],[HARVEST PRICE / PLANTING PRICE USED]])/WHEATCLAIM2022[[#This Row],[ACRES]]</f>
        <v>0</v>
      </c>
      <c r="O27" s="308">
        <f>WHEATCLAIM2022[[#This Row],[BUSHELS PRODUCED]]*WHEATCLAIM2022[[#This Row],[HARVEST PRICE / PLANTING PRICE USED]]</f>
        <v>0</v>
      </c>
      <c r="P27" s="310">
        <f>WHEATCLAIM2022[[#This Row],[DEFICIENCY]]*WHEATCLAIM2022[[#This Row],[HARVEST PRICE / PLANTING PRICE USED]]</f>
        <v>0</v>
      </c>
      <c r="Q27" s="311"/>
      <c r="R27" s="310">
        <f>WHEATCLAIM2022[[#This Row],[PAYMENT FROM INSURANCE]]*0.65</f>
        <v>0</v>
      </c>
      <c r="S27" s="310">
        <f>WHEATCLAIM2022[[#This Row],[PAYMENT FROM INSURANCE]]*0.35</f>
        <v>0</v>
      </c>
    </row>
    <row r="28" spans="1:19" ht="15.75" x14ac:dyDescent="0.25">
      <c r="A28" s="645" t="s">
        <v>20</v>
      </c>
      <c r="B28" s="645" t="s">
        <v>26</v>
      </c>
      <c r="C28" s="664" t="s">
        <v>59</v>
      </c>
      <c r="D28" s="313" t="str">
        <f>IFERROR(VLOOKUP(WHEATCLAIM2022[[#This Row],[FIELD]],FFTBL[[Field]:[COUNTY2]],7,FALSE),"")</f>
        <v>PHILLIPS</v>
      </c>
      <c r="E28" s="313" t="str">
        <f>IFERROR(VLOOKUP(WHEATCLAIM2022[[#This Row],[FIELD]],FFTBL[[Field]:[COUNTY2]],3,FALSE),"")</f>
        <v>SE 17-6-47</v>
      </c>
      <c r="F28" s="671">
        <f>IFERROR(VLOOKUP(WHEATCLAIM2022[[#This Row],[FIELD]],FFTBL[[Field]:[COUNTY2]],2,FALSE),"")</f>
        <v>64.2</v>
      </c>
      <c r="G28" s="379">
        <f>SUMIFS(WheatYield40[GROSS BUSHELS],WheatYield40[Field],WHEATCLAIM2022[[#This Row],[FIELD]])</f>
        <v>0</v>
      </c>
      <c r="H28" s="308"/>
      <c r="I28" s="309"/>
      <c r="J28" s="310">
        <f>WHEATCLAIM2022[[#This Row],[AVERAGE PRODUCTION HISTORY (APH)]]*WHEATCLAIM2022[[#This Row],[HARVEST PRICE / PLANTING PRICE USED]]</f>
        <v>0</v>
      </c>
      <c r="K28" s="311">
        <f>IFERROR((WHEATCLAIM2022[[#This Row],[PER ACRE GARAUNTEE $]]*WHEATCLAIM2022[[#This Row],[ACRES]]),"")</f>
        <v>0</v>
      </c>
      <c r="L28" s="312"/>
      <c r="M28" s="312">
        <f>WHEATCLAIM2022[[#This Row],[TOTAL GARAUNTEE]]-WHEATCLAIM2022[[#This Row],[BUSHELS PRODUCED]]</f>
        <v>0</v>
      </c>
      <c r="N28" s="308">
        <f>(WHEATCLAIM2022[[#This Row],[DEFICIENCY]]*WHEATCLAIM2022[[#This Row],[HARVEST PRICE / PLANTING PRICE USED]])/WHEATCLAIM2022[[#This Row],[ACRES]]</f>
        <v>0</v>
      </c>
      <c r="O28" s="308">
        <f>WHEATCLAIM2022[[#This Row],[BUSHELS PRODUCED]]*WHEATCLAIM2022[[#This Row],[HARVEST PRICE / PLANTING PRICE USED]]</f>
        <v>0</v>
      </c>
      <c r="P28" s="310">
        <f>WHEATCLAIM2022[[#This Row],[DEFICIENCY]]*WHEATCLAIM2022[[#This Row],[HARVEST PRICE / PLANTING PRICE USED]]</f>
        <v>0</v>
      </c>
      <c r="Q28" s="311"/>
      <c r="R28" s="310">
        <f>WHEATCLAIM2022[[#This Row],[PAYMENT FROM INSURANCE]]*0.65</f>
        <v>0</v>
      </c>
      <c r="S28" s="310">
        <f>WHEATCLAIM2022[[#This Row],[PAYMENT FROM INSURANCE]]*0.35</f>
        <v>0</v>
      </c>
    </row>
    <row r="29" spans="1:19" ht="15.75" x14ac:dyDescent="0.25">
      <c r="A29" s="647" t="s">
        <v>20</v>
      </c>
      <c r="B29" s="647" t="s">
        <v>28</v>
      </c>
      <c r="C29" s="655" t="s">
        <v>29</v>
      </c>
      <c r="D29" s="313" t="str">
        <f>IFERROR(VLOOKUP(WHEATCLAIM2022[[#This Row],[FIELD]],FFTBL[[Field]:[COUNTY2]],7,FALSE),"")</f>
        <v>PHILLIPS</v>
      </c>
      <c r="E29" s="313" t="str">
        <f>IFERROR(VLOOKUP(WHEATCLAIM2022[[#This Row],[FIELD]],FFTBL[[Field]:[COUNTY2]],3,FALSE),"")</f>
        <v>SW4 35-7-47</v>
      </c>
      <c r="F29" s="671">
        <f>IFERROR(VLOOKUP(WHEATCLAIM2022[[#This Row],[FIELD]],FFTBL[[Field]:[COUNTY2]],2,FALSE),"")</f>
        <v>79.2</v>
      </c>
      <c r="G29" s="379">
        <f>SUMIFS(WheatYield40[GROSS BUSHELS],WheatYield40[Field],WHEATCLAIM2022[[#This Row],[FIELD]])</f>
        <v>0</v>
      </c>
      <c r="H29" s="308">
        <v>4.7</v>
      </c>
      <c r="I29" s="309">
        <v>65</v>
      </c>
      <c r="J29" s="310">
        <f>WHEATCLAIM2022[[#This Row],[AVERAGE PRODUCTION HISTORY (APH)]]*WHEATCLAIM2022[[#This Row],[HARVEST PRICE / PLANTING PRICE USED]]</f>
        <v>305.5</v>
      </c>
      <c r="K29" s="311">
        <f>IFERROR((WHEATCLAIM2022[[#This Row],[PER ACRE GARAUNTEE $]]*WHEATCLAIM2022[[#This Row],[ACRES]]),"")</f>
        <v>24195.600000000002</v>
      </c>
      <c r="L29" s="312"/>
      <c r="M29" s="312">
        <f>WHEATCLAIM2022[[#This Row],[TOTAL GARAUNTEE]]-WHEATCLAIM2022[[#This Row],[BUSHELS PRODUCED]]</f>
        <v>0</v>
      </c>
      <c r="N29" s="308">
        <f>(WHEATCLAIM2022[[#This Row],[DEFICIENCY]]*WHEATCLAIM2022[[#This Row],[HARVEST PRICE / PLANTING PRICE USED]])/WHEATCLAIM2022[[#This Row],[ACRES]]</f>
        <v>0</v>
      </c>
      <c r="O29" s="308">
        <f>WHEATCLAIM2022[[#This Row],[BUSHELS PRODUCED]]*WHEATCLAIM2022[[#This Row],[HARVEST PRICE / PLANTING PRICE USED]]</f>
        <v>0</v>
      </c>
      <c r="P29" s="310">
        <f>WHEATCLAIM2022[[#This Row],[DEFICIENCY]]*WHEATCLAIM2022[[#This Row],[HARVEST PRICE / PLANTING PRICE USED]]</f>
        <v>0</v>
      </c>
      <c r="Q29" s="311"/>
      <c r="R29" s="310">
        <f>WHEATCLAIM2022[[#This Row],[PAYMENT FROM INSURANCE]]*0.65</f>
        <v>0</v>
      </c>
      <c r="S29" s="310">
        <f>WHEATCLAIM2022[[#This Row],[PAYMENT FROM INSURANCE]]*0.35</f>
        <v>0</v>
      </c>
    </row>
    <row r="30" spans="1:19" ht="15.75" x14ac:dyDescent="0.25">
      <c r="A30" s="568" t="s">
        <v>20</v>
      </c>
      <c r="B30" s="568" t="s">
        <v>28</v>
      </c>
      <c r="C30" s="568" t="s">
        <v>30</v>
      </c>
      <c r="D30" s="313" t="str">
        <f>IFERROR(VLOOKUP(WHEATCLAIM2022[[#This Row],[FIELD]],FFTBL[[Field]:[COUNTY2]],7,FALSE),"")</f>
        <v>LOGAN</v>
      </c>
      <c r="E30" s="313" t="str">
        <f>IFERROR(VLOOKUP(WHEATCLAIM2022[[#This Row],[FIELD]],FFTBL[[Field]:[COUNTY2]],3,FALSE),"")</f>
        <v>NE 14-7-48</v>
      </c>
      <c r="F30" s="671">
        <f>IFERROR(VLOOKUP(WHEATCLAIM2022[[#This Row],[FIELD]],FFTBL[[Field]:[COUNTY2]],2,FALSE),"")</f>
        <v>101.9</v>
      </c>
      <c r="G30" s="379">
        <f>SUMIFS(WheatYield40[GROSS BUSHELS],WheatYield40[Field],WHEATCLAIM2022[[#This Row],[FIELD]])</f>
        <v>0</v>
      </c>
      <c r="H30" s="308">
        <v>4.7</v>
      </c>
      <c r="I30" s="309">
        <v>67</v>
      </c>
      <c r="J30" s="310">
        <f>WHEATCLAIM2022[[#This Row],[AVERAGE PRODUCTION HISTORY (APH)]]*WHEATCLAIM2022[[#This Row],[HARVEST PRICE / PLANTING PRICE USED]]</f>
        <v>314.90000000000003</v>
      </c>
      <c r="K30" s="311">
        <f>IFERROR((WHEATCLAIM2022[[#This Row],[PER ACRE GARAUNTEE $]]*WHEATCLAIM2022[[#This Row],[ACRES]]),"")</f>
        <v>32088.310000000005</v>
      </c>
      <c r="L30" s="312"/>
      <c r="M30" s="312">
        <f>WHEATCLAIM2022[[#This Row],[TOTAL GARAUNTEE]]-WHEATCLAIM2022[[#This Row],[BUSHELS PRODUCED]]</f>
        <v>0</v>
      </c>
      <c r="N30" s="308">
        <f>(WHEATCLAIM2022[[#This Row],[DEFICIENCY]]*WHEATCLAIM2022[[#This Row],[HARVEST PRICE / PLANTING PRICE USED]])/WHEATCLAIM2022[[#This Row],[ACRES]]</f>
        <v>0</v>
      </c>
      <c r="O30" s="308">
        <f>WHEATCLAIM2022[[#This Row],[BUSHELS PRODUCED]]*WHEATCLAIM2022[[#This Row],[HARVEST PRICE / PLANTING PRICE USED]]</f>
        <v>0</v>
      </c>
      <c r="P30" s="310">
        <f>WHEATCLAIM2022[[#This Row],[DEFICIENCY]]*WHEATCLAIM2022[[#This Row],[HARVEST PRICE / PLANTING PRICE USED]]</f>
        <v>0</v>
      </c>
      <c r="Q30" s="311"/>
      <c r="R30" s="310">
        <f>WHEATCLAIM2022[[#This Row],[PAYMENT FROM INSURANCE]]*0.65</f>
        <v>0</v>
      </c>
      <c r="S30" s="310">
        <f>WHEATCLAIM2022[[#This Row],[PAYMENT FROM INSURANCE]]*0.35</f>
        <v>0</v>
      </c>
    </row>
    <row r="31" spans="1:19" ht="15.75" x14ac:dyDescent="0.25">
      <c r="A31" s="568" t="s">
        <v>20</v>
      </c>
      <c r="B31" s="568" t="s">
        <v>28</v>
      </c>
      <c r="C31" s="568" t="s">
        <v>31</v>
      </c>
      <c r="D31" s="313" t="str">
        <f>IFERROR(VLOOKUP(WHEATCLAIM2022[[#This Row],[FIELD]],FFTBL[[Field]:[COUNTY2]],7,FALSE),"")</f>
        <v>LOGAN</v>
      </c>
      <c r="E31" s="313" t="str">
        <f>IFERROR(VLOOKUP(WHEATCLAIM2022[[#This Row],[FIELD]],FFTBL[[Field]:[COUNTY2]],3,FALSE),"")</f>
        <v>NE 15-7-48</v>
      </c>
      <c r="F31" s="671">
        <f>IFERROR(VLOOKUP(WHEATCLAIM2022[[#This Row],[FIELD]],FFTBL[[Field]:[COUNTY2]],2,FALSE),"")</f>
        <v>157.5</v>
      </c>
      <c r="G31" s="379">
        <f>SUMIFS(WheatYield40[GROSS BUSHELS],WheatYield40[Field],WHEATCLAIM2022[[#This Row],[FIELD]])</f>
        <v>0</v>
      </c>
      <c r="H31" s="308">
        <v>4.7</v>
      </c>
      <c r="I31" s="309">
        <v>78</v>
      </c>
      <c r="J31" s="310">
        <f>WHEATCLAIM2022[[#This Row],[AVERAGE PRODUCTION HISTORY (APH)]]*WHEATCLAIM2022[[#This Row],[HARVEST PRICE / PLANTING PRICE USED]]</f>
        <v>366.6</v>
      </c>
      <c r="K31" s="311">
        <f>IFERROR((WHEATCLAIM2022[[#This Row],[PER ACRE GARAUNTEE $]]*WHEATCLAIM2022[[#This Row],[ACRES]]),"")</f>
        <v>57739.5</v>
      </c>
      <c r="L31" s="312"/>
      <c r="M31" s="312">
        <f>WHEATCLAIM2022[[#This Row],[TOTAL GARAUNTEE]]-WHEATCLAIM2022[[#This Row],[BUSHELS PRODUCED]]</f>
        <v>0</v>
      </c>
      <c r="N31" s="308">
        <f>(WHEATCLAIM2022[[#This Row],[DEFICIENCY]]*WHEATCLAIM2022[[#This Row],[HARVEST PRICE / PLANTING PRICE USED]])/WHEATCLAIM2022[[#This Row],[ACRES]]</f>
        <v>0</v>
      </c>
      <c r="O31" s="308">
        <f>WHEATCLAIM2022[[#This Row],[BUSHELS PRODUCED]]*WHEATCLAIM2022[[#This Row],[HARVEST PRICE / PLANTING PRICE USED]]</f>
        <v>0</v>
      </c>
      <c r="P31" s="310">
        <f>WHEATCLAIM2022[[#This Row],[DEFICIENCY]]*WHEATCLAIM2022[[#This Row],[HARVEST PRICE / PLANTING PRICE USED]]</f>
        <v>0</v>
      </c>
      <c r="Q31" s="311"/>
      <c r="R31" s="310">
        <f>WHEATCLAIM2022[[#This Row],[PAYMENT FROM INSURANCE]]*0.65</f>
        <v>0</v>
      </c>
      <c r="S31" s="310">
        <f>WHEATCLAIM2022[[#This Row],[PAYMENT FROM INSURANCE]]*0.35</f>
        <v>0</v>
      </c>
    </row>
    <row r="32" spans="1:19" ht="15.75" x14ac:dyDescent="0.25">
      <c r="A32" s="568" t="s">
        <v>20</v>
      </c>
      <c r="B32" s="568" t="s">
        <v>32</v>
      </c>
      <c r="C32" s="637" t="s">
        <v>33</v>
      </c>
      <c r="D32" s="313" t="str">
        <f>IFERROR(VLOOKUP(WHEATCLAIM2022[[#This Row],[FIELD]],FFTBL[[Field]:[COUNTY2]],7,FALSE),"")</f>
        <v>PHILLIPS</v>
      </c>
      <c r="E32" s="314" t="str">
        <f>IFERROR(VLOOKUP(WHEATCLAIM2022[[#This Row],[FIELD]],FFTBL[[Field]:[COUNTY2]],3,FALSE),"")</f>
        <v>SW4 12-8-47</v>
      </c>
      <c r="F32" s="312">
        <f>IFERROR(VLOOKUP(WHEATCLAIM2022[[#This Row],[FIELD]],FFTBL[[Field]:[COUNTY2]],2,FALSE),"")</f>
        <v>79.099999999999994</v>
      </c>
      <c r="G32" s="379">
        <f>SUMIFS(WheatYield40[GROSS BUSHELS],WheatYield40[Field],WHEATCLAIM2022[[#This Row],[FIELD]])</f>
        <v>0</v>
      </c>
      <c r="H32" s="308">
        <v>4.7</v>
      </c>
      <c r="I32" s="309">
        <v>75</v>
      </c>
      <c r="J32" s="310">
        <f>WHEATCLAIM2022[[#This Row],[AVERAGE PRODUCTION HISTORY (APH)]]*WHEATCLAIM2022[[#This Row],[HARVEST PRICE / PLANTING PRICE USED]]</f>
        <v>352.5</v>
      </c>
      <c r="K32" s="311">
        <f>IFERROR((WHEATCLAIM2022[[#This Row],[PER ACRE GARAUNTEE $]]*WHEATCLAIM2022[[#This Row],[ACRES]]),"")</f>
        <v>27882.749999999996</v>
      </c>
      <c r="L32" s="312"/>
      <c r="M32" s="312">
        <f>WHEATCLAIM2022[[#This Row],[TOTAL GARAUNTEE]]-WHEATCLAIM2022[[#This Row],[BUSHELS PRODUCED]]</f>
        <v>0</v>
      </c>
      <c r="N32" s="308">
        <f>(WHEATCLAIM2022[[#This Row],[DEFICIENCY]]*WHEATCLAIM2022[[#This Row],[HARVEST PRICE / PLANTING PRICE USED]])/WHEATCLAIM2022[[#This Row],[ACRES]]</f>
        <v>0</v>
      </c>
      <c r="O32" s="308">
        <f>WHEATCLAIM2022[[#This Row],[BUSHELS PRODUCED]]*WHEATCLAIM2022[[#This Row],[HARVEST PRICE / PLANTING PRICE USED]]</f>
        <v>0</v>
      </c>
      <c r="P32" s="310">
        <f>WHEATCLAIM2022[[#This Row],[DEFICIENCY]]*WHEATCLAIM2022[[#This Row],[HARVEST PRICE / PLANTING PRICE USED]]</f>
        <v>0</v>
      </c>
      <c r="Q32" s="311"/>
      <c r="R32" s="310">
        <f>WHEATCLAIM2022[[#This Row],[PAYMENT FROM INSURANCE]]*0.65</f>
        <v>0</v>
      </c>
      <c r="S32" s="310">
        <f>WHEATCLAIM2022[[#This Row],[PAYMENT FROM INSURANCE]]*0.35</f>
        <v>0</v>
      </c>
    </row>
    <row r="33" spans="1:19" ht="15.75" x14ac:dyDescent="0.25">
      <c r="A33" s="568" t="s">
        <v>20</v>
      </c>
      <c r="B33" s="568" t="s">
        <v>32</v>
      </c>
      <c r="C33" s="637" t="s">
        <v>34</v>
      </c>
      <c r="D33" s="313" t="str">
        <f>IFERROR(VLOOKUP(WHEATCLAIM2022[[#This Row],[FIELD]],FFTBL[[Field]:[COUNTY2]],7,FALSE),"")</f>
        <v>PHILLIPS</v>
      </c>
      <c r="E33" s="314" t="str">
        <f>IFERROR(VLOOKUP(WHEATCLAIM2022[[#This Row],[FIELD]],FFTBL[[Field]:[COUNTY2]],3,FALSE),"")</f>
        <v>NE4 32-8-47</v>
      </c>
      <c r="F33" s="312">
        <f>IFERROR(VLOOKUP(WHEATCLAIM2022[[#This Row],[FIELD]],FFTBL[[Field]:[COUNTY2]],2,FALSE),"")</f>
        <v>77.400000000000006</v>
      </c>
      <c r="G33" s="379">
        <f>SUMIFS(WheatYield40[GROSS BUSHELS],WheatYield40[Field],WHEATCLAIM2022[[#This Row],[FIELD]])</f>
        <v>0</v>
      </c>
      <c r="H33" s="308">
        <v>4.7</v>
      </c>
      <c r="I33" s="309">
        <v>85</v>
      </c>
      <c r="J33" s="310">
        <f>WHEATCLAIM2022[[#This Row],[AVERAGE PRODUCTION HISTORY (APH)]]*WHEATCLAIM2022[[#This Row],[HARVEST PRICE / PLANTING PRICE USED]]</f>
        <v>399.5</v>
      </c>
      <c r="K33" s="311">
        <f>IFERROR((WHEATCLAIM2022[[#This Row],[PER ACRE GARAUNTEE $]]*WHEATCLAIM2022[[#This Row],[ACRES]]),"")</f>
        <v>30921.300000000003</v>
      </c>
      <c r="L33" s="312"/>
      <c r="M33" s="312">
        <f>WHEATCLAIM2022[[#This Row],[TOTAL GARAUNTEE]]-WHEATCLAIM2022[[#This Row],[BUSHELS PRODUCED]]</f>
        <v>0</v>
      </c>
      <c r="N33" s="308">
        <f>(WHEATCLAIM2022[[#This Row],[DEFICIENCY]]*WHEATCLAIM2022[[#This Row],[HARVEST PRICE / PLANTING PRICE USED]])/WHEATCLAIM2022[[#This Row],[ACRES]]</f>
        <v>0</v>
      </c>
      <c r="O33" s="308">
        <f>WHEATCLAIM2022[[#This Row],[BUSHELS PRODUCED]]*WHEATCLAIM2022[[#This Row],[HARVEST PRICE / PLANTING PRICE USED]]</f>
        <v>0</v>
      </c>
      <c r="P33" s="310">
        <f>WHEATCLAIM2022[[#This Row],[DEFICIENCY]]*WHEATCLAIM2022[[#This Row],[HARVEST PRICE / PLANTING PRICE USED]]</f>
        <v>0</v>
      </c>
      <c r="Q33" s="311"/>
      <c r="R33" s="310">
        <f>WHEATCLAIM2022[[#This Row],[PAYMENT FROM INSURANCE]]*0.65</f>
        <v>0</v>
      </c>
      <c r="S33" s="310">
        <f>WHEATCLAIM2022[[#This Row],[PAYMENT FROM INSURANCE]]*0.35</f>
        <v>0</v>
      </c>
    </row>
    <row r="34" spans="1:19" ht="15.75" x14ac:dyDescent="0.25">
      <c r="A34" s="568" t="s">
        <v>20</v>
      </c>
      <c r="B34" s="568" t="s">
        <v>35</v>
      </c>
      <c r="C34" s="637" t="s">
        <v>36</v>
      </c>
      <c r="D34" s="313" t="str">
        <f>IFERROR(VLOOKUP(WHEATCLAIM2022[[#This Row],[FIELD]],FFTBL[[Field]:[COUNTY2]],7,FALSE),"")</f>
        <v>PHILLIPS</v>
      </c>
      <c r="E34" s="314" t="str">
        <f>IFERROR(VLOOKUP(WHEATCLAIM2022[[#This Row],[FIELD]],FFTBL[[Field]:[COUNTY2]],3,FALSE),"")</f>
        <v>NE 20-8-47</v>
      </c>
      <c r="F34" s="312">
        <f>IFERROR(VLOOKUP(WHEATCLAIM2022[[#This Row],[FIELD]],FFTBL[[Field]:[COUNTY2]],2,FALSE),"")</f>
        <v>71.5</v>
      </c>
      <c r="G34" s="379">
        <f>SUMIFS(WheatYield40[GROSS BUSHELS],WheatYield40[Field],WHEATCLAIM2022[[#This Row],[FIELD]])</f>
        <v>0</v>
      </c>
      <c r="H34" s="308">
        <v>4.7</v>
      </c>
      <c r="I34" s="309">
        <v>78</v>
      </c>
      <c r="J34" s="310">
        <f>WHEATCLAIM2022[[#This Row],[AVERAGE PRODUCTION HISTORY (APH)]]*WHEATCLAIM2022[[#This Row],[HARVEST PRICE / PLANTING PRICE USED]]</f>
        <v>366.6</v>
      </c>
      <c r="K34" s="311">
        <f>IFERROR((WHEATCLAIM2022[[#This Row],[PER ACRE GARAUNTEE $]]*WHEATCLAIM2022[[#This Row],[ACRES]]),"")</f>
        <v>26211.9</v>
      </c>
      <c r="L34" s="312"/>
      <c r="M34" s="312">
        <f>WHEATCLAIM2022[[#This Row],[TOTAL GARAUNTEE]]-WHEATCLAIM2022[[#This Row],[BUSHELS PRODUCED]]</f>
        <v>0</v>
      </c>
      <c r="N34" s="308">
        <f>(WHEATCLAIM2022[[#This Row],[DEFICIENCY]]*WHEATCLAIM2022[[#This Row],[HARVEST PRICE / PLANTING PRICE USED]])/WHEATCLAIM2022[[#This Row],[ACRES]]</f>
        <v>0</v>
      </c>
      <c r="O34" s="308">
        <f>WHEATCLAIM2022[[#This Row],[BUSHELS PRODUCED]]*WHEATCLAIM2022[[#This Row],[HARVEST PRICE / PLANTING PRICE USED]]</f>
        <v>0</v>
      </c>
      <c r="P34" s="310">
        <f>WHEATCLAIM2022[[#This Row],[DEFICIENCY]]*WHEATCLAIM2022[[#This Row],[HARVEST PRICE / PLANTING PRICE USED]]</f>
        <v>0</v>
      </c>
      <c r="Q34" s="311"/>
      <c r="R34" s="310">
        <f>WHEATCLAIM2022[[#This Row],[PAYMENT FROM INSURANCE]]*0.65</f>
        <v>0</v>
      </c>
      <c r="S34" s="310">
        <f>WHEATCLAIM2022[[#This Row],[PAYMENT FROM INSURANCE]]*0.35</f>
        <v>0</v>
      </c>
    </row>
    <row r="35" spans="1:19" ht="15.75" x14ac:dyDescent="0.25">
      <c r="A35" s="568" t="s">
        <v>20</v>
      </c>
      <c r="B35" s="568" t="s">
        <v>35</v>
      </c>
      <c r="C35" s="637" t="s">
        <v>37</v>
      </c>
      <c r="D35" s="313" t="str">
        <f>IFERROR(VLOOKUP(WHEATCLAIM2022[[#This Row],[FIELD]],FFTBL[[Field]:[COUNTY2]],7,FALSE),"")</f>
        <v>PHILLIPS</v>
      </c>
      <c r="E35" s="314" t="str">
        <f>IFERROR(VLOOKUP(WHEATCLAIM2022[[#This Row],[FIELD]],FFTBL[[Field]:[COUNTY2]],3,FALSE),"")</f>
        <v>NW 29-7-47</v>
      </c>
      <c r="F35" s="312">
        <f>IFERROR(VLOOKUP(WHEATCLAIM2022[[#This Row],[FIELD]],FFTBL[[Field]:[COUNTY2]],2,FALSE),"")</f>
        <v>157.69999999999999</v>
      </c>
      <c r="G35" s="379">
        <f>SUMIFS(WheatYield40[GROSS BUSHELS],WheatYield40[Field],WHEATCLAIM2022[[#This Row],[FIELD]])</f>
        <v>0</v>
      </c>
      <c r="H35" s="308">
        <v>4.7</v>
      </c>
      <c r="I35" s="309"/>
      <c r="J35" s="310">
        <f>WHEATCLAIM2022[[#This Row],[AVERAGE PRODUCTION HISTORY (APH)]]*WHEATCLAIM2022[[#This Row],[HARVEST PRICE / PLANTING PRICE USED]]</f>
        <v>0</v>
      </c>
      <c r="K35" s="311">
        <f>IFERROR((WHEATCLAIM2022[[#This Row],[PER ACRE GARAUNTEE $]]*WHEATCLAIM2022[[#This Row],[ACRES]]),"")</f>
        <v>0</v>
      </c>
      <c r="L35" s="312"/>
      <c r="M35" s="312">
        <f>WHEATCLAIM2022[[#This Row],[TOTAL GARAUNTEE]]-WHEATCLAIM2022[[#This Row],[BUSHELS PRODUCED]]</f>
        <v>0</v>
      </c>
      <c r="N35" s="308">
        <f>(WHEATCLAIM2022[[#This Row],[DEFICIENCY]]*WHEATCLAIM2022[[#This Row],[HARVEST PRICE / PLANTING PRICE USED]])/WHEATCLAIM2022[[#This Row],[ACRES]]</f>
        <v>0</v>
      </c>
      <c r="O35" s="308">
        <f>WHEATCLAIM2022[[#This Row],[BUSHELS PRODUCED]]*WHEATCLAIM2022[[#This Row],[HARVEST PRICE / PLANTING PRICE USED]]</f>
        <v>0</v>
      </c>
      <c r="P35" s="310">
        <f>WHEATCLAIM2022[[#This Row],[DEFICIENCY]]*WHEATCLAIM2022[[#This Row],[HARVEST PRICE / PLANTING PRICE USED]]</f>
        <v>0</v>
      </c>
      <c r="Q35" s="311"/>
      <c r="R35" s="310">
        <f>WHEATCLAIM2022[[#This Row],[PAYMENT FROM INSURANCE]]*0.65</f>
        <v>0</v>
      </c>
      <c r="S35" s="310">
        <f>WHEATCLAIM2022[[#This Row],[PAYMENT FROM INSURANCE]]*0.35</f>
        <v>0</v>
      </c>
    </row>
    <row r="36" spans="1:19" s="305" customFormat="1" ht="18.75" x14ac:dyDescent="0.3">
      <c r="A36" s="330" t="s">
        <v>38</v>
      </c>
      <c r="B36" s="380"/>
      <c r="C36" s="380"/>
      <c r="D36" s="381"/>
      <c r="E36" s="380"/>
      <c r="F36" s="382">
        <f>SUBTOTAL(109,WHEATCLAIM2022[ACRES])</f>
        <v>1435.8</v>
      </c>
      <c r="G36" s="383">
        <f>SUBTOTAL(109,WHEATCLAIM2022[BUSHELS PRODUCED])</f>
        <v>0</v>
      </c>
      <c r="H36" s="384"/>
      <c r="I36" s="380"/>
      <c r="J36" s="380"/>
      <c r="K36" s="386">
        <f>SUBTOTAL(109,WHEATCLAIM2022[TOTAL REVENUE PROTECTION GARUANTEE])</f>
        <v>276677.72000000003</v>
      </c>
      <c r="L36" s="382">
        <f>SUBTOTAL(109,WHEATCLAIM2022[TOTAL GARAUNTEE])</f>
        <v>0</v>
      </c>
      <c r="M36" s="382">
        <f>SUBTOTAL(109,WHEATCLAIM2022[DEFICIENCY])</f>
        <v>0</v>
      </c>
      <c r="N36" s="380"/>
      <c r="O36" s="384">
        <f>SUBTOTAL(109,WHEATCLAIM2022[TOTAL PRODUCTION$ PRODUCED])</f>
        <v>0</v>
      </c>
      <c r="P36" s="385">
        <f>SUBTOTAL(109,WHEATCLAIM2022[TOTAL REVENUE DEFICIENCY])</f>
        <v>0</v>
      </c>
      <c r="Q36" s="386">
        <f>SUBTOTAL(109,WHEATCLAIM2022[PAYMENT FROM INSURANCE])</f>
        <v>0</v>
      </c>
      <c r="R36" s="385">
        <f>SUBTOTAL(109,WHEATCLAIM2022[M77AG 65% INSURANCE PAYMENT])</f>
        <v>0</v>
      </c>
      <c r="S36" s="385">
        <f>SUBTOTAL(109,WHEATCLAIM2022[LAND LORD 35% INSURANCE PAYMENT])</f>
        <v>0</v>
      </c>
    </row>
    <row r="37" spans="1:19" x14ac:dyDescent="0.2">
      <c r="A37" s="359"/>
      <c r="B37" s="717" t="s">
        <v>60</v>
      </c>
      <c r="C37" s="717"/>
      <c r="D37" s="717"/>
      <c r="E37" s="717"/>
      <c r="F37" s="717"/>
      <c r="G37" s="717"/>
      <c r="H37" s="717"/>
      <c r="I37" s="717"/>
      <c r="J37" s="717"/>
      <c r="K37" s="717"/>
      <c r="L37" s="717"/>
      <c r="M37" s="727" t="s">
        <v>61</v>
      </c>
      <c r="N37" s="727"/>
      <c r="O37" s="356"/>
      <c r="P37" s="356"/>
      <c r="Q37" s="356"/>
      <c r="R37" s="356"/>
      <c r="S37" s="359"/>
    </row>
    <row r="38" spans="1:19" x14ac:dyDescent="0.2">
      <c r="A38" s="359"/>
      <c r="B38" s="717"/>
      <c r="C38" s="717"/>
      <c r="D38" s="717"/>
      <c r="E38" s="717"/>
      <c r="F38" s="717"/>
      <c r="G38" s="717"/>
      <c r="H38" s="717"/>
      <c r="I38" s="717"/>
      <c r="J38" s="717"/>
      <c r="K38" s="717"/>
      <c r="L38" s="717"/>
      <c r="M38" s="727"/>
      <c r="N38" s="727"/>
      <c r="O38" s="356"/>
      <c r="P38" s="356"/>
      <c r="Q38" s="356"/>
      <c r="R38" s="356"/>
      <c r="S38" s="373">
        <f>WHEATCLAIM2022[[#Totals],[LAND LORD 35% INSURANCE PAYMENT]]+WHEATCLAIM2022[[#Totals],[M77AG 65% INSURANCE PAYMENT]]</f>
        <v>0</v>
      </c>
    </row>
    <row r="39" spans="1:19" x14ac:dyDescent="0.2">
      <c r="A39" s="359"/>
      <c r="B39" s="717"/>
      <c r="C39" s="717"/>
      <c r="D39" s="717"/>
      <c r="E39" s="717"/>
      <c r="F39" s="717"/>
      <c r="G39" s="717"/>
      <c r="H39" s="717"/>
      <c r="I39" s="717"/>
      <c r="J39" s="717"/>
      <c r="K39" s="717"/>
      <c r="L39" s="717"/>
      <c r="M39" s="727"/>
      <c r="N39" s="727"/>
      <c r="O39" s="356"/>
      <c r="P39" s="356"/>
      <c r="Q39" s="356"/>
      <c r="R39" s="356"/>
      <c r="S39" s="359"/>
    </row>
    <row r="40" spans="1:19" x14ac:dyDescent="0.2">
      <c r="A40" s="359"/>
      <c r="B40" s="717"/>
      <c r="C40" s="717"/>
      <c r="D40" s="717"/>
      <c r="E40" s="717"/>
      <c r="F40" s="717"/>
      <c r="G40" s="717"/>
      <c r="H40" s="717"/>
      <c r="I40" s="717"/>
      <c r="J40" s="717"/>
      <c r="K40" s="717"/>
      <c r="L40" s="717"/>
      <c r="M40" s="727"/>
      <c r="N40" s="727"/>
      <c r="O40" s="356"/>
      <c r="P40" s="356"/>
      <c r="Q40" s="356"/>
      <c r="R40" s="356"/>
      <c r="S40" s="359"/>
    </row>
    <row r="41" spans="1:19" ht="59.25" customHeight="1" x14ac:dyDescent="0.2">
      <c r="A41" s="301" t="s">
        <v>1</v>
      </c>
      <c r="B41" s="335" t="s">
        <v>40</v>
      </c>
      <c r="C41" s="335" t="s">
        <v>62</v>
      </c>
      <c r="D41" s="341" t="s">
        <v>63</v>
      </c>
      <c r="E41" s="341" t="s">
        <v>64</v>
      </c>
      <c r="F41" s="341" t="s">
        <v>65</v>
      </c>
      <c r="G41" s="342" t="s">
        <v>66</v>
      </c>
      <c r="H41" s="342" t="s">
        <v>67</v>
      </c>
      <c r="I41" s="342" t="s">
        <v>68</v>
      </c>
      <c r="J41" s="352" t="s">
        <v>69</v>
      </c>
      <c r="K41" s="352" t="s">
        <v>70</v>
      </c>
      <c r="L41" s="353" t="s">
        <v>71</v>
      </c>
      <c r="M41" s="357" t="s">
        <v>72</v>
      </c>
      <c r="N41" s="358">
        <f>WHEATCLAIM2022[[#Totals],[PAYMENT FROM INSURANCE]]</f>
        <v>0</v>
      </c>
      <c r="O41" s="719" t="s">
        <v>73</v>
      </c>
      <c r="P41" s="720"/>
      <c r="Q41" s="720"/>
      <c r="R41" s="721" t="e">
        <f>SUM(R42:S48)</f>
        <v>#REF!</v>
      </c>
      <c r="S41" s="721"/>
    </row>
    <row r="42" spans="1:19" x14ac:dyDescent="0.2">
      <c r="A42" s="300" t="s">
        <v>74</v>
      </c>
      <c r="B42" s="343" t="s">
        <v>75</v>
      </c>
      <c r="C42" s="343" t="s">
        <v>76</v>
      </c>
      <c r="D42" s="344">
        <f>SUMIFS(WHEATPREMIUM2022[M77AG 65% EXPENSE],WHEATPREMIUM2022[FARM],B42,WHEATPREMIUM2022[COUNTY FIELD IS LOCATED IN],C42)</f>
        <v>0</v>
      </c>
      <c r="E42" s="344">
        <f>SUMIFS(WHEATPREMIUM2022[LAND LORD 35% EXPENSE],WHEATPREMIUM2022[FARM],B42,WHEATPREMIUM2022[COUNTY FIELD IS LOCATED IN],C42)</f>
        <v>0</v>
      </c>
      <c r="F42" s="344">
        <f t="shared" ref="F42:F47" si="0">E42+D42</f>
        <v>0</v>
      </c>
      <c r="G42" s="345">
        <f>SUMIFS(WHEATCLAIM2022[PAYMENT FROM INSURANCE],WHEATCLAIM2022[[FARM ]],WHEATPAYOUTTBL[[#This Row],[FARM ]],WHEATCLAIM2022[COUNTY FIELD IS LOCATED 2],WHEATPAYOUTTBL[[#This Row],[COUNTY FIELD IS LOCATED IN 3]])</f>
        <v>0</v>
      </c>
      <c r="H42" s="310">
        <f>SUMIFS(WHEATCLAIM2022[M77AG 65% INSURANCE PAYMENT],WHEATCLAIM2022[[FARM ]],WHEATPAYOUTTBL[[#This Row],[FARM ]],WHEATCLAIM2022[COUNTY FIELD IS LOCATED 2],WHEATPAYOUTTBL[[#This Row],[COUNTY FIELD IS LOCATED IN 3]])</f>
        <v>0</v>
      </c>
      <c r="I42" s="310">
        <f>SUMIFS(WHEATCLAIM2022[LAND LORD 35% INSURANCE PAYMENT],WHEATCLAIM2022[[FARM ]],WHEATPAYOUTTBL[[#This Row],[FARM ]],WHEATCLAIM2022[COUNTY FIELD IS LOCATED 2],WHEATPAYOUTTBL[[#This Row],[COUNTY FIELD IS LOCATED IN 3]])</f>
        <v>0</v>
      </c>
      <c r="J42" s="354">
        <f>SUMIFS(WHEATCLAIM2022[M77AG 65% INSURANCE PAYMENT],WHEATCLAIM2022[[FARM ]],WHEATPAYOUTTBL[[#This Row],[FARM ]],WHEATCLAIM2022[COUNTY FIELD IS LOCATED 2],WHEATPAYOUTTBL[[#This Row],[COUNTY FIELD IS LOCATED IN 3]])-WHEATPAYOUTTBL[[#This Row],[M77AG PREMIUM PAID BY M77AG]]</f>
        <v>0</v>
      </c>
      <c r="K42" s="354">
        <f>SUMIFS(WHEATCLAIM2022[LAND LORD 35% INSURANCE PAYMENT],WHEATCLAIM2022[[FARM ]],WHEATPAYOUTTBL[[#This Row],[FARM ]],WHEATCLAIM2022[COUNTY FIELD IS LOCATED 2],WHEATPAYOUTTBL[[#This Row],[COUNTY FIELD IS LOCATED IN 3]])-WHEATPAYOUTTBL[[#This Row],[LAND LORD PREMIUM PAID BY M77AG]]</f>
        <v>0</v>
      </c>
      <c r="L42" s="354">
        <f>WHEATPAYOUTTBL[[#This Row],[INSURANCE OWED TO M77 AG 65% AFTER PREMIUM DEDUCTED]]+WHEATPAYOUTTBL[[#This Row],[INSURANCE OWED TO LAND LORDS 35% PREMIUM DEDUCTED]]</f>
        <v>0</v>
      </c>
      <c r="M42" s="728" t="s">
        <v>77</v>
      </c>
      <c r="N42" s="729">
        <f>WHEATPREMIUM2022[[#Totals],[TOTAL INSURANCE PREMIUM PAID]]</f>
        <v>0</v>
      </c>
      <c r="O42" s="720" t="s">
        <v>78</v>
      </c>
      <c r="P42" s="722"/>
      <c r="Q42" s="440" t="str">
        <f>C21</f>
        <v>10.S OURS</v>
      </c>
      <c r="R42" s="723">
        <f>P21-Q21</f>
        <v>0</v>
      </c>
      <c r="S42" s="724"/>
    </row>
    <row r="43" spans="1:19" x14ac:dyDescent="0.2">
      <c r="A43" s="300" t="s">
        <v>74</v>
      </c>
      <c r="B43" s="343" t="s">
        <v>21</v>
      </c>
      <c r="C43" s="343" t="s">
        <v>76</v>
      </c>
      <c r="D43" s="344">
        <f>SUMIFS(WHEATPREMIUM2022[M77AG 65% EXPENSE],WHEATPREMIUM2022[FARM],B43,WHEATPREMIUM2022[COUNTY FIELD IS LOCATED IN],C43)</f>
        <v>0</v>
      </c>
      <c r="E43" s="344">
        <f>SUMIFS(WHEATPREMIUM2022[LAND LORD 35% EXPENSE],WHEATPREMIUM2022[FARM],B43,WHEATPREMIUM2022[COUNTY FIELD IS LOCATED IN],C43)</f>
        <v>0</v>
      </c>
      <c r="F43" s="344">
        <f t="shared" si="0"/>
        <v>0</v>
      </c>
      <c r="G43" s="345">
        <f>SUMIFS(WHEATCLAIM2022[PAYMENT FROM INSURANCE],WHEATCLAIM2022[[FARM ]],WHEATPAYOUTTBL[[#This Row],[FARM ]],WHEATCLAIM2022[COUNTY FIELD IS LOCATED 2],WHEATPAYOUTTBL[[#This Row],[COUNTY FIELD IS LOCATED IN 3]])</f>
        <v>0</v>
      </c>
      <c r="H43" s="310">
        <f>SUMIFS(WHEATCLAIM2022[M77AG 65% INSURANCE PAYMENT],WHEATCLAIM2022[[FARM ]],WHEATPAYOUTTBL[[#This Row],[FARM ]],WHEATCLAIM2022[COUNTY FIELD IS LOCATED 2],WHEATPAYOUTTBL[[#This Row],[COUNTY FIELD IS LOCATED IN 3]])</f>
        <v>0</v>
      </c>
      <c r="I43" s="310">
        <f>SUMIFS(WHEATCLAIM2022[LAND LORD 35% INSURANCE PAYMENT],WHEATCLAIM2022[[FARM ]],WHEATPAYOUTTBL[[#This Row],[FARM ]],WHEATCLAIM2022[COUNTY FIELD IS LOCATED 2],WHEATPAYOUTTBL[[#This Row],[COUNTY FIELD IS LOCATED IN 3]])</f>
        <v>0</v>
      </c>
      <c r="J43" s="354">
        <f>SUMIFS(WHEATCLAIM2022[M77AG 65% INSURANCE PAYMENT],WHEATCLAIM2022[[FARM ]],WHEATPAYOUTTBL[[#This Row],[FARM ]],WHEATCLAIM2022[COUNTY FIELD IS LOCATED 2],WHEATPAYOUTTBL[[#This Row],[COUNTY FIELD IS LOCATED IN 3]])-WHEATPAYOUTTBL[[#This Row],[M77AG PREMIUM PAID BY M77AG]]</f>
        <v>0</v>
      </c>
      <c r="K43" s="354">
        <f>SUMIFS(WHEATCLAIM2022[LAND LORD 35% INSURANCE PAYMENT],WHEATCLAIM2022[[FARM ]],WHEATPAYOUTTBL[[#This Row],[FARM ]],WHEATCLAIM2022[COUNTY FIELD IS LOCATED 2],WHEATPAYOUTTBL[[#This Row],[COUNTY FIELD IS LOCATED IN 3]])-WHEATPAYOUTTBL[[#This Row],[LAND LORD PREMIUM PAID BY M77AG]]</f>
        <v>0</v>
      </c>
      <c r="L43" s="354">
        <f>WHEATPAYOUTTBL[[#This Row],[INSURANCE OWED TO M77 AG 65% AFTER PREMIUM DEDUCTED]]+WHEATPAYOUTTBL[[#This Row],[INSURANCE OWED TO LAND LORDS 35% PREMIUM DEDUCTED]]</f>
        <v>0</v>
      </c>
      <c r="M43" s="728"/>
      <c r="N43" s="729"/>
      <c r="O43" s="720"/>
      <c r="P43" s="722"/>
      <c r="Q43" s="440" t="str">
        <f>C31</f>
        <v>36 POLE SEC 15</v>
      </c>
      <c r="R43" s="723">
        <f>P31-Q31</f>
        <v>0</v>
      </c>
      <c r="S43" s="724"/>
    </row>
    <row r="44" spans="1:19" x14ac:dyDescent="0.2">
      <c r="A44" s="300" t="s">
        <v>74</v>
      </c>
      <c r="B44" s="343" t="s">
        <v>21</v>
      </c>
      <c r="C44" s="343" t="s">
        <v>79</v>
      </c>
      <c r="D44" s="344">
        <f>SUMIFS(WHEATPREMIUM2022[M77AG 65% EXPENSE],WHEATPREMIUM2022[FARM],B44,WHEATPREMIUM2022[COUNTY FIELD IS LOCATED IN],C44)</f>
        <v>0</v>
      </c>
      <c r="E44" s="344">
        <f>SUMIFS(WHEATPREMIUM2022[LAND LORD 35% EXPENSE],WHEATPREMIUM2022[FARM],B44,WHEATPREMIUM2022[COUNTY FIELD IS LOCATED IN],C44)</f>
        <v>0</v>
      </c>
      <c r="F44" s="344">
        <f t="shared" si="0"/>
        <v>0</v>
      </c>
      <c r="G44" s="345">
        <f>SUMIFS(WHEATCLAIM2022[PAYMENT FROM INSURANCE],WHEATCLAIM2022[[FARM ]],WHEATPAYOUTTBL[[#This Row],[FARM ]],WHEATCLAIM2022[COUNTY FIELD IS LOCATED 2],WHEATPAYOUTTBL[[#This Row],[COUNTY FIELD IS LOCATED IN 3]])</f>
        <v>0</v>
      </c>
      <c r="H44" s="310">
        <f>SUMIFS(WHEATCLAIM2022[M77AG 65% INSURANCE PAYMENT],WHEATCLAIM2022[[FARM ]],WHEATPAYOUTTBL[[#This Row],[FARM ]],WHEATCLAIM2022[COUNTY FIELD IS LOCATED 2],WHEATPAYOUTTBL[[#This Row],[COUNTY FIELD IS LOCATED IN 3]])</f>
        <v>0</v>
      </c>
      <c r="I44" s="310">
        <f>SUMIFS(WHEATCLAIM2022[LAND LORD 35% INSURANCE PAYMENT],WHEATCLAIM2022[[FARM ]],WHEATPAYOUTTBL[[#This Row],[FARM ]],WHEATCLAIM2022[COUNTY FIELD IS LOCATED 2],WHEATPAYOUTTBL[[#This Row],[COUNTY FIELD IS LOCATED IN 3]])</f>
        <v>0</v>
      </c>
      <c r="J44" s="354">
        <f>SUMIFS(WHEATCLAIM2022[M77AG 65% INSURANCE PAYMENT],WHEATCLAIM2022[[FARM ]],WHEATPAYOUTTBL[[#This Row],[FARM ]],WHEATCLAIM2022[COUNTY FIELD IS LOCATED 2],WHEATPAYOUTTBL[[#This Row],[COUNTY FIELD IS LOCATED IN 3]])-WHEATPAYOUTTBL[[#This Row],[M77AG PREMIUM PAID BY M77AG]]</f>
        <v>0</v>
      </c>
      <c r="K44" s="354">
        <f>SUMIFS(WHEATCLAIM2022[LAND LORD 35% INSURANCE PAYMENT],WHEATCLAIM2022[[FARM ]],WHEATPAYOUTTBL[[#This Row],[FARM ]],WHEATCLAIM2022[COUNTY FIELD IS LOCATED 2],WHEATPAYOUTTBL[[#This Row],[COUNTY FIELD IS LOCATED IN 3]])-WHEATPAYOUTTBL[[#This Row],[LAND LORD PREMIUM PAID BY M77AG]]</f>
        <v>0</v>
      </c>
      <c r="L44" s="354">
        <f>WHEATPAYOUTTBL[[#This Row],[INSURANCE OWED TO M77 AG 65% AFTER PREMIUM DEDUCTED]]+WHEATPAYOUTTBL[[#This Row],[INSURANCE OWED TO LAND LORDS 35% PREMIUM DEDUCTED]]</f>
        <v>0</v>
      </c>
      <c r="M44" s="728"/>
      <c r="N44" s="729"/>
      <c r="O44" s="720"/>
      <c r="P44" s="722"/>
      <c r="Q44" s="440" t="str">
        <f>C32</f>
        <v>43.E E/2 S/4</v>
      </c>
      <c r="R44" s="723">
        <f>P32-Q32</f>
        <v>0</v>
      </c>
      <c r="S44" s="724"/>
    </row>
    <row r="45" spans="1:19" x14ac:dyDescent="0.2">
      <c r="A45" s="300" t="s">
        <v>74</v>
      </c>
      <c r="B45" s="343" t="s">
        <v>80</v>
      </c>
      <c r="C45" s="343" t="s">
        <v>76</v>
      </c>
      <c r="D45" s="344">
        <f>SUMIFS(WHEATPREMIUM2022[M77AG 65% EXPENSE],WHEATPREMIUM2022[FARM],B45,WHEATPREMIUM2022[COUNTY FIELD IS LOCATED IN],C45)</f>
        <v>0</v>
      </c>
      <c r="E45" s="344">
        <f>SUMIFS(WHEATPREMIUM2022[LAND LORD 35% EXPENSE],WHEATPREMIUM2022[FARM],B45,WHEATPREMIUM2022[COUNTY FIELD IS LOCATED IN],C45)</f>
        <v>0</v>
      </c>
      <c r="F45" s="344">
        <f t="shared" si="0"/>
        <v>0</v>
      </c>
      <c r="G45" s="345">
        <f>SUMIFS(WHEATCLAIM2022[PAYMENT FROM INSURANCE],WHEATCLAIM2022[[FARM ]],WHEATPAYOUTTBL[[#This Row],[FARM ]],WHEATCLAIM2022[COUNTY FIELD IS LOCATED 2],WHEATPAYOUTTBL[[#This Row],[COUNTY FIELD IS LOCATED IN 3]])</f>
        <v>0</v>
      </c>
      <c r="H45" s="310">
        <f>SUMIFS(WHEATCLAIM2022[M77AG 65% INSURANCE PAYMENT],WHEATCLAIM2022[[FARM ]],WHEATPAYOUTTBL[[#This Row],[FARM ]],WHEATCLAIM2022[COUNTY FIELD IS LOCATED 2],WHEATPAYOUTTBL[[#This Row],[COUNTY FIELD IS LOCATED IN 3]])</f>
        <v>0</v>
      </c>
      <c r="I45" s="310">
        <f>SUMIFS(WHEATCLAIM2022[LAND LORD 35% INSURANCE PAYMENT],WHEATCLAIM2022[[FARM ]],WHEATPAYOUTTBL[[#This Row],[FARM ]],WHEATCLAIM2022[COUNTY FIELD IS LOCATED 2],WHEATPAYOUTTBL[[#This Row],[COUNTY FIELD IS LOCATED IN 3]])</f>
        <v>0</v>
      </c>
      <c r="J45" s="354">
        <f>SUMIFS(WHEATCLAIM2022[M77AG 65% INSURANCE PAYMENT],WHEATCLAIM2022[[FARM ]],WHEATPAYOUTTBL[[#This Row],[FARM ]],WHEATCLAIM2022[COUNTY FIELD IS LOCATED 2],WHEATPAYOUTTBL[[#This Row],[COUNTY FIELD IS LOCATED IN 3]])-WHEATPAYOUTTBL[[#This Row],[M77AG PREMIUM PAID BY M77AG]]</f>
        <v>0</v>
      </c>
      <c r="K45" s="354">
        <f>SUMIFS(WHEATCLAIM2022[LAND LORD 35% INSURANCE PAYMENT],WHEATCLAIM2022[[FARM ]],WHEATPAYOUTTBL[[#This Row],[FARM ]],WHEATCLAIM2022[COUNTY FIELD IS LOCATED 2],WHEATPAYOUTTBL[[#This Row],[COUNTY FIELD IS LOCATED IN 3]])-WHEATPAYOUTTBL[[#This Row],[LAND LORD PREMIUM PAID BY M77AG]]</f>
        <v>0</v>
      </c>
      <c r="L45" s="354">
        <f>WHEATPAYOUTTBL[[#This Row],[INSURANCE OWED TO M77 AG 65% AFTER PREMIUM DEDUCTED]]+WHEATPAYOUTTBL[[#This Row],[INSURANCE OWED TO LAND LORDS 35% PREMIUM DEDUCTED]]</f>
        <v>0</v>
      </c>
      <c r="M45" s="728" t="s">
        <v>81</v>
      </c>
      <c r="N45" s="729">
        <f>N41-N42</f>
        <v>0</v>
      </c>
      <c r="O45" s="720"/>
      <c r="P45" s="722"/>
      <c r="Q45" s="440" t="str">
        <f>C33</f>
        <v>44.E S. TOWN</v>
      </c>
      <c r="R45" s="723">
        <f>P33-Q33</f>
        <v>0</v>
      </c>
      <c r="S45" s="724"/>
    </row>
    <row r="46" spans="1:19" x14ac:dyDescent="0.2">
      <c r="A46" s="300" t="s">
        <v>74</v>
      </c>
      <c r="B46" s="343" t="s">
        <v>32</v>
      </c>
      <c r="C46" s="343" t="s">
        <v>79</v>
      </c>
      <c r="D46" s="344">
        <f>SUMIFS(WHEATPREMIUM2022[M77AG 65% EXPENSE],WHEATPREMIUM2022[FARM],B46,WHEATPREMIUM2022[COUNTY FIELD IS LOCATED IN],C46)</f>
        <v>0</v>
      </c>
      <c r="E46" s="344">
        <f>SUMIFS(WHEATPREMIUM2022[LAND LORD 35% EXPENSE],WHEATPREMIUM2022[FARM],B46,WHEATPREMIUM2022[COUNTY FIELD IS LOCATED IN],C46)</f>
        <v>0</v>
      </c>
      <c r="F46" s="344">
        <f t="shared" si="0"/>
        <v>0</v>
      </c>
      <c r="G46" s="345">
        <f>SUMIFS(WHEATCLAIM2022[PAYMENT FROM INSURANCE],WHEATCLAIM2022[[FARM ]],WHEATPAYOUTTBL[[#This Row],[FARM ]],WHEATCLAIM2022[COUNTY FIELD IS LOCATED 2],WHEATPAYOUTTBL[[#This Row],[COUNTY FIELD IS LOCATED IN 3]])</f>
        <v>0</v>
      </c>
      <c r="H46" s="310">
        <f>SUMIFS(WHEATCLAIM2022[M77AG 65% INSURANCE PAYMENT],WHEATCLAIM2022[[FARM ]],WHEATPAYOUTTBL[[#This Row],[FARM ]],WHEATCLAIM2022[COUNTY FIELD IS LOCATED 2],WHEATPAYOUTTBL[[#This Row],[COUNTY FIELD IS LOCATED IN 3]])</f>
        <v>0</v>
      </c>
      <c r="I46" s="310">
        <f>SUMIFS(WHEATCLAIM2022[LAND LORD 35% INSURANCE PAYMENT],WHEATCLAIM2022[[FARM ]],WHEATPAYOUTTBL[[#This Row],[FARM ]],WHEATCLAIM2022[COUNTY FIELD IS LOCATED 2],WHEATPAYOUTTBL[[#This Row],[COUNTY FIELD IS LOCATED IN 3]])</f>
        <v>0</v>
      </c>
      <c r="J46" s="354">
        <f>SUMIFS(WHEATCLAIM2022[M77AG 65% INSURANCE PAYMENT],WHEATCLAIM2022[[FARM ]],WHEATPAYOUTTBL[[#This Row],[FARM ]],WHEATCLAIM2022[COUNTY FIELD IS LOCATED 2],WHEATPAYOUTTBL[[#This Row],[COUNTY FIELD IS LOCATED IN 3]])-WHEATPAYOUTTBL[[#This Row],[M77AG PREMIUM PAID BY M77AG]]</f>
        <v>0</v>
      </c>
      <c r="K46" s="354">
        <f>SUMIFS(WHEATCLAIM2022[LAND LORD 35% INSURANCE PAYMENT],WHEATCLAIM2022[[FARM ]],WHEATPAYOUTTBL[[#This Row],[FARM ]],WHEATCLAIM2022[COUNTY FIELD IS LOCATED 2],WHEATPAYOUTTBL[[#This Row],[COUNTY FIELD IS LOCATED IN 3]])-WHEATPAYOUTTBL[[#This Row],[LAND LORD PREMIUM PAID BY M77AG]]</f>
        <v>0</v>
      </c>
      <c r="L46" s="354">
        <f>WHEATPAYOUTTBL[[#This Row],[INSURANCE OWED TO M77 AG 65% AFTER PREMIUM DEDUCTED]]+WHEATPAYOUTTBL[[#This Row],[INSURANCE OWED TO LAND LORDS 35% PREMIUM DEDUCTED]]</f>
        <v>0</v>
      </c>
      <c r="M46" s="728"/>
      <c r="N46" s="729"/>
      <c r="O46" s="720"/>
      <c r="P46" s="722"/>
      <c r="Q46" s="440" t="str">
        <f>C34</f>
        <v>55.S KIRBY HOUSE</v>
      </c>
      <c r="R46" s="723">
        <f>P34-Q34</f>
        <v>0</v>
      </c>
      <c r="S46" s="724"/>
    </row>
    <row r="47" spans="1:19" x14ac:dyDescent="0.2">
      <c r="A47" s="300" t="s">
        <v>74</v>
      </c>
      <c r="B47" s="343" t="s">
        <v>35</v>
      </c>
      <c r="C47" s="343" t="s">
        <v>79</v>
      </c>
      <c r="D47" s="344">
        <f>SUMIFS(WHEATPREMIUM2022[M77AG 65% EXPENSE],WHEATPREMIUM2022[FARM],B47,WHEATPREMIUM2022[COUNTY FIELD IS LOCATED IN],C47)</f>
        <v>0</v>
      </c>
      <c r="E47" s="344">
        <f>SUMIFS(WHEATPREMIUM2022[LAND LORD 35% EXPENSE],WHEATPREMIUM2022[FARM],B47,WHEATPREMIUM2022[COUNTY FIELD IS LOCATED IN],C47)</f>
        <v>0</v>
      </c>
      <c r="F47" s="344">
        <f t="shared" si="0"/>
        <v>0</v>
      </c>
      <c r="G47" s="345">
        <f>SUMIFS(WHEATCLAIM2022[PAYMENT FROM INSURANCE],WHEATCLAIM2022[[FARM ]],WHEATPAYOUTTBL[[#This Row],[FARM ]],WHEATCLAIM2022[COUNTY FIELD IS LOCATED 2],WHEATPAYOUTTBL[[#This Row],[COUNTY FIELD IS LOCATED IN 3]])</f>
        <v>0</v>
      </c>
      <c r="H47" s="310">
        <f>SUMIFS(WHEATCLAIM2022[M77AG 65% INSURANCE PAYMENT],WHEATCLAIM2022[[FARM ]],WHEATPAYOUTTBL[[#This Row],[FARM ]],WHEATCLAIM2022[COUNTY FIELD IS LOCATED 2],WHEATPAYOUTTBL[[#This Row],[COUNTY FIELD IS LOCATED IN 3]])</f>
        <v>0</v>
      </c>
      <c r="I47" s="310">
        <f>SUMIFS(WHEATCLAIM2022[LAND LORD 35% INSURANCE PAYMENT],WHEATCLAIM2022[[FARM ]],WHEATPAYOUTTBL[[#This Row],[FARM ]],WHEATCLAIM2022[COUNTY FIELD IS LOCATED 2],WHEATPAYOUTTBL[[#This Row],[COUNTY FIELD IS LOCATED IN 3]])</f>
        <v>0</v>
      </c>
      <c r="J47" s="354">
        <f>SUMIFS(WHEATCLAIM2022[M77AG 65% INSURANCE PAYMENT],WHEATCLAIM2022[[FARM ]],WHEATPAYOUTTBL[[#This Row],[FARM ]],WHEATCLAIM2022[COUNTY FIELD IS LOCATED 2],WHEATPAYOUTTBL[[#This Row],[COUNTY FIELD IS LOCATED IN 3]])-WHEATPAYOUTTBL[[#This Row],[M77AG PREMIUM PAID BY M77AG]]</f>
        <v>0</v>
      </c>
      <c r="K47" s="354">
        <f>SUMIFS(WHEATCLAIM2022[LAND LORD 35% INSURANCE PAYMENT],WHEATCLAIM2022[[FARM ]],WHEATPAYOUTTBL[[#This Row],[FARM ]],WHEATCLAIM2022[COUNTY FIELD IS LOCATED 2],WHEATPAYOUTTBL[[#This Row],[COUNTY FIELD IS LOCATED IN 3]])-WHEATPAYOUTTBL[[#This Row],[LAND LORD PREMIUM PAID BY M77AG]]</f>
        <v>0</v>
      </c>
      <c r="L47" s="354">
        <f>WHEATPAYOUTTBL[[#This Row],[INSURANCE OWED TO M77 AG 65% AFTER PREMIUM DEDUCTED]]+WHEATPAYOUTTBL[[#This Row],[INSURANCE OWED TO LAND LORDS 35% PREMIUM DEDUCTED]]</f>
        <v>0</v>
      </c>
      <c r="M47" s="728"/>
      <c r="N47" s="729"/>
      <c r="O47" s="720"/>
      <c r="P47" s="722"/>
      <c r="Q47" s="440" t="str">
        <f>C35</f>
        <v>56 KIRBY SOUTH</v>
      </c>
      <c r="R47" s="723">
        <f>P35-Q35</f>
        <v>0</v>
      </c>
      <c r="S47" s="724"/>
    </row>
    <row r="48" spans="1:19" x14ac:dyDescent="0.2">
      <c r="A48" s="302" t="s">
        <v>38</v>
      </c>
      <c r="B48" s="346"/>
      <c r="C48" s="347"/>
      <c r="D48" s="365">
        <f>SUBTOTAL(109,WHEATPAYOUTTBL[M77AG PREMIUM PAID BY M77AG])</f>
        <v>0</v>
      </c>
      <c r="E48" s="366">
        <f>SUBTOTAL(109,WHEATPAYOUTTBL[LAND LORD PREMIUM PAID BY M77AG])</f>
        <v>0</v>
      </c>
      <c r="F48" s="367">
        <f>SUBTOTAL(109,WHEATPAYOUTTBL[TOTAL INSURANCE PREMIUM PAID BY M77AG])</f>
        <v>0</v>
      </c>
      <c r="G48" s="333">
        <f>SUBTOTAL(109,WHEATPAYOUTTBL[TOTAL INSURANCE PAID TO M77AG])</f>
        <v>0</v>
      </c>
      <c r="H48" s="333">
        <f>SUBTOTAL(109,WHEATPAYOUTTBL[M77AG 65% OF PREMIUM CLAIM])</f>
        <v>0</v>
      </c>
      <c r="I48" s="333">
        <f>SUBTOTAL(109,WHEATPAYOUTTBL[LAND LORD 35% OF INSURANCE CLAIM])</f>
        <v>0</v>
      </c>
      <c r="J48" s="368">
        <f>SUBTOTAL(109,WHEATPAYOUTTBL[INSURANCE OWED TO M77 AG 65% AFTER PREMIUM DEDUCTED])</f>
        <v>0</v>
      </c>
      <c r="K48" s="368">
        <f>SUBTOTAL(109,WHEATPAYOUTTBL[INSURANCE OWED TO LAND LORDS 35% PREMIUM DEDUCTED])</f>
        <v>0</v>
      </c>
      <c r="L48" s="368">
        <f>SUBTOTAL(109,WHEATPAYOUTTBL[TOTAL INSURANCE PAID OUT PREMIUM DEDUCTED])</f>
        <v>0</v>
      </c>
      <c r="M48" s="346"/>
      <c r="N48" s="356"/>
      <c r="O48" s="720"/>
      <c r="P48" s="722"/>
      <c r="Q48" s="440" t="e">
        <f>#REF!</f>
        <v>#REF!</v>
      </c>
      <c r="R48" s="723" t="e">
        <f>#REF!-#REF!</f>
        <v>#REF!</v>
      </c>
      <c r="S48" s="724"/>
    </row>
    <row r="49" spans="1:19" x14ac:dyDescent="0.2">
      <c r="A49" s="718" t="s">
        <v>82</v>
      </c>
      <c r="B49" s="718"/>
      <c r="C49" s="718"/>
      <c r="D49" s="718"/>
      <c r="E49" s="718"/>
      <c r="F49" s="718"/>
      <c r="G49" s="718"/>
      <c r="H49" s="718"/>
      <c r="I49" s="718"/>
      <c r="J49" s="718"/>
      <c r="K49" s="718"/>
      <c r="L49" s="718"/>
      <c r="M49" s="718"/>
      <c r="N49" s="718"/>
      <c r="O49" s="718"/>
      <c r="P49" s="718"/>
      <c r="Q49" s="718"/>
      <c r="R49" s="718"/>
      <c r="S49" s="718"/>
    </row>
    <row r="50" spans="1:19" x14ac:dyDescent="0.2">
      <c r="A50" s="718"/>
      <c r="B50" s="718"/>
      <c r="C50" s="718"/>
      <c r="D50" s="718"/>
      <c r="E50" s="718"/>
      <c r="F50" s="718"/>
      <c r="G50" s="718"/>
      <c r="H50" s="718"/>
      <c r="I50" s="718"/>
      <c r="J50" s="718"/>
      <c r="K50" s="718"/>
      <c r="L50" s="718"/>
      <c r="M50" s="718"/>
      <c r="N50" s="718"/>
      <c r="O50" s="718"/>
      <c r="P50" s="718"/>
      <c r="Q50" s="718"/>
      <c r="R50" s="718"/>
      <c r="S50" s="718"/>
    </row>
    <row r="51" spans="1:19" x14ac:dyDescent="0.2">
      <c r="A51" s="718"/>
      <c r="B51" s="718"/>
      <c r="C51" s="718"/>
      <c r="D51" s="718"/>
      <c r="E51" s="718"/>
      <c r="F51" s="718"/>
      <c r="G51" s="718"/>
      <c r="H51" s="718"/>
      <c r="I51" s="718"/>
      <c r="J51" s="718"/>
      <c r="K51" s="718"/>
      <c r="L51" s="718"/>
      <c r="M51" s="718"/>
      <c r="N51" s="718"/>
      <c r="O51" s="718"/>
      <c r="P51" s="718"/>
      <c r="Q51" s="718"/>
      <c r="R51" s="718"/>
      <c r="S51" s="718"/>
    </row>
    <row r="52" spans="1:19" x14ac:dyDescent="0.2">
      <c r="A52" s="718"/>
      <c r="B52" s="718"/>
      <c r="C52" s="718"/>
      <c r="D52" s="718"/>
      <c r="E52" s="718"/>
      <c r="F52" s="718"/>
      <c r="G52" s="718"/>
      <c r="H52" s="718"/>
      <c r="I52" s="718"/>
      <c r="J52" s="718"/>
      <c r="K52" s="718"/>
      <c r="L52" s="718"/>
      <c r="M52" s="718"/>
      <c r="N52" s="718"/>
      <c r="O52" s="718"/>
      <c r="P52" s="718"/>
      <c r="Q52" s="718"/>
      <c r="R52" s="718"/>
      <c r="S52" s="718"/>
    </row>
    <row r="53" spans="1:19" x14ac:dyDescent="0.2">
      <c r="A53" s="718"/>
      <c r="B53" s="718"/>
      <c r="C53" s="718"/>
      <c r="D53" s="718"/>
      <c r="E53" s="718"/>
      <c r="F53" s="718"/>
      <c r="G53" s="718"/>
      <c r="H53" s="718"/>
      <c r="I53" s="718"/>
      <c r="J53" s="718"/>
      <c r="K53" s="718"/>
      <c r="L53" s="718"/>
      <c r="M53" s="718"/>
      <c r="N53" s="718"/>
      <c r="O53" s="718"/>
      <c r="P53" s="718"/>
      <c r="Q53" s="718"/>
      <c r="R53" s="718"/>
      <c r="S53" s="718"/>
    </row>
    <row r="54" spans="1:19" x14ac:dyDescent="0.2">
      <c r="A54" s="718"/>
      <c r="B54" s="718"/>
      <c r="C54" s="718"/>
      <c r="D54" s="718"/>
      <c r="E54" s="718"/>
      <c r="F54" s="718"/>
      <c r="G54" s="718"/>
      <c r="H54" s="718"/>
      <c r="I54" s="718"/>
      <c r="J54" s="718"/>
      <c r="K54" s="718"/>
      <c r="L54" s="718"/>
      <c r="M54" s="718"/>
      <c r="N54" s="718"/>
      <c r="O54" s="718"/>
      <c r="P54" s="718"/>
      <c r="Q54" s="718"/>
      <c r="R54" s="718"/>
      <c r="S54" s="718"/>
    </row>
    <row r="55" spans="1:19" x14ac:dyDescent="0.2">
      <c r="A55" s="718"/>
      <c r="B55" s="718"/>
      <c r="C55" s="718"/>
      <c r="D55" s="718"/>
      <c r="E55" s="718"/>
      <c r="F55" s="718"/>
      <c r="G55" s="718"/>
      <c r="H55" s="718"/>
      <c r="I55" s="718"/>
      <c r="J55" s="718"/>
      <c r="K55" s="718"/>
      <c r="L55" s="718"/>
      <c r="M55" s="718"/>
      <c r="N55" s="718"/>
      <c r="O55" s="718"/>
      <c r="P55" s="718"/>
      <c r="Q55" s="718"/>
      <c r="R55" s="718"/>
      <c r="S55" s="718"/>
    </row>
    <row r="56" spans="1:19" x14ac:dyDescent="0.2">
      <c r="A56" s="359"/>
      <c r="B56" s="725" t="s">
        <v>83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5"/>
      <c r="O56" s="725"/>
      <c r="P56" s="725"/>
      <c r="Q56" s="725"/>
      <c r="R56" s="725"/>
      <c r="S56" s="725"/>
    </row>
    <row r="57" spans="1:19" x14ac:dyDescent="0.2">
      <c r="A57" s="359"/>
      <c r="B57" s="725"/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5"/>
      <c r="O57" s="725"/>
      <c r="P57" s="725"/>
      <c r="Q57" s="725"/>
      <c r="R57" s="725"/>
      <c r="S57" s="725"/>
    </row>
    <row r="58" spans="1:19" s="338" customFormat="1" ht="53.25" customHeight="1" x14ac:dyDescent="0.25">
      <c r="A58" s="336" t="s">
        <v>1</v>
      </c>
      <c r="B58" s="337" t="s">
        <v>2</v>
      </c>
      <c r="C58" s="450" t="s">
        <v>3</v>
      </c>
      <c r="D58" s="450" t="s">
        <v>4</v>
      </c>
      <c r="E58" s="450" t="s">
        <v>5</v>
      </c>
      <c r="F58" s="450" t="s">
        <v>6</v>
      </c>
      <c r="G58" s="338" t="s">
        <v>7</v>
      </c>
      <c r="H58" s="338" t="s">
        <v>8</v>
      </c>
      <c r="I58" s="339" t="s">
        <v>9</v>
      </c>
      <c r="J58" s="339" t="s">
        <v>10</v>
      </c>
      <c r="K58" s="339" t="s">
        <v>11</v>
      </c>
      <c r="L58" s="340" t="s">
        <v>12</v>
      </c>
      <c r="M58" s="340" t="s">
        <v>13</v>
      </c>
      <c r="N58" s="340" t="s">
        <v>14</v>
      </c>
      <c r="O58" s="340" t="s">
        <v>15</v>
      </c>
      <c r="P58" s="340" t="s">
        <v>16</v>
      </c>
      <c r="Q58" s="340" t="s">
        <v>17</v>
      </c>
      <c r="R58" s="340" t="s">
        <v>18</v>
      </c>
      <c r="S58" s="340" t="s">
        <v>19</v>
      </c>
    </row>
    <row r="59" spans="1:19" ht="15" x14ac:dyDescent="0.2">
      <c r="A59" s="99"/>
      <c r="B59" s="448"/>
      <c r="C59" s="160"/>
      <c r="D59" s="447" t="str">
        <f>IFERROR(VLOOKUP(CORNPREMIUMTBL[[#This Row],[FIELD]],FFTBL[[Field]:[COUNTY2]],7,FALSE),"")</f>
        <v/>
      </c>
      <c r="E59" s="447" t="str">
        <f>IFERROR(VLOOKUP(CORNPREMIUMTBL[[#This Row],[FIELD]],FFTBL[[Field]:[COUNTY2]],3,FALSE),"")</f>
        <v/>
      </c>
      <c r="F59" s="451" t="str">
        <f>IFERROR(VLOOKUP(CORNPREMIUMTBL[[#This Row],[FIELD]],FFTBL[[Field]:[COUNTY2]],2,FALSE),"")</f>
        <v/>
      </c>
      <c r="G59" s="317">
        <f>SUMIFS(CORNPREMIUMTBL[TOTAL ACRES IN FIELD],CORNPREMIUMTBL[COUNTY FIELD IS LOCATED IN],CORNPREMIUMTBL[[#This Row],[COUNTY FIELD IS LOCATED IN]])</f>
        <v>0</v>
      </c>
      <c r="H59" s="439"/>
      <c r="I59" s="319" t="str">
        <f>IFERROR((CORNPREMIUMTBL[[#This Row],[COUNTY PREMIUMS]]/CORNPREMIUMTBL[[#This Row],[TOTAL ACRES IN COUNTY ALL OWNERS]]),"-")</f>
        <v>-</v>
      </c>
      <c r="J59" s="319" t="str">
        <f>IFERROR((CORNPREMIUMTBL[[#This Row],[PREMIUM PER ACRE COST]]*CORNPREMIUMTBL[[#This Row],[TOTAL ACRES IN FIELD]]),"-")</f>
        <v>-</v>
      </c>
      <c r="K59" s="437"/>
      <c r="L59" s="438"/>
      <c r="M59" s="320">
        <f>(CORNPREMIUMTBL[[#This Row],[DATE PREMIUM BILL WAS DUE]]-CORNPREMIUMTBL[[#This Row],[DATE PREMIUM PAYMENTS CAME]])*-1</f>
        <v>0</v>
      </c>
      <c r="N59" s="321">
        <v>0.06</v>
      </c>
      <c r="O59" s="319" t="str">
        <f>IFERROR(CORNPREMIUMTBL[[#This Row],[TOTAL PREMIUM ACRE COST]]*((CORNPREMIUMTBL[[#This Row],[INTEREST RATE]])*(CORNPREMIUMTBL[[#This Row],[TOTAL DAYS OF INTERST]]/365)),"-")</f>
        <v>-</v>
      </c>
      <c r="P59" s="439"/>
      <c r="Q59" s="318" t="str">
        <f>IFERROR((CORNPREMIUMTBL[[#This Row],[INSURANCE ADMIN FEES]]+CORNPREMIUMTBL[[#This Row],[TOTAL INTEREST]]+CORNPREMIUMTBL[[#This Row],[TOTAL PREMIUM ACRE COST]]),"-")</f>
        <v>-</v>
      </c>
      <c r="R59" s="318" t="str">
        <f>IFERROR((CORNPREMIUMTBL[[#This Row],[TOTAL INSURANCE PREMIUM PAID]]*0.65),"-")</f>
        <v>-</v>
      </c>
      <c r="S59" s="318" t="str">
        <f>IFERROR((CORNPREMIUMTBL[[#This Row],[TOTAL INSURANCE PREMIUM PAID]]*0.35),"-")</f>
        <v>-</v>
      </c>
    </row>
    <row r="60" spans="1:19" x14ac:dyDescent="0.2">
      <c r="A60" s="300"/>
      <c r="B60" s="449"/>
      <c r="C60" s="452"/>
      <c r="D60" s="447" t="str">
        <f>IFERROR(VLOOKUP(CORNPREMIUMTBL[[#This Row],[FIELD]],FFTBL[[Field]:[COUNTY2]],7,FALSE),"")</f>
        <v/>
      </c>
      <c r="E60" s="453" t="str">
        <f>IFERROR(VLOOKUP(CORNPREMIUMTBL[[#This Row],[FIELD]],FFTBL[[Field]:[COUNTY2]],3,FALSE),"")</f>
        <v/>
      </c>
      <c r="F60" s="454" t="str">
        <f>IFERROR(VLOOKUP(CORNPREMIUMTBL[[#This Row],[FIELD]],FFTBL[[Field]:[COUNTY2]],2,FALSE),"")</f>
        <v/>
      </c>
      <c r="G60" s="317">
        <f>SUMIFS(CORNPREMIUMTBL[TOTAL ACRES IN FIELD],CORNPREMIUMTBL[COUNTY FIELD IS LOCATED IN],CORNPREMIUMTBL[[#This Row],[COUNTY FIELD IS LOCATED IN]])</f>
        <v>0</v>
      </c>
      <c r="H60" s="439"/>
      <c r="I60" s="319" t="str">
        <f>IFERROR((CORNPREMIUMTBL[[#This Row],[COUNTY PREMIUMS]]/CORNPREMIUMTBL[[#This Row],[TOTAL ACRES IN COUNTY ALL OWNERS]]),"-")</f>
        <v>-</v>
      </c>
      <c r="J60" s="319" t="str">
        <f>IFERROR((CORNPREMIUMTBL[[#This Row],[PREMIUM PER ACRE COST]]*CORNPREMIUMTBL[[#This Row],[TOTAL ACRES IN FIELD]]),"-")</f>
        <v>-</v>
      </c>
      <c r="K60" s="438"/>
      <c r="L60" s="438"/>
      <c r="M60" s="320">
        <f>(CORNPREMIUMTBL[[#This Row],[DATE PREMIUM BILL WAS DUE]]-CORNPREMIUMTBL[[#This Row],[DATE PREMIUM PAYMENTS CAME]])*-1</f>
        <v>0</v>
      </c>
      <c r="N60" s="321"/>
      <c r="O60" s="319" t="str">
        <f>IFERROR(CORNPREMIUMTBL[[#This Row],[TOTAL PREMIUM ACRE COST]]*((CORNPREMIUMTBL[[#This Row],[INTEREST RATE]])*(CORNPREMIUMTBL[[#This Row],[TOTAL DAYS OF INTERST]]/365)),"-")</f>
        <v>-</v>
      </c>
      <c r="P60" s="439"/>
      <c r="Q60" s="318" t="str">
        <f>IFERROR((CORNPREMIUMTBL[[#This Row],[INSURANCE ADMIN FEES]]+CORNPREMIUMTBL[[#This Row],[TOTAL INTEREST]]+CORNPREMIUMTBL[[#This Row],[TOTAL PREMIUM ACRE COST]]),"-")</f>
        <v>-</v>
      </c>
      <c r="R60" s="318" t="str">
        <f>IFERROR((CORNPREMIUMTBL[[#This Row],[TOTAL INSURANCE PREMIUM PAID]]*0.65),"-")</f>
        <v>-</v>
      </c>
      <c r="S60" s="318" t="str">
        <f>IFERROR((CORNPREMIUMTBL[[#This Row],[TOTAL INSURANCE PREMIUM PAID]]*0.35),"-")</f>
        <v>-</v>
      </c>
    </row>
    <row r="61" spans="1:19" x14ac:dyDescent="0.2">
      <c r="A61" s="300"/>
      <c r="B61" s="449"/>
      <c r="C61" s="452"/>
      <c r="D61" s="447" t="str">
        <f>IFERROR(VLOOKUP(CORNPREMIUMTBL[[#This Row],[FIELD]],FFTBL[[Field]:[COUNTY2]],7,FALSE),"")</f>
        <v/>
      </c>
      <c r="E61" s="453" t="str">
        <f>IFERROR(VLOOKUP(CORNPREMIUMTBL[[#This Row],[FIELD]],FFTBL[[Field]:[COUNTY2]],3,FALSE),"")</f>
        <v/>
      </c>
      <c r="F61" s="454" t="str">
        <f>IFERROR(VLOOKUP(CORNPREMIUMTBL[[#This Row],[FIELD]],FFTBL[[Field]:[COUNTY2]],2,FALSE),"")</f>
        <v/>
      </c>
      <c r="G61" s="317">
        <f>SUMIFS(CORNPREMIUMTBL[TOTAL ACRES IN FIELD],CORNPREMIUMTBL[COUNTY FIELD IS LOCATED IN],CORNPREMIUMTBL[[#This Row],[COUNTY FIELD IS LOCATED IN]])</f>
        <v>0</v>
      </c>
      <c r="H61" s="439"/>
      <c r="I61" s="319" t="str">
        <f>IFERROR((CORNPREMIUMTBL[[#This Row],[COUNTY PREMIUMS]]/CORNPREMIUMTBL[[#This Row],[TOTAL ACRES IN COUNTY ALL OWNERS]]),"-")</f>
        <v>-</v>
      </c>
      <c r="J61" s="319" t="str">
        <f>IFERROR((CORNPREMIUMTBL[[#This Row],[PREMIUM PER ACRE COST]]*CORNPREMIUMTBL[[#This Row],[TOTAL ACRES IN FIELD]]),"-")</f>
        <v>-</v>
      </c>
      <c r="K61" s="438"/>
      <c r="L61" s="438"/>
      <c r="M61" s="320">
        <f>(CORNPREMIUMTBL[[#This Row],[DATE PREMIUM BILL WAS DUE]]-CORNPREMIUMTBL[[#This Row],[DATE PREMIUM PAYMENTS CAME]])*-1</f>
        <v>0</v>
      </c>
      <c r="N61" s="321"/>
      <c r="O61" s="319" t="str">
        <f>IFERROR(CORNPREMIUMTBL[[#This Row],[TOTAL PREMIUM ACRE COST]]*((CORNPREMIUMTBL[[#This Row],[INTEREST RATE]])*(CORNPREMIUMTBL[[#This Row],[TOTAL DAYS OF INTERST]]/365)),"-")</f>
        <v>-</v>
      </c>
      <c r="P61" s="439"/>
      <c r="Q61" s="318" t="str">
        <f>IFERROR((CORNPREMIUMTBL[[#This Row],[INSURANCE ADMIN FEES]]+CORNPREMIUMTBL[[#This Row],[TOTAL INTEREST]]+CORNPREMIUMTBL[[#This Row],[TOTAL PREMIUM ACRE COST]]),"-")</f>
        <v>-</v>
      </c>
      <c r="R61" s="318" t="str">
        <f>IFERROR((CORNPREMIUMTBL[[#This Row],[TOTAL INSURANCE PREMIUM PAID]]*0.65),"-")</f>
        <v>-</v>
      </c>
      <c r="S61" s="318" t="str">
        <f>IFERROR((CORNPREMIUMTBL[[#This Row],[TOTAL INSURANCE PREMIUM PAID]]*0.35),"-")</f>
        <v>-</v>
      </c>
    </row>
    <row r="62" spans="1:19" x14ac:dyDescent="0.2">
      <c r="A62" s="300"/>
      <c r="B62" s="449"/>
      <c r="C62" s="452"/>
      <c r="D62" s="447" t="str">
        <f>IFERROR(VLOOKUP(CORNPREMIUMTBL[[#This Row],[FIELD]],FFTBL[[Field]:[COUNTY2]],7,FALSE),"")</f>
        <v/>
      </c>
      <c r="E62" s="453" t="str">
        <f>IFERROR(VLOOKUP(CORNPREMIUMTBL[[#This Row],[FIELD]],FFTBL[[Field]:[COUNTY2]],3,FALSE),"")</f>
        <v/>
      </c>
      <c r="F62" s="454" t="str">
        <f>IFERROR(VLOOKUP(CORNPREMIUMTBL[[#This Row],[FIELD]],FFTBL[[Field]:[COUNTY2]],2,FALSE),"")</f>
        <v/>
      </c>
      <c r="G62" s="317">
        <f>SUMIFS(CORNPREMIUMTBL[TOTAL ACRES IN FIELD],CORNPREMIUMTBL[COUNTY FIELD IS LOCATED IN],CORNPREMIUMTBL[[#This Row],[COUNTY FIELD IS LOCATED IN]])</f>
        <v>0</v>
      </c>
      <c r="H62" s="439"/>
      <c r="I62" s="319" t="str">
        <f>IFERROR((CORNPREMIUMTBL[[#This Row],[COUNTY PREMIUMS]]/CORNPREMIUMTBL[[#This Row],[TOTAL ACRES IN COUNTY ALL OWNERS]]),"-")</f>
        <v>-</v>
      </c>
      <c r="J62" s="319" t="str">
        <f>IFERROR((CORNPREMIUMTBL[[#This Row],[PREMIUM PER ACRE COST]]*CORNPREMIUMTBL[[#This Row],[TOTAL ACRES IN FIELD]]),"-")</f>
        <v>-</v>
      </c>
      <c r="K62" s="438"/>
      <c r="L62" s="438"/>
      <c r="M62" s="320">
        <f>(CORNPREMIUMTBL[[#This Row],[DATE PREMIUM BILL WAS DUE]]-CORNPREMIUMTBL[[#This Row],[DATE PREMIUM PAYMENTS CAME]])*-1</f>
        <v>0</v>
      </c>
      <c r="N62" s="321"/>
      <c r="O62" s="319" t="str">
        <f>IFERROR(CORNPREMIUMTBL[[#This Row],[TOTAL PREMIUM ACRE COST]]*((CORNPREMIUMTBL[[#This Row],[INTEREST RATE]])*(CORNPREMIUMTBL[[#This Row],[TOTAL DAYS OF INTERST]]/365)),"-")</f>
        <v>-</v>
      </c>
      <c r="P62" s="439"/>
      <c r="Q62" s="318" t="str">
        <f>IFERROR((CORNPREMIUMTBL[[#This Row],[INSURANCE ADMIN FEES]]+CORNPREMIUMTBL[[#This Row],[TOTAL INTEREST]]+CORNPREMIUMTBL[[#This Row],[TOTAL PREMIUM ACRE COST]]),"-")</f>
        <v>-</v>
      </c>
      <c r="R62" s="318" t="str">
        <f>IFERROR((CORNPREMIUMTBL[[#This Row],[TOTAL INSURANCE PREMIUM PAID]]*0.65),"-")</f>
        <v>-</v>
      </c>
      <c r="S62" s="318" t="str">
        <f>IFERROR((CORNPREMIUMTBL[[#This Row],[TOTAL INSURANCE PREMIUM PAID]]*0.35),"-")</f>
        <v>-</v>
      </c>
    </row>
    <row r="63" spans="1:19" x14ac:dyDescent="0.2">
      <c r="A63" s="300"/>
      <c r="B63" s="449"/>
      <c r="C63" s="452"/>
      <c r="D63" s="447" t="str">
        <f>IFERROR(VLOOKUP(CORNPREMIUMTBL[[#This Row],[FIELD]],FFTBL[[Field]:[COUNTY2]],7,FALSE),"")</f>
        <v/>
      </c>
      <c r="E63" s="453" t="str">
        <f>IFERROR(VLOOKUP(CORNPREMIUMTBL[[#This Row],[FIELD]],FFTBL[[Field]:[COUNTY2]],3,FALSE),"")</f>
        <v/>
      </c>
      <c r="F63" s="454" t="str">
        <f>IFERROR(VLOOKUP(CORNPREMIUMTBL[[#This Row],[FIELD]],FFTBL[[Field]:[COUNTY2]],2,FALSE),"")</f>
        <v/>
      </c>
      <c r="G63" s="317">
        <f>SUMIFS(CORNPREMIUMTBL[TOTAL ACRES IN FIELD],CORNPREMIUMTBL[COUNTY FIELD IS LOCATED IN],CORNPREMIUMTBL[[#This Row],[COUNTY FIELD IS LOCATED IN]])</f>
        <v>0</v>
      </c>
      <c r="H63" s="439"/>
      <c r="I63" s="319" t="str">
        <f>IFERROR((CORNPREMIUMTBL[[#This Row],[COUNTY PREMIUMS]]/CORNPREMIUMTBL[[#This Row],[TOTAL ACRES IN COUNTY ALL OWNERS]]),"-")</f>
        <v>-</v>
      </c>
      <c r="J63" s="319" t="str">
        <f>IFERROR((CORNPREMIUMTBL[[#This Row],[PREMIUM PER ACRE COST]]*CORNPREMIUMTBL[[#This Row],[TOTAL ACRES IN FIELD]]),"-")</f>
        <v>-</v>
      </c>
      <c r="K63" s="438"/>
      <c r="L63" s="438"/>
      <c r="M63" s="320">
        <f>(CORNPREMIUMTBL[[#This Row],[DATE PREMIUM BILL WAS DUE]]-CORNPREMIUMTBL[[#This Row],[DATE PREMIUM PAYMENTS CAME]])*-1</f>
        <v>0</v>
      </c>
      <c r="N63" s="321"/>
      <c r="O63" s="319" t="str">
        <f>IFERROR(CORNPREMIUMTBL[[#This Row],[TOTAL PREMIUM ACRE COST]]*((CORNPREMIUMTBL[[#This Row],[INTEREST RATE]])*(CORNPREMIUMTBL[[#This Row],[TOTAL DAYS OF INTERST]]/365)),"-")</f>
        <v>-</v>
      </c>
      <c r="P63" s="439"/>
      <c r="Q63" s="318" t="str">
        <f>IFERROR((CORNPREMIUMTBL[[#This Row],[INSURANCE ADMIN FEES]]+CORNPREMIUMTBL[[#This Row],[TOTAL INTEREST]]+CORNPREMIUMTBL[[#This Row],[TOTAL PREMIUM ACRE COST]]),"-")</f>
        <v>-</v>
      </c>
      <c r="R63" s="318" t="str">
        <f>IFERROR((CORNPREMIUMTBL[[#This Row],[TOTAL INSURANCE PREMIUM PAID]]*0.65),"-")</f>
        <v>-</v>
      </c>
      <c r="S63" s="318" t="str">
        <f>IFERROR((CORNPREMIUMTBL[[#This Row],[TOTAL INSURANCE PREMIUM PAID]]*0.35),"-")</f>
        <v>-</v>
      </c>
    </row>
    <row r="64" spans="1:19" ht="15" x14ac:dyDescent="0.2">
      <c r="A64" s="99"/>
      <c r="B64" s="448"/>
      <c r="C64" s="160"/>
      <c r="D64" s="447" t="str">
        <f>IFERROR(VLOOKUP(CORNPREMIUMTBL[[#This Row],[FIELD]],FFTBL[[Field]:[COUNTY2]],7,FALSE),"")</f>
        <v/>
      </c>
      <c r="E64" s="453" t="str">
        <f>IFERROR(VLOOKUP(CORNPREMIUMTBL[[#This Row],[FIELD]],FFTBL[[Field]:[COUNTY2]],3,FALSE),"")</f>
        <v/>
      </c>
      <c r="F64" s="451" t="str">
        <f>IFERROR(VLOOKUP(CORNPREMIUMTBL[[#This Row],[FIELD]],FFTBL[[Field]:[COUNTY2]],2,FALSE),"")</f>
        <v/>
      </c>
      <c r="G64" s="317">
        <f>SUMIFS(CORNPREMIUMTBL[TOTAL ACRES IN FIELD],CORNPREMIUMTBL[COUNTY FIELD IS LOCATED IN],CORNPREMIUMTBL[[#This Row],[COUNTY FIELD IS LOCATED IN]])</f>
        <v>0</v>
      </c>
      <c r="H64" s="439"/>
      <c r="I64" s="319" t="str">
        <f>IFERROR((CORNPREMIUMTBL[[#This Row],[COUNTY PREMIUMS]]/CORNPREMIUMTBL[[#This Row],[TOTAL ACRES IN COUNTY ALL OWNERS]]),"-")</f>
        <v>-</v>
      </c>
      <c r="J64" s="319" t="str">
        <f>IFERROR((CORNPREMIUMTBL[[#This Row],[PREMIUM PER ACRE COST]]*CORNPREMIUMTBL[[#This Row],[TOTAL ACRES IN FIELD]]),"-")</f>
        <v>-</v>
      </c>
      <c r="K64" s="437"/>
      <c r="L64" s="438"/>
      <c r="M64" s="320">
        <f>(CORNPREMIUMTBL[[#This Row],[DATE PREMIUM BILL WAS DUE]]-CORNPREMIUMTBL[[#This Row],[DATE PREMIUM PAYMENTS CAME]])*-1</f>
        <v>0</v>
      </c>
      <c r="N64" s="321">
        <v>0.06</v>
      </c>
      <c r="O64" s="319" t="str">
        <f>IFERROR(CORNPREMIUMTBL[[#This Row],[TOTAL PREMIUM ACRE COST]]*((CORNPREMIUMTBL[[#This Row],[INTEREST RATE]])*(CORNPREMIUMTBL[[#This Row],[TOTAL DAYS OF INTERST]]/365)),"-")</f>
        <v>-</v>
      </c>
      <c r="P64" s="439"/>
      <c r="Q64" s="318" t="str">
        <f>IFERROR((CORNPREMIUMTBL[[#This Row],[INSURANCE ADMIN FEES]]+CORNPREMIUMTBL[[#This Row],[TOTAL INTEREST]]+CORNPREMIUMTBL[[#This Row],[TOTAL PREMIUM ACRE COST]]),"-")</f>
        <v>-</v>
      </c>
      <c r="R64" s="318" t="str">
        <f>IFERROR((CORNPREMIUMTBL[[#This Row],[TOTAL INSURANCE PREMIUM PAID]]*0.65),"-")</f>
        <v>-</v>
      </c>
      <c r="S64" s="318" t="str">
        <f>IFERROR((CORNPREMIUMTBL[[#This Row],[TOTAL INSURANCE PREMIUM PAID]]*0.35),"-")</f>
        <v>-</v>
      </c>
    </row>
    <row r="65" spans="1:19" ht="15" x14ac:dyDescent="0.2">
      <c r="A65" s="99"/>
      <c r="B65" s="448"/>
      <c r="C65" s="160"/>
      <c r="D65" s="447" t="str">
        <f>IFERROR(VLOOKUP(CORNPREMIUMTBL[[#This Row],[FIELD]],FFTBL[[Field]:[COUNTY2]],7,FALSE),"")</f>
        <v/>
      </c>
      <c r="E65" s="453" t="str">
        <f>IFERROR(VLOOKUP(CORNPREMIUMTBL[[#This Row],[FIELD]],FFTBL[[Field]:[COUNTY2]],3,FALSE),"")</f>
        <v/>
      </c>
      <c r="F65" s="454" t="str">
        <f>IFERROR(VLOOKUP(CORNPREMIUMTBL[[#This Row],[FIELD]],FFTBL[[Field]:[COUNTY2]],2,FALSE),"")</f>
        <v/>
      </c>
      <c r="G65" s="317">
        <f>SUMIFS(CORNPREMIUMTBL[TOTAL ACRES IN FIELD],CORNPREMIUMTBL[COUNTY FIELD IS LOCATED IN],CORNPREMIUMTBL[[#This Row],[COUNTY FIELD IS LOCATED IN]])</f>
        <v>0</v>
      </c>
      <c r="H65" s="439"/>
      <c r="I65" s="319" t="str">
        <f>IFERROR((CORNPREMIUMTBL[[#This Row],[COUNTY PREMIUMS]]/CORNPREMIUMTBL[[#This Row],[TOTAL ACRES IN COUNTY ALL OWNERS]]),"-")</f>
        <v>-</v>
      </c>
      <c r="J65" s="319" t="str">
        <f>IFERROR((CORNPREMIUMTBL[[#This Row],[PREMIUM PER ACRE COST]]*CORNPREMIUMTBL[[#This Row],[TOTAL ACRES IN FIELD]]),"-")</f>
        <v>-</v>
      </c>
      <c r="K65" s="437"/>
      <c r="L65" s="438"/>
      <c r="M65" s="320">
        <f>(CORNPREMIUMTBL[[#This Row],[DATE PREMIUM BILL WAS DUE]]-CORNPREMIUMTBL[[#This Row],[DATE PREMIUM PAYMENTS CAME]])*-1</f>
        <v>0</v>
      </c>
      <c r="N65" s="321">
        <v>0.06</v>
      </c>
      <c r="O65" s="319" t="str">
        <f>IFERROR(CORNPREMIUMTBL[[#This Row],[TOTAL PREMIUM ACRE COST]]*((CORNPREMIUMTBL[[#This Row],[INTEREST RATE]])*(CORNPREMIUMTBL[[#This Row],[TOTAL DAYS OF INTERST]]/365)),"-")</f>
        <v>-</v>
      </c>
      <c r="P65" s="439"/>
      <c r="Q65" s="318" t="str">
        <f>IFERROR((CORNPREMIUMTBL[[#This Row],[INSURANCE ADMIN FEES]]+CORNPREMIUMTBL[[#This Row],[TOTAL INTEREST]]+CORNPREMIUMTBL[[#This Row],[TOTAL PREMIUM ACRE COST]]),"-")</f>
        <v>-</v>
      </c>
      <c r="R65" s="318" t="str">
        <f>IFERROR((CORNPREMIUMTBL[[#This Row],[TOTAL INSURANCE PREMIUM PAID]]*0.65),"-")</f>
        <v>-</v>
      </c>
      <c r="S65" s="318" t="str">
        <f>IFERROR((CORNPREMIUMTBL[[#This Row],[TOTAL INSURANCE PREMIUM PAID]]*0.35),"-")</f>
        <v>-</v>
      </c>
    </row>
    <row r="66" spans="1:19" ht="15" x14ac:dyDescent="0.2">
      <c r="A66" s="99"/>
      <c r="B66" s="448"/>
      <c r="C66" s="160"/>
      <c r="D66" s="447" t="str">
        <f>IFERROR(VLOOKUP(CORNPREMIUMTBL[[#This Row],[FIELD]],FFTBL[[Field]:[COUNTY2]],7,FALSE),"")</f>
        <v/>
      </c>
      <c r="E66" s="453" t="str">
        <f>IFERROR(VLOOKUP(CORNPREMIUMTBL[[#This Row],[FIELD]],FFTBL[[Field]:[COUNTY2]],3,FALSE),"")</f>
        <v/>
      </c>
      <c r="F66" s="454" t="str">
        <f>IFERROR(VLOOKUP(CORNPREMIUMTBL[[#This Row],[FIELD]],FFTBL[[Field]:[COUNTY2]],2,FALSE),"")</f>
        <v/>
      </c>
      <c r="G66" s="317">
        <f>SUMIFS(CORNPREMIUMTBL[TOTAL ACRES IN FIELD],CORNPREMIUMTBL[COUNTY FIELD IS LOCATED IN],CORNPREMIUMTBL[[#This Row],[COUNTY FIELD IS LOCATED IN]])</f>
        <v>0</v>
      </c>
      <c r="H66" s="439"/>
      <c r="I66" s="319" t="str">
        <f>IFERROR((CORNPREMIUMTBL[[#This Row],[COUNTY PREMIUMS]]/CORNPREMIUMTBL[[#This Row],[TOTAL ACRES IN COUNTY ALL OWNERS]]),"-")</f>
        <v>-</v>
      </c>
      <c r="J66" s="319" t="str">
        <f>IFERROR((CORNPREMIUMTBL[[#This Row],[PREMIUM PER ACRE COST]]*CORNPREMIUMTBL[[#This Row],[TOTAL ACRES IN FIELD]]),"-")</f>
        <v>-</v>
      </c>
      <c r="K66" s="437"/>
      <c r="L66" s="438"/>
      <c r="M66" s="320">
        <f>(CORNPREMIUMTBL[[#This Row],[DATE PREMIUM BILL WAS DUE]]-CORNPREMIUMTBL[[#This Row],[DATE PREMIUM PAYMENTS CAME]])*-1</f>
        <v>0</v>
      </c>
      <c r="N66" s="321">
        <v>0.06</v>
      </c>
      <c r="O66" s="319" t="str">
        <f>IFERROR(CORNPREMIUMTBL[[#This Row],[TOTAL PREMIUM ACRE COST]]*((CORNPREMIUMTBL[[#This Row],[INTEREST RATE]])*(CORNPREMIUMTBL[[#This Row],[TOTAL DAYS OF INTERST]]/365)),"-")</f>
        <v>-</v>
      </c>
      <c r="P66" s="439"/>
      <c r="Q66" s="318" t="str">
        <f>IFERROR((CORNPREMIUMTBL[[#This Row],[INSURANCE ADMIN FEES]]+CORNPREMIUMTBL[[#This Row],[TOTAL INTEREST]]+CORNPREMIUMTBL[[#This Row],[TOTAL PREMIUM ACRE COST]]),"-")</f>
        <v>-</v>
      </c>
      <c r="R66" s="318" t="str">
        <f>IFERROR((CORNPREMIUMTBL[[#This Row],[TOTAL INSURANCE PREMIUM PAID]]*0.65),"-")</f>
        <v>-</v>
      </c>
      <c r="S66" s="318" t="str">
        <f>IFERROR((CORNPREMIUMTBL[[#This Row],[TOTAL INSURANCE PREMIUM PAID]]*0.35),"-")</f>
        <v>-</v>
      </c>
    </row>
    <row r="67" spans="1:19" ht="15" x14ac:dyDescent="0.2">
      <c r="A67" s="99"/>
      <c r="B67" s="448"/>
      <c r="C67" s="160"/>
      <c r="D67" s="447" t="str">
        <f>IFERROR(VLOOKUP(CORNPREMIUMTBL[[#This Row],[FIELD]],FFTBL[[Field]:[COUNTY2]],7,FALSE),"")</f>
        <v/>
      </c>
      <c r="E67" s="453" t="str">
        <f>IFERROR(VLOOKUP(CORNPREMIUMTBL[[#This Row],[FIELD]],FFTBL[[Field]:[COUNTY2]],3,FALSE),"")</f>
        <v/>
      </c>
      <c r="F67" s="454" t="str">
        <f>IFERROR(VLOOKUP(CORNPREMIUMTBL[[#This Row],[FIELD]],FFTBL[[Field]:[COUNTY2]],2,FALSE),"")</f>
        <v/>
      </c>
      <c r="G67" s="317">
        <f>SUMIFS(CORNPREMIUMTBL[TOTAL ACRES IN FIELD],CORNPREMIUMTBL[COUNTY FIELD IS LOCATED IN],CORNPREMIUMTBL[[#This Row],[COUNTY FIELD IS LOCATED IN]])</f>
        <v>0</v>
      </c>
      <c r="H67" s="439"/>
      <c r="I67" s="319" t="str">
        <f>IFERROR((CORNPREMIUMTBL[[#This Row],[COUNTY PREMIUMS]]/CORNPREMIUMTBL[[#This Row],[TOTAL ACRES IN COUNTY ALL OWNERS]]),"-")</f>
        <v>-</v>
      </c>
      <c r="J67" s="319" t="str">
        <f>IFERROR((CORNPREMIUMTBL[[#This Row],[PREMIUM PER ACRE COST]]*CORNPREMIUMTBL[[#This Row],[TOTAL ACRES IN FIELD]]),"-")</f>
        <v>-</v>
      </c>
      <c r="K67" s="437"/>
      <c r="L67" s="438"/>
      <c r="M67" s="320">
        <f>(CORNPREMIUMTBL[[#This Row],[DATE PREMIUM BILL WAS DUE]]-CORNPREMIUMTBL[[#This Row],[DATE PREMIUM PAYMENTS CAME]])*-1</f>
        <v>0</v>
      </c>
      <c r="N67" s="321">
        <v>0.06</v>
      </c>
      <c r="O67" s="319" t="str">
        <f>IFERROR(CORNPREMIUMTBL[[#This Row],[TOTAL PREMIUM ACRE COST]]*((CORNPREMIUMTBL[[#This Row],[INTEREST RATE]])*(CORNPREMIUMTBL[[#This Row],[TOTAL DAYS OF INTERST]]/365)),"-")</f>
        <v>-</v>
      </c>
      <c r="P67" s="439"/>
      <c r="Q67" s="318" t="str">
        <f>IFERROR((CORNPREMIUMTBL[[#This Row],[INSURANCE ADMIN FEES]]+CORNPREMIUMTBL[[#This Row],[TOTAL INTEREST]]+CORNPREMIUMTBL[[#This Row],[TOTAL PREMIUM ACRE COST]]),"-")</f>
        <v>-</v>
      </c>
      <c r="R67" s="318" t="str">
        <f>IFERROR((CORNPREMIUMTBL[[#This Row],[TOTAL INSURANCE PREMIUM PAID]]*0.65),"-")</f>
        <v>-</v>
      </c>
      <c r="S67" s="318" t="str">
        <f>IFERROR((CORNPREMIUMTBL[[#This Row],[TOTAL INSURANCE PREMIUM PAID]]*0.35),"-")</f>
        <v>-</v>
      </c>
    </row>
    <row r="68" spans="1:19" ht="15" x14ac:dyDescent="0.2">
      <c r="A68" s="99"/>
      <c r="B68" s="448"/>
      <c r="C68" s="160"/>
      <c r="D68" s="447" t="str">
        <f>IFERROR(VLOOKUP(CORNPREMIUMTBL[[#This Row],[FIELD]],FFTBL[[Field]:[COUNTY2]],7,FALSE),"")</f>
        <v/>
      </c>
      <c r="E68" s="453" t="str">
        <f>IFERROR(VLOOKUP(CORNPREMIUMTBL[[#This Row],[FIELD]],FFTBL[[Field]:[COUNTY2]],3,FALSE),"")</f>
        <v/>
      </c>
      <c r="F68" s="454" t="str">
        <f>IFERROR(VLOOKUP(CORNPREMIUMTBL[[#This Row],[FIELD]],FFTBL[[Field]:[COUNTY2]],2,FALSE),"")</f>
        <v/>
      </c>
      <c r="G68" s="317">
        <f>SUMIFS(CORNPREMIUMTBL[TOTAL ACRES IN FIELD],CORNPREMIUMTBL[COUNTY FIELD IS LOCATED IN],CORNPREMIUMTBL[[#This Row],[COUNTY FIELD IS LOCATED IN]])</f>
        <v>0</v>
      </c>
      <c r="H68" s="439"/>
      <c r="I68" s="319" t="str">
        <f>IFERROR((CORNPREMIUMTBL[[#This Row],[COUNTY PREMIUMS]]/CORNPREMIUMTBL[[#This Row],[TOTAL ACRES IN COUNTY ALL OWNERS]]),"-")</f>
        <v>-</v>
      </c>
      <c r="J68" s="319" t="str">
        <f>IFERROR((CORNPREMIUMTBL[[#This Row],[PREMIUM PER ACRE COST]]*CORNPREMIUMTBL[[#This Row],[TOTAL ACRES IN FIELD]]),"-")</f>
        <v>-</v>
      </c>
      <c r="K68" s="437"/>
      <c r="L68" s="438"/>
      <c r="M68" s="320">
        <f>(CORNPREMIUMTBL[[#This Row],[DATE PREMIUM BILL WAS DUE]]-CORNPREMIUMTBL[[#This Row],[DATE PREMIUM PAYMENTS CAME]])*-1</f>
        <v>0</v>
      </c>
      <c r="N68" s="321">
        <v>0.06</v>
      </c>
      <c r="O68" s="319" t="str">
        <f>IFERROR(CORNPREMIUMTBL[[#This Row],[TOTAL PREMIUM ACRE COST]]*((CORNPREMIUMTBL[[#This Row],[INTEREST RATE]])*(CORNPREMIUMTBL[[#This Row],[TOTAL DAYS OF INTERST]]/365)),"-")</f>
        <v>-</v>
      </c>
      <c r="P68" s="439"/>
      <c r="Q68" s="318" t="str">
        <f>IFERROR((CORNPREMIUMTBL[[#This Row],[INSURANCE ADMIN FEES]]+CORNPREMIUMTBL[[#This Row],[TOTAL INTEREST]]+CORNPREMIUMTBL[[#This Row],[TOTAL PREMIUM ACRE COST]]),"-")</f>
        <v>-</v>
      </c>
      <c r="R68" s="318" t="str">
        <f>IFERROR((CORNPREMIUMTBL[[#This Row],[TOTAL INSURANCE PREMIUM PAID]]*0.65),"-")</f>
        <v>-</v>
      </c>
      <c r="S68" s="318" t="str">
        <f>IFERROR((CORNPREMIUMTBL[[#This Row],[TOTAL INSURANCE PREMIUM PAID]]*0.35),"-")</f>
        <v>-</v>
      </c>
    </row>
    <row r="69" spans="1:19" ht="15" x14ac:dyDescent="0.2">
      <c r="A69" s="99"/>
      <c r="B69" s="448"/>
      <c r="C69" s="160"/>
      <c r="D69" s="447" t="str">
        <f>IFERROR(VLOOKUP(CORNPREMIUMTBL[[#This Row],[FIELD]],FFTBL[[Field]:[COUNTY2]],7,FALSE),"")</f>
        <v/>
      </c>
      <c r="E69" s="453" t="str">
        <f>IFERROR(VLOOKUP(CORNPREMIUMTBL[[#This Row],[FIELD]],FFTBL[[Field]:[COUNTY2]],3,FALSE),"")</f>
        <v/>
      </c>
      <c r="F69" s="454" t="str">
        <f>IFERROR(VLOOKUP(CORNPREMIUMTBL[[#This Row],[FIELD]],FFTBL[[Field]:[COUNTY2]],2,FALSE),"")</f>
        <v/>
      </c>
      <c r="G69" s="317">
        <f>SUMIFS(CORNPREMIUMTBL[TOTAL ACRES IN FIELD],CORNPREMIUMTBL[COUNTY FIELD IS LOCATED IN],CORNPREMIUMTBL[[#This Row],[COUNTY FIELD IS LOCATED IN]])</f>
        <v>0</v>
      </c>
      <c r="H69" s="439"/>
      <c r="I69" s="319" t="str">
        <f>IFERROR((CORNPREMIUMTBL[[#This Row],[COUNTY PREMIUMS]]/CORNPREMIUMTBL[[#This Row],[TOTAL ACRES IN COUNTY ALL OWNERS]]),"-")</f>
        <v>-</v>
      </c>
      <c r="J69" s="319" t="str">
        <f>IFERROR((CORNPREMIUMTBL[[#This Row],[PREMIUM PER ACRE COST]]*CORNPREMIUMTBL[[#This Row],[TOTAL ACRES IN FIELD]]),"-")</f>
        <v>-</v>
      </c>
      <c r="K69" s="437"/>
      <c r="L69" s="438"/>
      <c r="M69" s="320">
        <f>(CORNPREMIUMTBL[[#This Row],[DATE PREMIUM BILL WAS DUE]]-CORNPREMIUMTBL[[#This Row],[DATE PREMIUM PAYMENTS CAME]])*-1</f>
        <v>0</v>
      </c>
      <c r="N69" s="321">
        <v>0.06</v>
      </c>
      <c r="O69" s="319" t="str">
        <f>IFERROR(CORNPREMIUMTBL[[#This Row],[TOTAL PREMIUM ACRE COST]]*((CORNPREMIUMTBL[[#This Row],[INTEREST RATE]])*(CORNPREMIUMTBL[[#This Row],[TOTAL DAYS OF INTERST]]/365)),"-")</f>
        <v>-</v>
      </c>
      <c r="P69" s="439"/>
      <c r="Q69" s="318" t="str">
        <f>IFERROR((CORNPREMIUMTBL[[#This Row],[INSURANCE ADMIN FEES]]+CORNPREMIUMTBL[[#This Row],[TOTAL INTEREST]]+CORNPREMIUMTBL[[#This Row],[TOTAL PREMIUM ACRE COST]]),"-")</f>
        <v>-</v>
      </c>
      <c r="R69" s="318" t="str">
        <f>IFERROR((CORNPREMIUMTBL[[#This Row],[TOTAL INSURANCE PREMIUM PAID]]*0.65),"-")</f>
        <v>-</v>
      </c>
      <c r="S69" s="318" t="str">
        <f>IFERROR((CORNPREMIUMTBL[[#This Row],[TOTAL INSURANCE PREMIUM PAID]]*0.35),"-")</f>
        <v>-</v>
      </c>
    </row>
    <row r="70" spans="1:19" s="329" customFormat="1" x14ac:dyDescent="0.2">
      <c r="A70" s="324" t="s">
        <v>38</v>
      </c>
      <c r="B70" s="324"/>
      <c r="C70" s="324"/>
      <c r="D70" s="325"/>
      <c r="E70" s="326"/>
      <c r="F70" s="326"/>
      <c r="G70" s="326"/>
      <c r="H70" s="328">
        <f>H59+H68</f>
        <v>0</v>
      </c>
      <c r="I70" s="326"/>
      <c r="J70" s="326"/>
      <c r="K70" s="326"/>
      <c r="L70" s="326"/>
      <c r="M70" s="326"/>
      <c r="N70" s="326"/>
      <c r="O70" s="327">
        <f>SUBTOTAL(109,CORNPREMIUMTBL[TOTAL INTEREST])</f>
        <v>0</v>
      </c>
      <c r="P70" s="328">
        <f>SUBTOTAL(109,CORNPREMIUMTBL[INSURANCE ADMIN FEES])</f>
        <v>0</v>
      </c>
      <c r="Q70" s="328">
        <f>SUBTOTAL(109,CORNPREMIUMTBL[TOTAL INSURANCE PREMIUM PAID])</f>
        <v>0</v>
      </c>
      <c r="R70" s="328">
        <f>SUBTOTAL(109,CORNPREMIUMTBL[M77AG 65% EXPENSE])</f>
        <v>0</v>
      </c>
      <c r="S70" s="328">
        <f>SUBTOTAL(109,CORNPREMIUMTBL[LAND LORD 35% EXPENSE])</f>
        <v>0</v>
      </c>
    </row>
    <row r="71" spans="1:19" s="329" customFormat="1" x14ac:dyDescent="0.2">
      <c r="A71" s="325"/>
      <c r="B71" s="325"/>
      <c r="C71" s="325"/>
      <c r="D71" s="325"/>
      <c r="E71" s="326"/>
      <c r="F71" s="326"/>
      <c r="G71" s="326"/>
      <c r="H71" s="328"/>
      <c r="I71" s="326"/>
      <c r="J71" s="326"/>
      <c r="K71" s="326"/>
      <c r="L71" s="326"/>
      <c r="M71" s="326"/>
      <c r="N71" s="326"/>
      <c r="O71" s="327"/>
      <c r="P71" s="328"/>
      <c r="Q71" s="328"/>
      <c r="R71" s="328"/>
      <c r="S71" s="375">
        <f>SUM(CORNPREMIUMTBL[[#Totals],[M77AG 65% EXPENSE]:[LAND LORD 35% EXPENSE]])</f>
        <v>0</v>
      </c>
    </row>
    <row r="72" spans="1:19" x14ac:dyDescent="0.2">
      <c r="A72" s="359"/>
      <c r="B72" s="726" t="s">
        <v>84</v>
      </c>
      <c r="C72" s="726"/>
      <c r="D72" s="726"/>
      <c r="E72" s="726"/>
      <c r="F72" s="726"/>
      <c r="G72" s="726"/>
      <c r="H72" s="726"/>
      <c r="I72" s="726"/>
      <c r="J72" s="726"/>
      <c r="K72" s="726"/>
      <c r="L72" s="726"/>
      <c r="M72" s="726"/>
      <c r="N72" s="726"/>
      <c r="O72" s="726"/>
      <c r="P72" s="726"/>
      <c r="Q72" s="726"/>
      <c r="R72" s="726"/>
      <c r="S72" s="726"/>
    </row>
    <row r="73" spans="1:19" x14ac:dyDescent="0.2">
      <c r="A73" s="359"/>
      <c r="B73" s="726"/>
      <c r="C73" s="726"/>
      <c r="D73" s="726"/>
      <c r="E73" s="726"/>
      <c r="F73" s="726"/>
      <c r="G73" s="726"/>
      <c r="H73" s="726"/>
      <c r="I73" s="726"/>
      <c r="J73" s="726"/>
      <c r="K73" s="726"/>
      <c r="L73" s="726"/>
      <c r="M73" s="726"/>
      <c r="N73" s="726"/>
      <c r="O73" s="726"/>
      <c r="P73" s="726"/>
      <c r="Q73" s="726"/>
      <c r="R73" s="726"/>
      <c r="S73" s="726"/>
    </row>
    <row r="74" spans="1:19" s="303" customFormat="1" ht="53.25" customHeight="1" x14ac:dyDescent="0.25">
      <c r="A74" s="303" t="s">
        <v>1</v>
      </c>
      <c r="B74" s="303" t="s">
        <v>40</v>
      </c>
      <c r="C74" s="303" t="s">
        <v>3</v>
      </c>
      <c r="D74" s="303" t="s">
        <v>85</v>
      </c>
      <c r="E74" s="303" t="s">
        <v>5</v>
      </c>
      <c r="F74" s="303" t="s">
        <v>42</v>
      </c>
      <c r="G74" s="303" t="s">
        <v>86</v>
      </c>
      <c r="H74" s="303" t="s">
        <v>87</v>
      </c>
      <c r="I74" s="303" t="s">
        <v>45</v>
      </c>
      <c r="J74" s="303" t="s">
        <v>88</v>
      </c>
      <c r="K74" s="304" t="s">
        <v>47</v>
      </c>
      <c r="L74" s="304" t="s">
        <v>89</v>
      </c>
      <c r="M74" s="304" t="s">
        <v>90</v>
      </c>
      <c r="N74" s="304" t="s">
        <v>50</v>
      </c>
      <c r="O74" s="304" t="s">
        <v>51</v>
      </c>
      <c r="P74" s="304" t="s">
        <v>52</v>
      </c>
      <c r="Q74" s="304" t="s">
        <v>53</v>
      </c>
      <c r="R74" s="303" t="s">
        <v>54</v>
      </c>
      <c r="S74" s="303" t="s">
        <v>55</v>
      </c>
    </row>
    <row r="75" spans="1:19" ht="15" x14ac:dyDescent="0.2">
      <c r="A75" s="99"/>
      <c r="B75" s="99"/>
      <c r="C75" s="99"/>
      <c r="D75" s="306" t="str">
        <f>IFERROR(VLOOKUP(CORNCLAIMTBL[[#This Row],[FIELD]],FFTBL[[Field]:[COUNTY2]],7,FALSE),"")</f>
        <v/>
      </c>
      <c r="E75" s="307" t="str">
        <f>IFERROR(VLOOKUP(CORNCLAIMTBL[[#This Row],[FIELD]],FFTBL[[Field]:[COUNTY2]],3,FALSE),"")</f>
        <v/>
      </c>
      <c r="F75" s="442" t="str">
        <f>IFERROR(VLOOKUP(CORNCLAIMTBL[[#This Row],[FIELD]],FFTBL[[Field]:[COUNTY2]],2,FALSE),"")</f>
        <v/>
      </c>
      <c r="G75" s="443"/>
      <c r="H75" s="443"/>
      <c r="I75" s="444"/>
      <c r="J75" s="310" t="str" cm="1">
        <f t="array" ref="J75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75" s="311" t="str">
        <f>IFERROR((CORNCLAIMTBL[[#This Row],[PER ACRE GARUNTEE $]]*CORNCLAIMTBL[[#This Row],[ACRES]]),"")</f>
        <v/>
      </c>
      <c r="L75" s="314" t="str">
        <f>IFERROR(VLOOKUP(CORNCLAIMTBL[[#This Row],[FIELD]],OVERVIEW!C185:J199,7,FALSE),"-")</f>
        <v>-</v>
      </c>
      <c r="M75" s="312" t="str">
        <f>IFERROR((CORNCLAIMTBL[[#This Row],[AVERAGE PRODUCTION HISTORY (APH)]]-CORNCLAIMTBL[[#This Row],[ACTUAL FIELD PRODUCTION]]),"")</f>
        <v/>
      </c>
      <c r="N75" s="308" t="str" cm="1">
        <f t="array" ref="N75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75" s="308" t="str">
        <f>IFERROR(((CORNCLAIMTBL[[#This Row],[PER ACRE GARUNTEE $]]-CORNCLAIMTBL[[#This Row],[PER ACRE REVENUE DEFICIENCY]])*CORNCLAIMTBL[[#This Row],[ACRES]]),"")</f>
        <v/>
      </c>
      <c r="P75" s="310" t="str">
        <f>IFERROR((CORNCLAIMTBL[[#This Row],[TOTAL REVENUE PROTECTION GARUANTEE]]-CORNCLAIMTBL[[#This Row],[TOTAL PRODUCTION$ PRODUCED]]),"")</f>
        <v/>
      </c>
      <c r="Q75" s="441"/>
      <c r="R75" s="310">
        <f>CORNCLAIMTBL[[#This Row],[PAYMENT FROM INSURANCE]]*0.65</f>
        <v>0</v>
      </c>
      <c r="S75" s="310">
        <f>CORNCLAIMTBL[[#This Row],[PAYMENT FROM INSURANCE]]*0.35</f>
        <v>0</v>
      </c>
    </row>
    <row r="76" spans="1:19" ht="15" x14ac:dyDescent="0.2">
      <c r="A76" s="99"/>
      <c r="B76" s="99"/>
      <c r="C76" s="99"/>
      <c r="D76" s="313" t="str">
        <f>IFERROR(VLOOKUP(CORNCLAIMTBL[[#This Row],[FIELD]],FFTBL[[Field]:[COUNTY2]],7,FALSE),"")</f>
        <v/>
      </c>
      <c r="E76" s="314" t="str">
        <f>IFERROR(VLOOKUP(CORNCLAIMTBL[[#This Row],[FIELD]],FFTBL[[Field]:[COUNTY2]],3,FALSE),"")</f>
        <v/>
      </c>
      <c r="F76" s="312" t="str">
        <f>IFERROR(VLOOKUP(CORNCLAIMTBL[[#This Row],[FIELD]],FFTBL[[Field]:[COUNTY2]],2,FALSE),"")</f>
        <v/>
      </c>
      <c r="G76" s="443"/>
      <c r="H76" s="443"/>
      <c r="I76" s="444"/>
      <c r="J76" s="310" t="str" cm="1">
        <f t="array" ref="J76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76" s="311" t="str">
        <f>IFERROR((CORNCLAIMTBL[[#This Row],[PER ACRE GARUNTEE $]]*CORNCLAIMTBL[[#This Row],[ACRES]]),"")</f>
        <v/>
      </c>
      <c r="L76" s="314" t="str">
        <f>IFERROR(VLOOKUP(CORNCLAIMTBL[[#This Row],[FIELD]],OVERVIEW!C186:J199,7,FALSE),"-")</f>
        <v>-</v>
      </c>
      <c r="M76" s="312" t="str">
        <f>IFERROR((CORNCLAIMTBL[[#This Row],[AVERAGE PRODUCTION HISTORY (APH)]]-CORNCLAIMTBL[[#This Row],[ACTUAL FIELD PRODUCTION]]),"")</f>
        <v/>
      </c>
      <c r="N76" s="308" t="str" cm="1">
        <f t="array" ref="N76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76" s="308" t="str">
        <f>IFERROR(((CORNCLAIMTBL[[#This Row],[PER ACRE GARUNTEE $]]-CORNCLAIMTBL[[#This Row],[PER ACRE REVENUE DEFICIENCY]])*CORNCLAIMTBL[[#This Row],[ACRES]]),"")</f>
        <v/>
      </c>
      <c r="P76" s="310" t="str">
        <f>IFERROR((CORNCLAIMTBL[[#This Row],[TOTAL REVENUE PROTECTION GARUANTEE]]-CORNCLAIMTBL[[#This Row],[TOTAL PRODUCTION$ PRODUCED]]),"")</f>
        <v/>
      </c>
      <c r="Q76" s="441"/>
      <c r="R76" s="310">
        <f>CORNCLAIMTBL[[#This Row],[PAYMENT FROM INSURANCE]]*0.65</f>
        <v>0</v>
      </c>
      <c r="S76" s="310">
        <f>CORNCLAIMTBL[[#This Row],[PAYMENT FROM INSURANCE]]*0.35</f>
        <v>0</v>
      </c>
    </row>
    <row r="77" spans="1:19" ht="15" x14ac:dyDescent="0.2">
      <c r="A77" s="99"/>
      <c r="B77" s="99"/>
      <c r="C77" s="99"/>
      <c r="D77" s="313" t="str">
        <f>IFERROR(VLOOKUP(CORNCLAIMTBL[[#This Row],[FIELD]],FFTBL[[Field]:[COUNTY2]],7,FALSE),"")</f>
        <v/>
      </c>
      <c r="E77" s="314" t="str">
        <f>IFERROR(VLOOKUP(CORNCLAIMTBL[[#This Row],[FIELD]],FFTBL[[Field]:[COUNTY2]],3,FALSE),"")</f>
        <v/>
      </c>
      <c r="F77" s="312" t="str">
        <f>IFERROR(VLOOKUP(CORNCLAIMTBL[[#This Row],[FIELD]],FFTBL[[Field]:[COUNTY2]],2,FALSE),"")</f>
        <v/>
      </c>
      <c r="G77" s="443"/>
      <c r="H77" s="443"/>
      <c r="I77" s="444"/>
      <c r="J77" s="310" t="str" cm="1">
        <f t="array" ref="J77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77" s="311" t="str">
        <f>IFERROR((CORNCLAIMTBL[[#This Row],[PER ACRE GARUNTEE $]]*CORNCLAIMTBL[[#This Row],[ACRES]]),"")</f>
        <v/>
      </c>
      <c r="L77" s="314" t="str">
        <f>IFERROR(VLOOKUP(CORNCLAIMTBL[[#This Row],[FIELD]],OVERVIEW!C187:J200,7,FALSE),"-")</f>
        <v>-</v>
      </c>
      <c r="M77" s="312" t="str">
        <f>IFERROR((CORNCLAIMTBL[[#This Row],[AVERAGE PRODUCTION HISTORY (APH)]]-CORNCLAIMTBL[[#This Row],[ACTUAL FIELD PRODUCTION]]),"")</f>
        <v/>
      </c>
      <c r="N77" s="308" t="str" cm="1">
        <f t="array" ref="N77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77" s="308" t="str">
        <f>IFERROR(((CORNCLAIMTBL[[#This Row],[PER ACRE GARUNTEE $]]-CORNCLAIMTBL[[#This Row],[PER ACRE REVENUE DEFICIENCY]])*CORNCLAIMTBL[[#This Row],[ACRES]]),"")</f>
        <v/>
      </c>
      <c r="P77" s="310" t="str">
        <f>IFERROR((CORNCLAIMTBL[[#This Row],[TOTAL REVENUE PROTECTION GARUANTEE]]-CORNCLAIMTBL[[#This Row],[TOTAL PRODUCTION$ PRODUCED]]),"")</f>
        <v/>
      </c>
      <c r="Q77" s="441"/>
      <c r="R77" s="310">
        <f>CORNCLAIMTBL[[#This Row],[PAYMENT FROM INSURANCE]]*0.65</f>
        <v>0</v>
      </c>
      <c r="S77" s="310">
        <f>CORNCLAIMTBL[[#This Row],[PAYMENT FROM INSURANCE]]*0.35</f>
        <v>0</v>
      </c>
    </row>
    <row r="78" spans="1:19" ht="15" x14ac:dyDescent="0.2">
      <c r="A78" s="99"/>
      <c r="B78" s="99"/>
      <c r="C78" s="99"/>
      <c r="D78" s="313" t="str">
        <f>IFERROR(VLOOKUP(CORNCLAIMTBL[[#This Row],[FIELD]],FFTBL[[Field]:[COUNTY2]],7,FALSE),"")</f>
        <v/>
      </c>
      <c r="E78" s="314" t="str">
        <f>IFERROR(VLOOKUP(CORNCLAIMTBL[[#This Row],[FIELD]],FFTBL[[Field]:[COUNTY2]],3,FALSE),"")</f>
        <v/>
      </c>
      <c r="F78" s="312" t="str">
        <f>IFERROR(VLOOKUP(CORNCLAIMTBL[[#This Row],[FIELD]],FFTBL[[Field]:[COUNTY2]],2,FALSE),"")</f>
        <v/>
      </c>
      <c r="G78" s="443"/>
      <c r="H78" s="443"/>
      <c r="I78" s="444"/>
      <c r="J78" s="310" t="str" cm="1">
        <f t="array" ref="J78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78" s="311" t="str">
        <f>IFERROR((CORNCLAIMTBL[[#This Row],[PER ACRE GARUNTEE $]]*CORNCLAIMTBL[[#This Row],[ACRES]]),"")</f>
        <v/>
      </c>
      <c r="L78" s="314" t="str">
        <f>IFERROR(VLOOKUP(CORNCLAIMTBL[[#This Row],[FIELD]],OVERVIEW!C200:J201,7,FALSE),"-")</f>
        <v>-</v>
      </c>
      <c r="M78" s="312" t="str">
        <f>IFERROR((CORNCLAIMTBL[[#This Row],[AVERAGE PRODUCTION HISTORY (APH)]]-CORNCLAIMTBL[[#This Row],[ACTUAL FIELD PRODUCTION]]),"")</f>
        <v/>
      </c>
      <c r="N78" s="308" t="str" cm="1">
        <f t="array" ref="N78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78" s="308" t="str">
        <f>IFERROR(((CORNCLAIMTBL[[#This Row],[PER ACRE GARUNTEE $]]-CORNCLAIMTBL[[#This Row],[PER ACRE REVENUE DEFICIENCY]])*CORNCLAIMTBL[[#This Row],[ACRES]]),"")</f>
        <v/>
      </c>
      <c r="P78" s="310" t="str">
        <f>IFERROR((CORNCLAIMTBL[[#This Row],[TOTAL REVENUE PROTECTION GARUANTEE]]-CORNCLAIMTBL[[#This Row],[TOTAL PRODUCTION$ PRODUCED]]),"")</f>
        <v/>
      </c>
      <c r="Q78" s="441"/>
      <c r="R78" s="310">
        <f>CORNCLAIMTBL[[#This Row],[PAYMENT FROM INSURANCE]]*0.65</f>
        <v>0</v>
      </c>
      <c r="S78" s="310">
        <f>CORNCLAIMTBL[[#This Row],[PAYMENT FROM INSURANCE]]*0.35</f>
        <v>0</v>
      </c>
    </row>
    <row r="79" spans="1:19" ht="15" x14ac:dyDescent="0.2">
      <c r="A79" s="99"/>
      <c r="B79" s="99"/>
      <c r="C79" s="99"/>
      <c r="D79" s="313" t="str">
        <f>IFERROR(VLOOKUP(CORNCLAIMTBL[[#This Row],[FIELD]],FFTBL[[Field]:[COUNTY2]],7,FALSE),"")</f>
        <v/>
      </c>
      <c r="E79" s="314" t="str">
        <f>IFERROR(VLOOKUP(CORNCLAIMTBL[[#This Row],[FIELD]],FFTBL[[Field]:[COUNTY2]],3,FALSE),"")</f>
        <v/>
      </c>
      <c r="F79" s="312" t="str">
        <f>IFERROR(VLOOKUP(CORNCLAIMTBL[[#This Row],[FIELD]],FFTBL[[Field]:[COUNTY2]],2,FALSE),"")</f>
        <v/>
      </c>
      <c r="G79" s="443"/>
      <c r="H79" s="443"/>
      <c r="I79" s="444"/>
      <c r="J79" s="310" t="str" cm="1">
        <f t="array" ref="J79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79" s="311" t="str">
        <f>IFERROR((CORNCLAIMTBL[[#This Row],[PER ACRE GARUNTEE $]]*CORNCLAIMTBL[[#This Row],[ACRES]]),"")</f>
        <v/>
      </c>
      <c r="L79" s="314" t="str">
        <f>IFERROR(VLOOKUP(CORNCLAIMTBL[[#This Row],[FIELD]],OVERVIEW!C200:J202,7,FALSE),"-")</f>
        <v>-</v>
      </c>
      <c r="M79" s="312" t="str">
        <f>IFERROR((CORNCLAIMTBL[[#This Row],[AVERAGE PRODUCTION HISTORY (APH)]]-CORNCLAIMTBL[[#This Row],[ACTUAL FIELD PRODUCTION]]),"")</f>
        <v/>
      </c>
      <c r="N79" s="308" t="str" cm="1">
        <f t="array" ref="N79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79" s="308" t="str">
        <f>IFERROR(((CORNCLAIMTBL[[#This Row],[PER ACRE GARUNTEE $]]-CORNCLAIMTBL[[#This Row],[PER ACRE REVENUE DEFICIENCY]])*CORNCLAIMTBL[[#This Row],[ACRES]]),"")</f>
        <v/>
      </c>
      <c r="P79" s="310" t="str">
        <f>IFERROR((CORNCLAIMTBL[[#This Row],[TOTAL REVENUE PROTECTION GARUANTEE]]-CORNCLAIMTBL[[#This Row],[TOTAL PRODUCTION$ PRODUCED]]),"")</f>
        <v/>
      </c>
      <c r="Q79" s="441"/>
      <c r="R79" s="310">
        <f>CORNCLAIMTBL[[#This Row],[PAYMENT FROM INSURANCE]]*0.65</f>
        <v>0</v>
      </c>
      <c r="S79" s="310">
        <f>CORNCLAIMTBL[[#This Row],[PAYMENT FROM INSURANCE]]*0.35</f>
        <v>0</v>
      </c>
    </row>
    <row r="80" spans="1:19" ht="15" x14ac:dyDescent="0.2">
      <c r="A80" s="99"/>
      <c r="B80" s="99"/>
      <c r="C80" s="99"/>
      <c r="D80" s="313" t="str">
        <f>IFERROR(VLOOKUP(CORNCLAIMTBL[[#This Row],[FIELD]],FFTBL[[Field]:[COUNTY2]],7,FALSE),"")</f>
        <v/>
      </c>
      <c r="E80" s="314" t="str">
        <f>IFERROR(VLOOKUP(CORNCLAIMTBL[[#This Row],[FIELD]],FFTBL[[Field]:[COUNTY2]],3,FALSE),"")</f>
        <v/>
      </c>
      <c r="F80" s="312" t="str">
        <f>IFERROR(VLOOKUP(CORNCLAIMTBL[[#This Row],[FIELD]],FFTBL[[Field]:[COUNTY2]],2,FALSE),"")</f>
        <v/>
      </c>
      <c r="G80" s="443"/>
      <c r="H80" s="443"/>
      <c r="I80" s="444"/>
      <c r="J80" s="310" t="str" cm="1">
        <f t="array" ref="J80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80" s="311" t="str">
        <f>IFERROR((CORNCLAIMTBL[[#This Row],[PER ACRE GARUNTEE $]]*CORNCLAIMTBL[[#This Row],[ACRES]]),"")</f>
        <v/>
      </c>
      <c r="L80" s="314" t="str">
        <f>IFERROR(VLOOKUP(CORNCLAIMTBL[[#This Row],[FIELD]],OVERVIEW!C200:J203,7,FALSE),"-")</f>
        <v>-</v>
      </c>
      <c r="M80" s="312" t="str">
        <f>IFERROR((CORNCLAIMTBL[[#This Row],[AVERAGE PRODUCTION HISTORY (APH)]]-CORNCLAIMTBL[[#This Row],[ACTUAL FIELD PRODUCTION]]),"")</f>
        <v/>
      </c>
      <c r="N80" s="308" t="str" cm="1">
        <f t="array" ref="N80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80" s="308" t="str">
        <f>IFERROR(((CORNCLAIMTBL[[#This Row],[PER ACRE GARUNTEE $]]-CORNCLAIMTBL[[#This Row],[PER ACRE REVENUE DEFICIENCY]])*CORNCLAIMTBL[[#This Row],[ACRES]]),"")</f>
        <v/>
      </c>
      <c r="P80" s="310" t="str">
        <f>IFERROR((CORNCLAIMTBL[[#This Row],[TOTAL REVENUE PROTECTION GARUANTEE]]-CORNCLAIMTBL[[#This Row],[TOTAL PRODUCTION$ PRODUCED]]),"")</f>
        <v/>
      </c>
      <c r="Q80" s="441"/>
      <c r="R80" s="310">
        <f>CORNCLAIMTBL[[#This Row],[PAYMENT FROM INSURANCE]]*0.65</f>
        <v>0</v>
      </c>
      <c r="S80" s="310">
        <f>CORNCLAIMTBL[[#This Row],[PAYMENT FROM INSURANCE]]*0.35</f>
        <v>0</v>
      </c>
    </row>
    <row r="81" spans="1:19" ht="15" x14ac:dyDescent="0.2">
      <c r="A81" s="99"/>
      <c r="B81" s="99"/>
      <c r="C81" s="99"/>
      <c r="D81" s="313" t="str">
        <f>IFERROR(VLOOKUP(CORNCLAIMTBL[[#This Row],[FIELD]],FFTBL[[Field]:[COUNTY2]],7,FALSE),"")</f>
        <v/>
      </c>
      <c r="E81" s="314" t="str">
        <f>IFERROR(VLOOKUP(CORNCLAIMTBL[[#This Row],[FIELD]],FFTBL[[Field]:[COUNTY2]],3,FALSE),"")</f>
        <v/>
      </c>
      <c r="F81" s="312" t="str">
        <f>IFERROR(VLOOKUP(CORNCLAIMTBL[[#This Row],[FIELD]],FFTBL[[Field]:[COUNTY2]],2,FALSE),"")</f>
        <v/>
      </c>
      <c r="G81" s="443"/>
      <c r="H81" s="443"/>
      <c r="I81" s="444"/>
      <c r="J81" s="310" t="str" cm="1">
        <f t="array" ref="J81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81" s="311" t="str">
        <f>IFERROR((CORNCLAIMTBL[[#This Row],[PER ACRE GARUNTEE $]]*CORNCLAIMTBL[[#This Row],[ACRES]]),"")</f>
        <v/>
      </c>
      <c r="L81" s="314" t="str">
        <f>IFERROR(VLOOKUP(CORNCLAIMTBL[[#This Row],[FIELD]],OVERVIEW!C200:J204,7,FALSE),"-")</f>
        <v>-</v>
      </c>
      <c r="M81" s="312" t="str">
        <f>IFERROR((CORNCLAIMTBL[[#This Row],[AVERAGE PRODUCTION HISTORY (APH)]]-CORNCLAIMTBL[[#This Row],[ACTUAL FIELD PRODUCTION]]),"")</f>
        <v/>
      </c>
      <c r="N81" s="308" t="str" cm="1">
        <f t="array" ref="N81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81" s="308" t="str">
        <f>IFERROR(((CORNCLAIMTBL[[#This Row],[PER ACRE GARUNTEE $]]-CORNCLAIMTBL[[#This Row],[PER ACRE REVENUE DEFICIENCY]])*CORNCLAIMTBL[[#This Row],[ACRES]]),"")</f>
        <v/>
      </c>
      <c r="P81" s="310" t="str">
        <f>IFERROR((CORNCLAIMTBL[[#This Row],[TOTAL REVENUE PROTECTION GARUANTEE]]-CORNCLAIMTBL[[#This Row],[TOTAL PRODUCTION$ PRODUCED]]),"")</f>
        <v/>
      </c>
      <c r="Q81" s="441"/>
      <c r="R81" s="310">
        <f>CORNCLAIMTBL[[#This Row],[PAYMENT FROM INSURANCE]]*0.65</f>
        <v>0</v>
      </c>
      <c r="S81" s="310">
        <f>CORNCLAIMTBL[[#This Row],[PAYMENT FROM INSURANCE]]*0.35</f>
        <v>0</v>
      </c>
    </row>
    <row r="82" spans="1:19" x14ac:dyDescent="0.2">
      <c r="A82" s="300"/>
      <c r="B82" s="300"/>
      <c r="C82" s="300"/>
      <c r="D82" s="313" t="str">
        <f>IFERROR(VLOOKUP(CORNCLAIMTBL[[#This Row],[FIELD]],FFTBL[[Field]:[COUNTY2]],7,FALSE),"")</f>
        <v/>
      </c>
      <c r="E82" s="314" t="str">
        <f>IFERROR(VLOOKUP(CORNCLAIMTBL[[#This Row],[FIELD]],FFTBL[[Field]:[COUNTY2]],3,FALSE),"")</f>
        <v/>
      </c>
      <c r="F82" s="445" t="str">
        <f>IFERROR(VLOOKUP(CORNCLAIMTBL[[#This Row],[FIELD]],FFTBL[[Field]:[COUNTY2]],2,FALSE),"")</f>
        <v/>
      </c>
      <c r="G82" s="443"/>
      <c r="H82" s="443"/>
      <c r="I82" s="444"/>
      <c r="J82" s="446" t="str" cm="1">
        <f t="array" ref="J82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82" s="311" t="str">
        <f>IFERROR((CORNCLAIMTBL[[#This Row],[PER ACRE GARUNTEE $]]*CORNCLAIMTBL[[#This Row],[ACRES]]),"")</f>
        <v/>
      </c>
      <c r="L82" s="314" t="str">
        <f>IFERROR(VLOOKUP(CORNCLAIMTBL[[#This Row],[FIELD]],OVERVIEW!C200:J205,7,FALSE),"-")</f>
        <v>-</v>
      </c>
      <c r="M82" s="312" t="str">
        <f>IFERROR((CORNCLAIMTBL[[#This Row],[AVERAGE PRODUCTION HISTORY (APH)]]-CORNCLAIMTBL[[#This Row],[ACTUAL FIELD PRODUCTION]]),"")</f>
        <v/>
      </c>
      <c r="N82" s="308" t="str" cm="1">
        <f t="array" ref="N82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82" s="308" t="str">
        <f>IFERROR(((CORNCLAIMTBL[[#This Row],[PER ACRE GARUNTEE $]]-CORNCLAIMTBL[[#This Row],[PER ACRE REVENUE DEFICIENCY]])*CORNCLAIMTBL[[#This Row],[ACRES]]),"")</f>
        <v/>
      </c>
      <c r="P82" s="310" t="str">
        <f>IFERROR((CORNCLAIMTBL[[#This Row],[TOTAL REVENUE PROTECTION GARUANTEE]]-CORNCLAIMTBL[[#This Row],[TOTAL PRODUCTION$ PRODUCED]]),"")</f>
        <v/>
      </c>
      <c r="Q82" s="441"/>
      <c r="R82" s="310">
        <f>CORNCLAIMTBL[[#This Row],[PAYMENT FROM INSURANCE]]*0.65</f>
        <v>0</v>
      </c>
      <c r="S82" s="310">
        <f>CORNCLAIMTBL[[#This Row],[PAYMENT FROM INSURANCE]]*0.35</f>
        <v>0</v>
      </c>
    </row>
    <row r="83" spans="1:19" x14ac:dyDescent="0.2">
      <c r="A83" s="300"/>
      <c r="B83" s="300"/>
      <c r="C83" s="300"/>
      <c r="D83" s="313" t="str">
        <f>IFERROR(VLOOKUP(CORNCLAIMTBL[[#This Row],[FIELD]],FFTBL[[Field]:[COUNTY2]],7,FALSE),"")</f>
        <v/>
      </c>
      <c r="E83" s="314" t="str">
        <f>IFERROR(VLOOKUP(CORNCLAIMTBL[[#This Row],[FIELD]],FFTBL[[Field]:[COUNTY2]],3,FALSE),"")</f>
        <v/>
      </c>
      <c r="F83" s="445" t="str">
        <f>IFERROR(VLOOKUP(CORNCLAIMTBL[[#This Row],[FIELD]],FFTBL[[Field]:[COUNTY2]],2,FALSE),"")</f>
        <v/>
      </c>
      <c r="G83" s="443"/>
      <c r="H83" s="443"/>
      <c r="I83" s="444"/>
      <c r="J83" s="446" t="str" cm="1">
        <f t="array" ref="J83">IFERROR(_xlfn.IFS(CORNCLAIMTBL[[#This Row],[HARVEST PRICE]]&lt;CORNCLAIMTBL[[#This Row],[PLANTING PRICE]],CORNCLAIMTBL[[#This Row],[AVERAGE PRODUCTION HISTORY (APH)]]*CORNCLAIMTBL[[#This Row],[PLANTING PRICE]],CORNCLAIMTBL[[#This Row],[PLANTING PRICE]]&lt;CORNCLAIMTBL[[#This Row],[HARVEST PRICE]],CORNCLAIMTBL[[#This Row],[AVERAGE PRODUCTION HISTORY (APH)]]*CORNCLAIMTBL[[#This Row],[HARVEST PRICE]]),"0")</f>
        <v>0</v>
      </c>
      <c r="K83" s="311" t="str">
        <f>IFERROR((CORNCLAIMTBL[[#This Row],[PER ACRE GARUNTEE $]]*CORNCLAIMTBL[[#This Row],[ACRES]]),"")</f>
        <v/>
      </c>
      <c r="L83" s="314" t="str">
        <f>IFERROR(VLOOKUP(CORNCLAIMTBL[[#This Row],[FIELD]],OVERVIEW!C200:J205,7,FALSE),"-")</f>
        <v>-</v>
      </c>
      <c r="M83" s="312" t="str">
        <f>IFERROR((CORNCLAIMTBL[[#This Row],[AVERAGE PRODUCTION HISTORY (APH)]]-CORNCLAIMTBL[[#This Row],[ACTUAL FIELD PRODUCTION]]),"")</f>
        <v/>
      </c>
      <c r="N83" s="308" t="str" cm="1">
        <f t="array" ref="N83">IFERROR(_xlfn.IFS(CORNCLAIMTBL[[#This Row],[HARVEST PRICE]]&lt;CORNCLAIMTBL[[#This Row],[PLANTING PRICE]],CORNCLAIMTBL[[#This Row],[RP GARAUNTEE - ACTUAL PRODUCTION]]*CORNCLAIMTBL[[#This Row],[PLANTING PRICE]],CORNCLAIMTBL[[#This Row],[PLANTING PRICE]]&lt;CORNCLAIMTBL[[#This Row],[HARVEST PRICE]],CORNCLAIMTBL[[#This Row],[RP GARAUNTEE - ACTUAL PRODUCTION]]*CORNCLAIMTBL[[#This Row],[HARVEST PRICE]]),"")</f>
        <v/>
      </c>
      <c r="O83" s="308" t="str">
        <f>IFERROR(((CORNCLAIMTBL[[#This Row],[PER ACRE GARUNTEE $]]-CORNCLAIMTBL[[#This Row],[PER ACRE REVENUE DEFICIENCY]])*CORNCLAIMTBL[[#This Row],[ACRES]]),"")</f>
        <v/>
      </c>
      <c r="P83" s="310" t="str">
        <f>IFERROR((CORNCLAIMTBL[[#This Row],[TOTAL REVENUE PROTECTION GARUANTEE]]-CORNCLAIMTBL[[#This Row],[TOTAL PRODUCTION$ PRODUCED]]),"")</f>
        <v/>
      </c>
      <c r="Q83" s="441"/>
      <c r="R83" s="310">
        <f>CORNCLAIMTBL[[#This Row],[PAYMENT FROM INSURANCE]]*0.65</f>
        <v>0</v>
      </c>
      <c r="S83" s="310">
        <f>CORNCLAIMTBL[[#This Row],[PAYMENT FROM INSURANCE]]*0.35</f>
        <v>0</v>
      </c>
    </row>
    <row r="84" spans="1:19" s="305" customFormat="1" x14ac:dyDescent="0.2">
      <c r="A84" s="330" t="s">
        <v>38</v>
      </c>
      <c r="B84" s="330"/>
      <c r="C84" s="330"/>
      <c r="D84" s="331"/>
      <c r="E84" s="330"/>
      <c r="F84" s="330"/>
      <c r="G84" s="332"/>
      <c r="H84" s="332"/>
      <c r="I84" s="330"/>
      <c r="J84" s="330"/>
      <c r="K84" s="369">
        <f>SUBTOTAL(109,CORNCLAIMTBL[TOTAL REVENUE PROTECTION GARUANTEE])</f>
        <v>0</v>
      </c>
      <c r="L84" s="370"/>
      <c r="M84" s="330"/>
      <c r="N84" s="330"/>
      <c r="O84" s="332">
        <f>SUBTOTAL(109,CORNCLAIMTBL[TOTAL PRODUCTION$ PRODUCED])</f>
        <v>0</v>
      </c>
      <c r="P84" s="333">
        <f>SUBTOTAL(109,CORNCLAIMTBL[TOTAL REVENUE DEFICIENCY])</f>
        <v>0</v>
      </c>
      <c r="Q84" s="334">
        <f>SUBTOTAL(109,CORNCLAIMTBL[PAYMENT FROM INSURANCE])</f>
        <v>0</v>
      </c>
      <c r="R84" s="333">
        <f>SUBTOTAL(109,CORNCLAIMTBL[M77AG 65% INSURANCE PAYMENT])</f>
        <v>0</v>
      </c>
      <c r="S84" s="333">
        <f>SUBTOTAL(109,CORNCLAIMTBL[LAND LORD 35% INSURANCE PAYMENT])</f>
        <v>0</v>
      </c>
    </row>
    <row r="85" spans="1:19" x14ac:dyDescent="0.2">
      <c r="A85" s="359"/>
      <c r="B85" s="707" t="s">
        <v>91</v>
      </c>
      <c r="C85" s="707"/>
      <c r="D85" s="707"/>
      <c r="E85" s="707"/>
      <c r="F85" s="707"/>
      <c r="G85" s="707"/>
      <c r="H85" s="707"/>
      <c r="I85" s="707"/>
      <c r="J85" s="707"/>
      <c r="K85" s="707"/>
      <c r="L85" s="707"/>
      <c r="M85" s="708" t="s">
        <v>61</v>
      </c>
      <c r="N85" s="708"/>
      <c r="O85" s="356"/>
      <c r="P85" s="356"/>
      <c r="Q85" s="356"/>
      <c r="R85" s="361"/>
      <c r="S85" s="374"/>
    </row>
    <row r="86" spans="1:19" x14ac:dyDescent="0.2">
      <c r="A86" s="359"/>
      <c r="B86" s="707"/>
      <c r="C86" s="707"/>
      <c r="D86" s="707"/>
      <c r="E86" s="707"/>
      <c r="F86" s="707"/>
      <c r="G86" s="707"/>
      <c r="H86" s="707"/>
      <c r="I86" s="707"/>
      <c r="J86" s="707"/>
      <c r="K86" s="707"/>
      <c r="L86" s="707"/>
      <c r="M86" s="708"/>
      <c r="N86" s="708"/>
      <c r="O86" s="356"/>
      <c r="P86" s="356"/>
      <c r="Q86" s="356"/>
      <c r="R86" s="356"/>
      <c r="S86" s="374">
        <f>SUM(CORNCLAIMTBL[[#Totals],[M77AG 65% INSURANCE PAYMENT]:[LAND LORD 35% INSURANCE PAYMENT]])</f>
        <v>0</v>
      </c>
    </row>
    <row r="87" spans="1:19" x14ac:dyDescent="0.2">
      <c r="A87" s="359"/>
      <c r="B87" s="707"/>
      <c r="C87" s="707"/>
      <c r="D87" s="707"/>
      <c r="E87" s="707"/>
      <c r="F87" s="707"/>
      <c r="G87" s="707"/>
      <c r="H87" s="707"/>
      <c r="I87" s="707"/>
      <c r="J87" s="707"/>
      <c r="K87" s="707"/>
      <c r="L87" s="707"/>
      <c r="M87" s="708"/>
      <c r="N87" s="708"/>
      <c r="O87" s="356"/>
      <c r="P87" s="356"/>
      <c r="Q87" s="356"/>
      <c r="R87" s="356"/>
      <c r="S87" s="374"/>
    </row>
    <row r="88" spans="1:19" x14ac:dyDescent="0.2">
      <c r="A88" s="359"/>
      <c r="B88" s="707"/>
      <c r="C88" s="707"/>
      <c r="D88" s="707"/>
      <c r="E88" s="707"/>
      <c r="F88" s="707"/>
      <c r="G88" s="707"/>
      <c r="H88" s="707"/>
      <c r="I88" s="707"/>
      <c r="J88" s="707"/>
      <c r="K88" s="707"/>
      <c r="L88" s="707"/>
      <c r="M88" s="708"/>
      <c r="N88" s="708"/>
      <c r="O88" s="356"/>
      <c r="P88" s="356"/>
      <c r="Q88" s="356"/>
      <c r="R88" s="356"/>
      <c r="S88" s="359"/>
    </row>
    <row r="89" spans="1:19" ht="59.25" customHeight="1" thickBot="1" x14ac:dyDescent="0.25">
      <c r="A89" s="301" t="s">
        <v>1</v>
      </c>
      <c r="B89" s="335" t="s">
        <v>40</v>
      </c>
      <c r="C89" s="335" t="s">
        <v>62</v>
      </c>
      <c r="D89" s="341" t="s">
        <v>63</v>
      </c>
      <c r="E89" s="341" t="s">
        <v>64</v>
      </c>
      <c r="F89" s="341" t="s">
        <v>65</v>
      </c>
      <c r="G89" s="342" t="s">
        <v>66</v>
      </c>
      <c r="H89" s="342" t="s">
        <v>67</v>
      </c>
      <c r="I89" s="342" t="s">
        <v>68</v>
      </c>
      <c r="J89" s="352" t="s">
        <v>69</v>
      </c>
      <c r="K89" s="352" t="s">
        <v>70</v>
      </c>
      <c r="L89" s="353" t="s">
        <v>71</v>
      </c>
      <c r="M89" s="371" t="s">
        <v>72</v>
      </c>
      <c r="N89" s="372">
        <f>CORNCLAIMTBL[[#Totals],[PAYMENT FROM INSURANCE]]</f>
        <v>0</v>
      </c>
      <c r="O89" s="459" t="s">
        <v>92</v>
      </c>
      <c r="P89" s="460"/>
      <c r="Q89" s="460"/>
      <c r="R89" s="461">
        <f>SUM(R90:S96)</f>
        <v>0</v>
      </c>
      <c r="S89" s="461"/>
    </row>
    <row r="90" spans="1:19" ht="12.75" thickBot="1" x14ac:dyDescent="0.25">
      <c r="A90" s="300" t="s">
        <v>74</v>
      </c>
      <c r="B90" s="343" t="s">
        <v>32</v>
      </c>
      <c r="C90" s="343" t="s">
        <v>79</v>
      </c>
      <c r="D90" s="344">
        <f>SUMIFS(CORNPREMIUMTBL[M77AG 65% EXPENSE],CORNPREMIUMTBL[FARM],INSURANCEPAYOUTTBL[[#This Row],[FARM ]],CORNPREMIUMTBL[COUNTY FIELD IS LOCATED IN],INSURANCEPAYOUTTBL[[#This Row],[COUNTY FIELD IS LOCATED IN 3]])</f>
        <v>0</v>
      </c>
      <c r="E90" s="344">
        <f>SUMIFS(CORNPREMIUMTBL[LAND LORD 35% EXPENSE],CORNPREMIUMTBL[FARM],INSURANCEPAYOUTTBL[[#This Row],[FARM ]],CORNPREMIUMTBL[COUNTY FIELD IS LOCATED IN],INSURANCEPAYOUTTBL[[#This Row],[COUNTY FIELD IS LOCATED IN 3]])</f>
        <v>0</v>
      </c>
      <c r="F90" s="344">
        <f t="shared" ref="F90:F95" si="1">E90+D90</f>
        <v>0</v>
      </c>
      <c r="G90" s="345">
        <f>SUMIFS(CORNCLAIMTBL[PAYMENT FROM INSURANCE],CORNCLAIMTBL[[FARM ]],INSURANCEPAYOUTTBL[[#This Row],[FARM ]],CORNCLAIMTBL[COUNTY CORN IS LOCATED],INSURANCEPAYOUTTBL[[#This Row],[COUNTY FIELD IS LOCATED IN 3]])</f>
        <v>0</v>
      </c>
      <c r="H90" s="310">
        <f>SUMIFS(CORNCLAIMTBL[M77AG 65% INSURANCE PAYMENT],CORNCLAIMTBL[[FARM ]],INSURANCEPAYOUTTBL[[#This Row],[FARM ]],CORNCLAIMTBL[COUNTY CORN IS LOCATED],INSURANCEPAYOUTTBL[[#This Row],[COUNTY FIELD IS LOCATED IN 3]])</f>
        <v>0</v>
      </c>
      <c r="I90" s="310">
        <f>SUMIFS(CORNCLAIMTBL[LAND LORD 35% INSURANCE PAYMENT],CORNCLAIMTBL[[FARM ]],INSURANCEPAYOUTTBL[[#This Row],[FARM ]],CORNCLAIMTBL[COUNTY CORN IS LOCATED],INSURANCEPAYOUTTBL[[#This Row],[COUNTY FIELD IS LOCATED IN 3]])</f>
        <v>0</v>
      </c>
      <c r="J90" s="354">
        <f>SUMIFS(CORNCLAIMTBL[M77AG 65% INSURANCE PAYMENT],CORNCLAIMTBL[[FARM ]],INSURANCEPAYOUTTBL[[#This Row],[FARM ]],CORNCLAIMTBL[COUNTY CORN IS LOCATED],INSURANCEPAYOUTTBL[[#This Row],[COUNTY FIELD IS LOCATED IN 3]])-INSURANCEPAYOUTTBL[[#This Row],[M77AG PREMIUM PAID BY M77AG]]</f>
        <v>0</v>
      </c>
      <c r="K90" s="354">
        <f>SUMIFS(CORNCLAIMTBL[LAND LORD 35% INSURANCE PAYMENT],CORNCLAIMTBL[[FARM ]],INSURANCEPAYOUTTBL[[#This Row],[FARM ]],CORNCLAIMTBL[COUNTY CORN IS LOCATED],INSURANCEPAYOUTTBL[[#This Row],[COUNTY FIELD IS LOCATED IN 3]])-INSURANCEPAYOUTTBL[[#This Row],[LAND LORD PREMIUM PAID BY M77AG]]</f>
        <v>0</v>
      </c>
      <c r="L90" s="354">
        <f>INSURANCEPAYOUTTBL[[#This Row],[INSURANCE OWED TO M77 AG 65% AFTER PREMIUM DEDUCTED]]+INSURANCEPAYOUTTBL[[#This Row],[INSURANCE OWED TO LAND LORDS 35% PREMIUM DEDUCTED]]</f>
        <v>0</v>
      </c>
      <c r="M90" s="705" t="s">
        <v>77</v>
      </c>
      <c r="N90" s="706">
        <f>CORNPREMIUMTBL[[#Totals],[TOTAL INSURANCE PREMIUM PAID]]</f>
        <v>0</v>
      </c>
      <c r="O90" s="709" t="s">
        <v>78</v>
      </c>
      <c r="P90" s="710"/>
      <c r="Q90" s="362">
        <f t="shared" ref="Q90:Q96" si="2">C75</f>
        <v>0</v>
      </c>
      <c r="R90" s="703" t="str">
        <f>IFERROR((P75-Q75),"-")</f>
        <v>-</v>
      </c>
      <c r="S90" s="704"/>
    </row>
    <row r="91" spans="1:19" ht="12.75" thickBot="1" x14ac:dyDescent="0.25">
      <c r="A91" s="300" t="s">
        <v>74</v>
      </c>
      <c r="B91" s="298" t="s">
        <v>21</v>
      </c>
      <c r="C91" s="343" t="s">
        <v>93</v>
      </c>
      <c r="D91" s="344">
        <f>SUMIFS(CORNPREMIUMTBL[M77AG 65% EXPENSE],CORNPREMIUMTBL[FARM],INSURANCEPAYOUTTBL[[#This Row],[FARM ]],CORNPREMIUMTBL[COUNTY FIELD IS LOCATED IN],INSURANCEPAYOUTTBL[[#This Row],[COUNTY FIELD IS LOCATED IN 3]])</f>
        <v>0</v>
      </c>
      <c r="E91" s="344">
        <f>SUMIFS(CORNPREMIUMTBL[LAND LORD 35% EXPENSE],CORNPREMIUMTBL[FARM],INSURANCEPAYOUTTBL[[#This Row],[FARM ]],CORNPREMIUMTBL[COUNTY FIELD IS LOCATED IN],INSURANCEPAYOUTTBL[[#This Row],[COUNTY FIELD IS LOCATED IN 3]])</f>
        <v>0</v>
      </c>
      <c r="F91" s="344">
        <f t="shared" si="1"/>
        <v>0</v>
      </c>
      <c r="G91" s="345">
        <f>SUMIFS(CORNCLAIMTBL[PAYMENT FROM INSURANCE],CORNCLAIMTBL[[FARM ]],INSURANCEPAYOUTTBL[[#This Row],[FARM ]],CORNCLAIMTBL[COUNTY CORN IS LOCATED],INSURANCEPAYOUTTBL[[#This Row],[COUNTY FIELD IS LOCATED IN 3]])</f>
        <v>0</v>
      </c>
      <c r="H91" s="310">
        <f>SUMIFS(CORNCLAIMTBL[M77AG 65% INSURANCE PAYMENT],CORNCLAIMTBL[[FARM ]],INSURANCEPAYOUTTBL[[#This Row],[FARM ]],CORNCLAIMTBL[COUNTY CORN IS LOCATED],INSURANCEPAYOUTTBL[[#This Row],[COUNTY FIELD IS LOCATED IN 3]])</f>
        <v>0</v>
      </c>
      <c r="I91" s="310">
        <f>SUMIFS(CORNCLAIMTBL[LAND LORD 35% INSURANCE PAYMENT],CORNCLAIMTBL[[FARM ]],INSURANCEPAYOUTTBL[[#This Row],[FARM ]],CORNCLAIMTBL[COUNTY CORN IS LOCATED],INSURANCEPAYOUTTBL[[#This Row],[COUNTY FIELD IS LOCATED IN 3]])</f>
        <v>0</v>
      </c>
      <c r="J91" s="354">
        <f>SUMIFS(CORNCLAIMTBL[M77AG 65% INSURANCE PAYMENT],CORNCLAIMTBL[[FARM ]],INSURANCEPAYOUTTBL[[#This Row],[FARM ]],CORNCLAIMTBL[COUNTY CORN IS LOCATED],INSURANCEPAYOUTTBL[[#This Row],[COUNTY FIELD IS LOCATED IN 3]])-INSURANCEPAYOUTTBL[[#This Row],[M77AG PREMIUM PAID BY M77AG]]</f>
        <v>0</v>
      </c>
      <c r="K91" s="354">
        <f>SUMIFS(CORNCLAIMTBL[LAND LORD 35% INSURANCE PAYMENT],CORNCLAIMTBL[[FARM ]],INSURANCEPAYOUTTBL[[#This Row],[FARM ]],CORNCLAIMTBL[COUNTY CORN IS LOCATED],INSURANCEPAYOUTTBL[[#This Row],[COUNTY FIELD IS LOCATED IN 3]])-INSURANCEPAYOUTTBL[[#This Row],[LAND LORD PREMIUM PAID BY M77AG]]</f>
        <v>0</v>
      </c>
      <c r="L91" s="354">
        <f>INSURANCEPAYOUTTBL[[#This Row],[INSURANCE OWED TO M77 AG 65% AFTER PREMIUM DEDUCTED]]+INSURANCEPAYOUTTBL[[#This Row],[INSURANCE OWED TO LAND LORDS 35% PREMIUM DEDUCTED]]</f>
        <v>0</v>
      </c>
      <c r="M91" s="705"/>
      <c r="N91" s="706"/>
      <c r="O91" s="711"/>
      <c r="P91" s="712"/>
      <c r="Q91" s="363">
        <f t="shared" si="2"/>
        <v>0</v>
      </c>
      <c r="R91" s="703" t="str">
        <f t="shared" ref="R91:R96" si="3">IFERROR((P76-Q76),"-")</f>
        <v>-</v>
      </c>
      <c r="S91" s="704"/>
    </row>
    <row r="92" spans="1:19" ht="12.75" thickBot="1" x14ac:dyDescent="0.25">
      <c r="A92" s="300" t="s">
        <v>74</v>
      </c>
      <c r="B92" s="298" t="s">
        <v>35</v>
      </c>
      <c r="C92" s="343" t="s">
        <v>79</v>
      </c>
      <c r="D92" s="344">
        <f>SUMIFS(CORNPREMIUMTBL[M77AG 65% EXPENSE],CORNPREMIUMTBL[FARM],INSURANCEPAYOUTTBL[[#This Row],[FARM ]],CORNPREMIUMTBL[COUNTY FIELD IS LOCATED IN],INSURANCEPAYOUTTBL[[#This Row],[COUNTY FIELD IS LOCATED IN 3]])</f>
        <v>0</v>
      </c>
      <c r="E92" s="344">
        <f>SUMIFS(CORNPREMIUMTBL[LAND LORD 35% EXPENSE],CORNPREMIUMTBL[FARM],INSURANCEPAYOUTTBL[[#This Row],[FARM ]],CORNPREMIUMTBL[COUNTY FIELD IS LOCATED IN],INSURANCEPAYOUTTBL[[#This Row],[COUNTY FIELD IS LOCATED IN 3]])</f>
        <v>0</v>
      </c>
      <c r="F92" s="344">
        <f t="shared" si="1"/>
        <v>0</v>
      </c>
      <c r="G92" s="345">
        <f>SUMIFS(CORNCLAIMTBL[PAYMENT FROM INSURANCE],CORNCLAIMTBL[[FARM ]],INSURANCEPAYOUTTBL[[#This Row],[FARM ]],CORNCLAIMTBL[COUNTY CORN IS LOCATED],INSURANCEPAYOUTTBL[[#This Row],[COUNTY FIELD IS LOCATED IN 3]])</f>
        <v>0</v>
      </c>
      <c r="H92" s="310">
        <f>SUMIFS(CORNCLAIMTBL[M77AG 65% INSURANCE PAYMENT],CORNCLAIMTBL[[FARM ]],INSURANCEPAYOUTTBL[[#This Row],[FARM ]],CORNCLAIMTBL[COUNTY CORN IS LOCATED],INSURANCEPAYOUTTBL[[#This Row],[COUNTY FIELD IS LOCATED IN 3]])</f>
        <v>0</v>
      </c>
      <c r="I92" s="310">
        <f>SUMIFS(CORNCLAIMTBL[LAND LORD 35% INSURANCE PAYMENT],CORNCLAIMTBL[[FARM ]],INSURANCEPAYOUTTBL[[#This Row],[FARM ]],CORNCLAIMTBL[COUNTY CORN IS LOCATED],INSURANCEPAYOUTTBL[[#This Row],[COUNTY FIELD IS LOCATED IN 3]])</f>
        <v>0</v>
      </c>
      <c r="J92" s="354">
        <f>SUMIFS(CORNCLAIMTBL[M77AG 65% INSURANCE PAYMENT],CORNCLAIMTBL[[FARM ]],INSURANCEPAYOUTTBL[[#This Row],[FARM ]],CORNCLAIMTBL[COUNTY CORN IS LOCATED],INSURANCEPAYOUTTBL[[#This Row],[COUNTY FIELD IS LOCATED IN 3]])-INSURANCEPAYOUTTBL[[#This Row],[M77AG PREMIUM PAID BY M77AG]]</f>
        <v>0</v>
      </c>
      <c r="K92" s="354">
        <f>SUMIFS(CORNCLAIMTBL[LAND LORD 35% INSURANCE PAYMENT],CORNCLAIMTBL[[FARM ]],INSURANCEPAYOUTTBL[[#This Row],[FARM ]],CORNCLAIMTBL[COUNTY CORN IS LOCATED],INSURANCEPAYOUTTBL[[#This Row],[COUNTY FIELD IS LOCATED IN 3]])-INSURANCEPAYOUTTBL[[#This Row],[LAND LORD PREMIUM PAID BY M77AG]]</f>
        <v>0</v>
      </c>
      <c r="L92" s="354">
        <f>INSURANCEPAYOUTTBL[[#This Row],[INSURANCE OWED TO M77 AG 65% AFTER PREMIUM DEDUCTED]]+INSURANCEPAYOUTTBL[[#This Row],[INSURANCE OWED TO LAND LORDS 35% PREMIUM DEDUCTED]]</f>
        <v>0</v>
      </c>
      <c r="M92" s="705"/>
      <c r="N92" s="706"/>
      <c r="O92" s="711"/>
      <c r="P92" s="712"/>
      <c r="Q92" s="363">
        <f t="shared" si="2"/>
        <v>0</v>
      </c>
      <c r="R92" s="703" t="str">
        <f t="shared" si="3"/>
        <v>-</v>
      </c>
      <c r="S92" s="704"/>
    </row>
    <row r="93" spans="1:19" ht="12.75" thickBot="1" x14ac:dyDescent="0.25">
      <c r="A93" s="300" t="s">
        <v>74</v>
      </c>
      <c r="B93" s="343"/>
      <c r="C93" s="343"/>
      <c r="D93" s="344">
        <f>SUMIFS(CORNPREMIUMTBL[M77AG 65% EXPENSE],CORNPREMIUMTBL[FARM],INSURANCEPAYOUTTBL[[#This Row],[FARM ]],CORNPREMIUMTBL[COUNTY FIELD IS LOCATED IN],INSURANCEPAYOUTTBL[[#This Row],[COUNTY FIELD IS LOCATED IN 3]])</f>
        <v>0</v>
      </c>
      <c r="E93" s="344">
        <f>SUMIFS(CORNPREMIUMTBL[LAND LORD 35% EXPENSE],CORNPREMIUMTBL[FARM],INSURANCEPAYOUTTBL[[#This Row],[FARM ]],CORNPREMIUMTBL[COUNTY FIELD IS LOCATED IN],INSURANCEPAYOUTTBL[[#This Row],[COUNTY FIELD IS LOCATED IN 3]])</f>
        <v>0</v>
      </c>
      <c r="F93" s="344">
        <f t="shared" si="1"/>
        <v>0</v>
      </c>
      <c r="G93" s="345">
        <f>SUMIFS(CORNCLAIMTBL[PAYMENT FROM INSURANCE],CORNCLAIMTBL[[FARM ]],INSURANCEPAYOUTTBL[[#This Row],[FARM ]],CORNCLAIMTBL[COUNTY CORN IS LOCATED],INSURANCEPAYOUTTBL[[#This Row],[COUNTY FIELD IS LOCATED IN 3]])</f>
        <v>0</v>
      </c>
      <c r="H93" s="310">
        <f>SUMIFS(CORNCLAIMTBL[M77AG 65% INSURANCE PAYMENT],CORNCLAIMTBL[[FARM ]],INSURANCEPAYOUTTBL[[#This Row],[FARM ]],CORNCLAIMTBL[COUNTY CORN IS LOCATED],INSURANCEPAYOUTTBL[[#This Row],[COUNTY FIELD IS LOCATED IN 3]])</f>
        <v>0</v>
      </c>
      <c r="I93" s="310">
        <f>SUMIFS(CORNCLAIMTBL[LAND LORD 35% INSURANCE PAYMENT],CORNCLAIMTBL[[FARM ]],INSURANCEPAYOUTTBL[[#This Row],[FARM ]],CORNCLAIMTBL[COUNTY CORN IS LOCATED],INSURANCEPAYOUTTBL[[#This Row],[COUNTY FIELD IS LOCATED IN 3]])</f>
        <v>0</v>
      </c>
      <c r="J93" s="354">
        <f>SUMIFS(CORNCLAIMTBL[M77AG 65% INSURANCE PAYMENT],CORNCLAIMTBL[[FARM ]],INSURANCEPAYOUTTBL[[#This Row],[FARM ]],CORNCLAIMTBL[COUNTY CORN IS LOCATED],INSURANCEPAYOUTTBL[[#This Row],[COUNTY FIELD IS LOCATED IN 3]])-INSURANCEPAYOUTTBL[[#This Row],[M77AG PREMIUM PAID BY M77AG]]</f>
        <v>0</v>
      </c>
      <c r="K93" s="354">
        <f>SUMIFS(CORNCLAIMTBL[LAND LORD 35% INSURANCE PAYMENT],CORNCLAIMTBL[[FARM ]],INSURANCEPAYOUTTBL[[#This Row],[FARM ]],CORNCLAIMTBL[COUNTY CORN IS LOCATED],INSURANCEPAYOUTTBL[[#This Row],[COUNTY FIELD IS LOCATED IN 3]])-INSURANCEPAYOUTTBL[[#This Row],[LAND LORD PREMIUM PAID BY M77AG]]</f>
        <v>0</v>
      </c>
      <c r="L93" s="354">
        <f>INSURANCEPAYOUTTBL[[#This Row],[INSURANCE OWED TO M77 AG 65% AFTER PREMIUM DEDUCTED]]+INSURANCEPAYOUTTBL[[#This Row],[INSURANCE OWED TO LAND LORDS 35% PREMIUM DEDUCTED]]</f>
        <v>0</v>
      </c>
      <c r="M93" s="705" t="s">
        <v>81</v>
      </c>
      <c r="N93" s="706">
        <f>N89-N90</f>
        <v>0</v>
      </c>
      <c r="O93" s="711"/>
      <c r="P93" s="712"/>
      <c r="Q93" s="363">
        <f t="shared" si="2"/>
        <v>0</v>
      </c>
      <c r="R93" s="703" t="str">
        <f t="shared" si="3"/>
        <v>-</v>
      </c>
      <c r="S93" s="704"/>
    </row>
    <row r="94" spans="1:19" ht="12.75" thickBot="1" x14ac:dyDescent="0.25">
      <c r="A94" s="300" t="s">
        <v>74</v>
      </c>
      <c r="B94" s="343"/>
      <c r="C94" s="343"/>
      <c r="D94" s="344">
        <f>SUMIFS(CORNPREMIUMTBL[M77AG 65% EXPENSE],CORNPREMIUMTBL[FARM],INSURANCEPAYOUTTBL[[#This Row],[FARM ]],CORNPREMIUMTBL[COUNTY FIELD IS LOCATED IN],INSURANCEPAYOUTTBL[[#This Row],[COUNTY FIELD IS LOCATED IN 3]])</f>
        <v>0</v>
      </c>
      <c r="E94" s="344">
        <f>SUMIFS(CORNPREMIUMTBL[LAND LORD 35% EXPENSE],CORNPREMIUMTBL[FARM],INSURANCEPAYOUTTBL[[#This Row],[FARM ]],CORNPREMIUMTBL[COUNTY FIELD IS LOCATED IN],INSURANCEPAYOUTTBL[[#This Row],[COUNTY FIELD IS LOCATED IN 3]])</f>
        <v>0</v>
      </c>
      <c r="F94" s="344">
        <f t="shared" si="1"/>
        <v>0</v>
      </c>
      <c r="G94" s="345">
        <f>SUMIFS(CORNCLAIMTBL[PAYMENT FROM INSURANCE],CORNCLAIMTBL[[FARM ]],INSURANCEPAYOUTTBL[[#This Row],[FARM ]],CORNCLAIMTBL[COUNTY CORN IS LOCATED],INSURANCEPAYOUTTBL[[#This Row],[COUNTY FIELD IS LOCATED IN 3]])</f>
        <v>0</v>
      </c>
      <c r="H94" s="310">
        <f>SUMIFS(CORNCLAIMTBL[M77AG 65% INSURANCE PAYMENT],CORNCLAIMTBL[[FARM ]],INSURANCEPAYOUTTBL[[#This Row],[FARM ]],CORNCLAIMTBL[COUNTY CORN IS LOCATED],INSURANCEPAYOUTTBL[[#This Row],[COUNTY FIELD IS LOCATED IN 3]])</f>
        <v>0</v>
      </c>
      <c r="I94" s="310">
        <f>SUMIFS(CORNCLAIMTBL[LAND LORD 35% INSURANCE PAYMENT],CORNCLAIMTBL[[FARM ]],INSURANCEPAYOUTTBL[[#This Row],[FARM ]],CORNCLAIMTBL[COUNTY CORN IS LOCATED],INSURANCEPAYOUTTBL[[#This Row],[COUNTY FIELD IS LOCATED IN 3]])</f>
        <v>0</v>
      </c>
      <c r="J94" s="354">
        <f>SUMIFS(CORNCLAIMTBL[M77AG 65% INSURANCE PAYMENT],CORNCLAIMTBL[[FARM ]],INSURANCEPAYOUTTBL[[#This Row],[FARM ]],CORNCLAIMTBL[COUNTY CORN IS LOCATED],INSURANCEPAYOUTTBL[[#This Row],[COUNTY FIELD IS LOCATED IN 3]])-INSURANCEPAYOUTTBL[[#This Row],[M77AG PREMIUM PAID BY M77AG]]</f>
        <v>0</v>
      </c>
      <c r="K94" s="354">
        <f>SUMIFS(CORNCLAIMTBL[LAND LORD 35% INSURANCE PAYMENT],CORNCLAIMTBL[[FARM ]],INSURANCEPAYOUTTBL[[#This Row],[FARM ]],CORNCLAIMTBL[COUNTY CORN IS LOCATED],INSURANCEPAYOUTTBL[[#This Row],[COUNTY FIELD IS LOCATED IN 3]])-INSURANCEPAYOUTTBL[[#This Row],[LAND LORD PREMIUM PAID BY M77AG]]</f>
        <v>0</v>
      </c>
      <c r="L94" s="354">
        <f>INSURANCEPAYOUTTBL[[#This Row],[INSURANCE OWED TO M77 AG 65% AFTER PREMIUM DEDUCTED]]+INSURANCEPAYOUTTBL[[#This Row],[INSURANCE OWED TO LAND LORDS 35% PREMIUM DEDUCTED]]</f>
        <v>0</v>
      </c>
      <c r="M94" s="705"/>
      <c r="N94" s="706"/>
      <c r="O94" s="711"/>
      <c r="P94" s="712"/>
      <c r="Q94" s="363">
        <f t="shared" si="2"/>
        <v>0</v>
      </c>
      <c r="R94" s="703" t="str">
        <f t="shared" si="3"/>
        <v>-</v>
      </c>
      <c r="S94" s="704"/>
    </row>
    <row r="95" spans="1:19" ht="12.75" thickBot="1" x14ac:dyDescent="0.25">
      <c r="A95" s="300" t="s">
        <v>74</v>
      </c>
      <c r="B95" s="343"/>
      <c r="C95" s="343"/>
      <c r="D95" s="344">
        <f>SUMIFS(CORNPREMIUMTBL[M77AG 65% EXPENSE],CORNPREMIUMTBL[FARM],INSURANCEPAYOUTTBL[[#This Row],[FARM ]],CORNPREMIUMTBL[COUNTY FIELD IS LOCATED IN],INSURANCEPAYOUTTBL[[#This Row],[COUNTY FIELD IS LOCATED IN 3]])</f>
        <v>0</v>
      </c>
      <c r="E95" s="344">
        <f>SUMIFS(CORNPREMIUMTBL[LAND LORD 35% EXPENSE],CORNPREMIUMTBL[FARM],INSURANCEPAYOUTTBL[[#This Row],[FARM ]],CORNPREMIUMTBL[COUNTY FIELD IS LOCATED IN],INSURANCEPAYOUTTBL[[#This Row],[COUNTY FIELD IS LOCATED IN 3]])</f>
        <v>0</v>
      </c>
      <c r="F95" s="344">
        <f t="shared" si="1"/>
        <v>0</v>
      </c>
      <c r="G95" s="345">
        <f>SUMIFS(CORNCLAIMTBL[PAYMENT FROM INSURANCE],CORNCLAIMTBL[[FARM ]],INSURANCEPAYOUTTBL[[#This Row],[FARM ]],CORNCLAIMTBL[COUNTY CORN IS LOCATED],INSURANCEPAYOUTTBL[[#This Row],[COUNTY FIELD IS LOCATED IN 3]])</f>
        <v>0</v>
      </c>
      <c r="H95" s="310">
        <f>SUMIFS(CORNCLAIMTBL[M77AG 65% INSURANCE PAYMENT],CORNCLAIMTBL[[FARM ]],INSURANCEPAYOUTTBL[[#This Row],[FARM ]],CORNCLAIMTBL[COUNTY CORN IS LOCATED],INSURANCEPAYOUTTBL[[#This Row],[COUNTY FIELD IS LOCATED IN 3]])</f>
        <v>0</v>
      </c>
      <c r="I95" s="310">
        <f>SUMIFS(CORNCLAIMTBL[LAND LORD 35% INSURANCE PAYMENT],CORNCLAIMTBL[[FARM ]],INSURANCEPAYOUTTBL[[#This Row],[FARM ]],CORNCLAIMTBL[COUNTY CORN IS LOCATED],INSURANCEPAYOUTTBL[[#This Row],[COUNTY FIELD IS LOCATED IN 3]])</f>
        <v>0</v>
      </c>
      <c r="J95" s="354">
        <f>SUMIFS(CORNCLAIMTBL[M77AG 65% INSURANCE PAYMENT],CORNCLAIMTBL[[FARM ]],INSURANCEPAYOUTTBL[[#This Row],[FARM ]],CORNCLAIMTBL[COUNTY CORN IS LOCATED],INSURANCEPAYOUTTBL[[#This Row],[COUNTY FIELD IS LOCATED IN 3]])-INSURANCEPAYOUTTBL[[#This Row],[M77AG PREMIUM PAID BY M77AG]]</f>
        <v>0</v>
      </c>
      <c r="K95" s="354">
        <f>SUMIFS(CORNCLAIMTBL[LAND LORD 35% INSURANCE PAYMENT],CORNCLAIMTBL[[FARM ]],INSURANCEPAYOUTTBL[[#This Row],[FARM ]],CORNCLAIMTBL[COUNTY CORN IS LOCATED],INSURANCEPAYOUTTBL[[#This Row],[COUNTY FIELD IS LOCATED IN 3]])-INSURANCEPAYOUTTBL[[#This Row],[LAND LORD PREMIUM PAID BY M77AG]]</f>
        <v>0</v>
      </c>
      <c r="L95" s="354">
        <f>INSURANCEPAYOUTTBL[[#This Row],[INSURANCE OWED TO M77 AG 65% AFTER PREMIUM DEDUCTED]]+INSURANCEPAYOUTTBL[[#This Row],[INSURANCE OWED TO LAND LORDS 35% PREMIUM DEDUCTED]]</f>
        <v>0</v>
      </c>
      <c r="M95" s="705"/>
      <c r="N95" s="706"/>
      <c r="O95" s="711"/>
      <c r="P95" s="712"/>
      <c r="Q95" s="363">
        <f t="shared" si="2"/>
        <v>0</v>
      </c>
      <c r="R95" s="703" t="str">
        <f t="shared" si="3"/>
        <v>-</v>
      </c>
      <c r="S95" s="704"/>
    </row>
    <row r="96" spans="1:19" ht="12.75" thickBot="1" x14ac:dyDescent="0.25">
      <c r="A96" s="302" t="s">
        <v>38</v>
      </c>
      <c r="B96" s="346"/>
      <c r="C96" s="347"/>
      <c r="D96" s="348">
        <f>SUBTOTAL(109,INSURANCEPAYOUTTBL[M77AG PREMIUM PAID BY M77AG])</f>
        <v>0</v>
      </c>
      <c r="E96" s="349">
        <f>SUBTOTAL(109,INSURANCEPAYOUTTBL[LAND LORD PREMIUM PAID BY M77AG])</f>
        <v>0</v>
      </c>
      <c r="F96" s="350">
        <f>SUBTOTAL(109,INSURANCEPAYOUTTBL[TOTAL INSURANCE PREMIUM PAID BY M77AG])</f>
        <v>0</v>
      </c>
      <c r="G96" s="351">
        <f>SUBTOTAL(109,INSURANCEPAYOUTTBL[TOTAL INSURANCE PAID TO M77AG])</f>
        <v>0</v>
      </c>
      <c r="H96" s="351">
        <f>SUBTOTAL(109,INSURANCEPAYOUTTBL[M77AG 65% OF PREMIUM CLAIM])</f>
        <v>0</v>
      </c>
      <c r="I96" s="351">
        <f>SUBTOTAL(109,INSURANCEPAYOUTTBL[LAND LORD 35% OF INSURANCE CLAIM])</f>
        <v>0</v>
      </c>
      <c r="J96" s="355">
        <f>SUBTOTAL(109,INSURANCEPAYOUTTBL[INSURANCE OWED TO M77 AG 65% AFTER PREMIUM DEDUCTED])</f>
        <v>0</v>
      </c>
      <c r="K96" s="355">
        <f>SUBTOTAL(109,INSURANCEPAYOUTTBL[INSURANCE OWED TO LAND LORDS 35% PREMIUM DEDUCTED])</f>
        <v>0</v>
      </c>
      <c r="L96" s="355">
        <f>SUBTOTAL(109,INSURANCEPAYOUTTBL[TOTAL INSURANCE PAID OUT PREMIUM DEDUCTED])</f>
        <v>0</v>
      </c>
      <c r="M96" s="346"/>
      <c r="N96" s="356"/>
      <c r="O96" s="713"/>
      <c r="P96" s="714"/>
      <c r="Q96" s="364">
        <f t="shared" si="2"/>
        <v>0</v>
      </c>
      <c r="R96" s="703" t="str">
        <f t="shared" si="3"/>
        <v>-</v>
      </c>
      <c r="S96" s="704"/>
    </row>
    <row r="100" spans="1:6" x14ac:dyDescent="0.2">
      <c r="A100" s="458" t="s">
        <v>1</v>
      </c>
      <c r="B100" s="335" t="s">
        <v>2</v>
      </c>
      <c r="C100" s="335" t="s">
        <v>3</v>
      </c>
      <c r="D100" s="339" t="s">
        <v>4</v>
      </c>
      <c r="E100" s="339" t="s">
        <v>5</v>
      </c>
      <c r="F100" s="335" t="s">
        <v>6</v>
      </c>
    </row>
    <row r="101" spans="1:6" ht="15" x14ac:dyDescent="0.2">
      <c r="A101" s="388" t="s">
        <v>74</v>
      </c>
      <c r="B101" s="388" t="s">
        <v>32</v>
      </c>
      <c r="C101" s="455" t="s">
        <v>94</v>
      </c>
      <c r="D101" s="447" t="str">
        <f t="shared" ref="D101:D107" si="4">VLOOKUP(C101,FIELDARRAY,7,FALSE)</f>
        <v>PHILLIPS</v>
      </c>
      <c r="E101" s="447" t="str">
        <f t="shared" ref="E101:E107" si="5">VLOOKUP(C101,FIELDARRAY,1,FALSE)</f>
        <v>43 E/2 S/4</v>
      </c>
      <c r="F101" s="456" t="str">
        <f>IFERROR(VLOOKUP(CORNPREMIUMTBL[[#This Row],[FIELD]],FFTBL[[Field]:[COUNTY2]],2,FALSE),"")</f>
        <v/>
      </c>
    </row>
    <row r="102" spans="1:6" ht="15" x14ac:dyDescent="0.2">
      <c r="A102" s="99" t="s">
        <v>74</v>
      </c>
      <c r="B102" s="99" t="s">
        <v>32</v>
      </c>
      <c r="C102" s="448" t="s">
        <v>95</v>
      </c>
      <c r="D102" s="447" t="e">
        <f t="shared" si="4"/>
        <v>#N/A</v>
      </c>
      <c r="E102" s="447" t="e">
        <f t="shared" si="5"/>
        <v>#N/A</v>
      </c>
      <c r="F102" s="457" t="str">
        <f>IFERROR(VLOOKUP(CORNPREMIUMTBL[[#This Row],[FIELD]],FFTBL[[Field]:[COUNTY2]],2,FALSE),"")</f>
        <v/>
      </c>
    </row>
    <row r="103" spans="1:6" ht="15" x14ac:dyDescent="0.2">
      <c r="A103" s="388" t="s">
        <v>74</v>
      </c>
      <c r="B103" s="388" t="s">
        <v>32</v>
      </c>
      <c r="C103" s="455" t="s">
        <v>96</v>
      </c>
      <c r="D103" s="447" t="str">
        <f t="shared" si="4"/>
        <v>PHILLIPS</v>
      </c>
      <c r="E103" s="447" t="str">
        <f t="shared" si="5"/>
        <v>45 W. TOWN</v>
      </c>
      <c r="F103" s="389" t="str">
        <f>IFERROR(VLOOKUP(CORNPREMIUMTBL[[#This Row],[FIELD]],FFTBL[[Field]:[COUNTY2]],2,FALSE),"")</f>
        <v/>
      </c>
    </row>
    <row r="104" spans="1:6" ht="15" x14ac:dyDescent="0.2">
      <c r="A104" s="99" t="s">
        <v>74</v>
      </c>
      <c r="B104" s="99" t="s">
        <v>35</v>
      </c>
      <c r="C104" s="448" t="s">
        <v>97</v>
      </c>
      <c r="D104" s="447" t="str">
        <f t="shared" si="4"/>
        <v>PHILLIPS</v>
      </c>
      <c r="E104" s="447" t="str">
        <f t="shared" si="5"/>
        <v>55 KIRBY HOUSE</v>
      </c>
      <c r="F104" s="323" t="str">
        <f>IFERROR(VLOOKUP(CORNPREMIUMTBL[[#This Row],[FIELD]],FFTBL[[Field]:[COUNTY2]],2,FALSE),"")</f>
        <v/>
      </c>
    </row>
    <row r="105" spans="1:6" ht="15" x14ac:dyDescent="0.2">
      <c r="A105" s="388" t="s">
        <v>74</v>
      </c>
      <c r="B105" s="388" t="s">
        <v>35</v>
      </c>
      <c r="C105" s="455" t="s">
        <v>98</v>
      </c>
      <c r="D105" s="447" t="str">
        <f t="shared" si="4"/>
        <v>PHILLIPS</v>
      </c>
      <c r="E105" s="447" t="str">
        <f t="shared" si="5"/>
        <v>55 KIRBY HOUSEB</v>
      </c>
      <c r="F105" s="389" t="str">
        <f>IFERROR(VLOOKUP(CORNPREMIUMTBL[[#This Row],[FIELD]],FFTBL[[Field]:[COUNTY2]],2,FALSE),"")</f>
        <v/>
      </c>
    </row>
    <row r="106" spans="1:6" ht="15" x14ac:dyDescent="0.2">
      <c r="A106" s="99" t="s">
        <v>74</v>
      </c>
      <c r="B106" s="99" t="s">
        <v>21</v>
      </c>
      <c r="C106" s="448" t="s">
        <v>99</v>
      </c>
      <c r="D106" s="447" t="str">
        <f t="shared" si="4"/>
        <v>SEDGWICK</v>
      </c>
      <c r="E106" s="447" t="str">
        <f t="shared" si="5"/>
        <v>16.0 BIG FIELD COMBO</v>
      </c>
      <c r="F106" s="323" t="str">
        <f>IFERROR(VLOOKUP(CORNPREMIUMTBL[[#This Row],[FIELD]],FFTBL[[Field]:[COUNTY2]],2,FALSE),"")</f>
        <v/>
      </c>
    </row>
    <row r="107" spans="1:6" ht="15" x14ac:dyDescent="0.2">
      <c r="A107" s="388" t="s">
        <v>74</v>
      </c>
      <c r="B107" s="388" t="s">
        <v>21</v>
      </c>
      <c r="C107" s="455" t="s">
        <v>25</v>
      </c>
      <c r="D107" s="447" t="str">
        <f t="shared" si="4"/>
        <v>SEDGWICK</v>
      </c>
      <c r="E107" s="447" t="str">
        <f t="shared" si="5"/>
        <v>17 MULVIHILL</v>
      </c>
      <c r="F107" s="389" t="str">
        <f>IFERROR(VLOOKUP(CORNPREMIUMTBL[[#This Row],[FIELD]],FFTBL[[Field]:[COUNTY2]],2,FALSE),"")</f>
        <v/>
      </c>
    </row>
  </sheetData>
  <mergeCells count="35">
    <mergeCell ref="B56:S57"/>
    <mergeCell ref="B72:S73"/>
    <mergeCell ref="M37:N40"/>
    <mergeCell ref="M42:M44"/>
    <mergeCell ref="M45:M47"/>
    <mergeCell ref="N42:N44"/>
    <mergeCell ref="N45:N47"/>
    <mergeCell ref="R48:S48"/>
    <mergeCell ref="B1:S2"/>
    <mergeCell ref="B18:S19"/>
    <mergeCell ref="B37:L40"/>
    <mergeCell ref="A49:S55"/>
    <mergeCell ref="O41:Q41"/>
    <mergeCell ref="R41:S41"/>
    <mergeCell ref="O42:P48"/>
    <mergeCell ref="R42:S42"/>
    <mergeCell ref="R43:S43"/>
    <mergeCell ref="R44:S44"/>
    <mergeCell ref="R45:S45"/>
    <mergeCell ref="R46:S46"/>
    <mergeCell ref="R47:S47"/>
    <mergeCell ref="B85:L88"/>
    <mergeCell ref="M85:N88"/>
    <mergeCell ref="M90:M92"/>
    <mergeCell ref="N90:N92"/>
    <mergeCell ref="O90:P96"/>
    <mergeCell ref="R96:S96"/>
    <mergeCell ref="R90:S90"/>
    <mergeCell ref="R91:S91"/>
    <mergeCell ref="R92:S92"/>
    <mergeCell ref="M93:M95"/>
    <mergeCell ref="N93:N95"/>
    <mergeCell ref="R93:S93"/>
    <mergeCell ref="R94:S94"/>
    <mergeCell ref="R95:S95"/>
  </mergeCells>
  <phoneticPr fontId="26" type="noConversion"/>
  <conditionalFormatting sqref="A4:C15">
    <cfRule type="containsText" dxfId="2391" priority="69" operator="containsText" text="PEARL MILLET">
      <formula>NOT(ISERROR(SEARCH("PEARL MILLET",A4)))</formula>
    </cfRule>
    <cfRule type="containsText" dxfId="2390" priority="70" operator="containsText" text="PROSO MILLET">
      <formula>NOT(ISERROR(SEARCH("PROSO MILLET",A4)))</formula>
    </cfRule>
    <cfRule type="containsText" dxfId="2389" priority="71" operator="containsText" text="GOLDEN GERMAN">
      <formula>NOT(ISERROR(SEARCH("GOLDEN GERMAN",A4)))</formula>
    </cfRule>
    <cfRule type="containsText" dxfId="2388" priority="72" operator="containsText" text="BUILDING SITE">
      <formula>NOT(ISERROR(SEARCH("BUILDING SITE",A4)))</formula>
    </cfRule>
    <cfRule type="containsText" dxfId="2387" priority="73" operator="containsText" text="WASTE">
      <formula>NOT(ISERROR(SEARCH("WASTE",A4)))</formula>
    </cfRule>
    <cfRule type="containsText" dxfId="2386" priority="74" operator="containsText" text="PASTURE">
      <formula>NOT(ISERROR(SEARCH("PASTURE",A4)))</formula>
    </cfRule>
    <cfRule type="cellIs" dxfId="2385" priority="75" operator="equal">
      <formula>"FORG/ WHEAT"</formula>
    </cfRule>
    <cfRule type="cellIs" dxfId="2384" priority="76" operator="equal">
      <formula>"FALL GRAZED"</formula>
    </cfRule>
    <cfRule type="cellIs" dxfId="2383" priority="77" operator="equal">
      <formula>"FALLOW"</formula>
    </cfRule>
    <cfRule type="cellIs" dxfId="2382" priority="78" operator="equal">
      <formula>"FALL GRAZED"</formula>
    </cfRule>
    <cfRule type="cellIs" dxfId="2381" priority="79" operator="equal">
      <formula>"TRITICALE"</formula>
    </cfRule>
    <cfRule type="cellIs" dxfId="2380" priority="80" operator="equal">
      <formula>"SORGHUM"</formula>
    </cfRule>
    <cfRule type="cellIs" dxfId="2379" priority="81" operator="equal">
      <formula>"OAT/WHEAT"</formula>
    </cfRule>
    <cfRule type="cellIs" dxfId="2378" priority="82" operator="equal">
      <formula>"SPRING GRAZED"</formula>
    </cfRule>
    <cfRule type="cellIs" dxfId="2377" priority="83" operator="equal">
      <formula>"WHEAT"</formula>
    </cfRule>
    <cfRule type="cellIs" dxfId="2376" priority="84" operator="equal">
      <formula>"SORGHUM SUDAN"</formula>
    </cfRule>
    <cfRule type="cellIs" dxfId="2375" priority="85" operator="equal">
      <formula>"CORN"</formula>
    </cfRule>
  </conditionalFormatting>
  <conditionalFormatting sqref="A21:C24 A29:C35 A25:B28">
    <cfRule type="containsText" dxfId="2374" priority="52" operator="containsText" text="PEARL MILLET">
      <formula>NOT(ISERROR(SEARCH("PEARL MILLET",A21)))</formula>
    </cfRule>
    <cfRule type="containsText" dxfId="2373" priority="53" operator="containsText" text="PROSO MILLET">
      <formula>NOT(ISERROR(SEARCH("PROSO MILLET",A21)))</formula>
    </cfRule>
    <cfRule type="containsText" dxfId="2372" priority="54" operator="containsText" text="GOLDEN GERMAN">
      <formula>NOT(ISERROR(SEARCH("GOLDEN GERMAN",A21)))</formula>
    </cfRule>
    <cfRule type="containsText" dxfId="2371" priority="55" operator="containsText" text="BUILDING SITE">
      <formula>NOT(ISERROR(SEARCH("BUILDING SITE",A21)))</formula>
    </cfRule>
    <cfRule type="containsText" dxfId="2370" priority="56" operator="containsText" text="WASTE">
      <formula>NOT(ISERROR(SEARCH("WASTE",A21)))</formula>
    </cfRule>
    <cfRule type="containsText" dxfId="2369" priority="57" operator="containsText" text="PASTURE">
      <formula>NOT(ISERROR(SEARCH("PASTURE",A21)))</formula>
    </cfRule>
    <cfRule type="cellIs" dxfId="2368" priority="58" operator="equal">
      <formula>"FORG/ WHEAT"</formula>
    </cfRule>
    <cfRule type="cellIs" dxfId="2367" priority="59" operator="equal">
      <formula>"FALL GRAZED"</formula>
    </cfRule>
    <cfRule type="cellIs" dxfId="2366" priority="60" operator="equal">
      <formula>"FALLOW"</formula>
    </cfRule>
    <cfRule type="cellIs" dxfId="2365" priority="61" operator="equal">
      <formula>"FALL GRAZED"</formula>
    </cfRule>
    <cfRule type="cellIs" dxfId="2364" priority="62" operator="equal">
      <formula>"TRITICALE"</formula>
    </cfRule>
    <cfRule type="cellIs" dxfId="2363" priority="63" operator="equal">
      <formula>"SORGHUM"</formula>
    </cfRule>
    <cfRule type="cellIs" dxfId="2362" priority="64" operator="equal">
      <formula>"OAT/WHEAT"</formula>
    </cfRule>
    <cfRule type="cellIs" dxfId="2361" priority="65" operator="equal">
      <formula>"SPRING GRAZED"</formula>
    </cfRule>
    <cfRule type="cellIs" dxfId="2360" priority="66" operator="equal">
      <formula>"WHEAT"</formula>
    </cfRule>
    <cfRule type="cellIs" dxfId="2359" priority="67" operator="equal">
      <formula>"SORGHUM SUDAN"</formula>
    </cfRule>
    <cfRule type="cellIs" dxfId="2358" priority="68" operator="equal">
      <formula>"CORN"</formula>
    </cfRule>
  </conditionalFormatting>
  <conditionalFormatting sqref="C28">
    <cfRule type="containsText" dxfId="2357" priority="35" operator="containsText" text="PEARL MILLET">
      <formula>NOT(ISERROR(SEARCH("PEARL MILLET",C28)))</formula>
    </cfRule>
    <cfRule type="containsText" dxfId="2356" priority="36" operator="containsText" text="PROSO MILLET">
      <formula>NOT(ISERROR(SEARCH("PROSO MILLET",C28)))</formula>
    </cfRule>
    <cfRule type="containsText" dxfId="2355" priority="37" operator="containsText" text="GOLDEN GERMAN">
      <formula>NOT(ISERROR(SEARCH("GOLDEN GERMAN",C28)))</formula>
    </cfRule>
    <cfRule type="containsText" dxfId="2354" priority="38" operator="containsText" text="BUILDING SITE">
      <formula>NOT(ISERROR(SEARCH("BUILDING SITE",C28)))</formula>
    </cfRule>
    <cfRule type="containsText" dxfId="2353" priority="39" operator="containsText" text="WASTE">
      <formula>NOT(ISERROR(SEARCH("WASTE",C28)))</formula>
    </cfRule>
    <cfRule type="containsText" dxfId="2352" priority="40" operator="containsText" text="PASTURE">
      <formula>NOT(ISERROR(SEARCH("PASTURE",C28)))</formula>
    </cfRule>
    <cfRule type="cellIs" dxfId="2351" priority="41" operator="equal">
      <formula>"FORG/ WHEAT"</formula>
    </cfRule>
    <cfRule type="cellIs" dxfId="2350" priority="42" operator="equal">
      <formula>"FALL GRAZED"</formula>
    </cfRule>
    <cfRule type="cellIs" dxfId="2349" priority="43" operator="equal">
      <formula>"FALLOW"</formula>
    </cfRule>
    <cfRule type="cellIs" dxfId="2348" priority="44" operator="equal">
      <formula>"FALL GRAZED"</formula>
    </cfRule>
    <cfRule type="cellIs" dxfId="2347" priority="45" operator="equal">
      <formula>"TRITICALE"</formula>
    </cfRule>
    <cfRule type="cellIs" dxfId="2346" priority="46" operator="equal">
      <formula>"SORGHUM"</formula>
    </cfRule>
    <cfRule type="cellIs" dxfId="2345" priority="47" operator="equal">
      <formula>"OAT/WHEAT"</formula>
    </cfRule>
    <cfRule type="cellIs" dxfId="2344" priority="48" operator="equal">
      <formula>"SPRING GRAZED"</formula>
    </cfRule>
    <cfRule type="cellIs" dxfId="2343" priority="49" operator="equal">
      <formula>"WHEAT"</formula>
    </cfRule>
    <cfRule type="cellIs" dxfId="2342" priority="50" operator="equal">
      <formula>"SORGHUM SUDAN"</formula>
    </cfRule>
    <cfRule type="cellIs" dxfId="2341" priority="51" operator="equal">
      <formula>"CORN"</formula>
    </cfRule>
  </conditionalFormatting>
  <conditionalFormatting sqref="C25">
    <cfRule type="containsText" dxfId="2340" priority="18" operator="containsText" text="PEARL MILLET">
      <formula>NOT(ISERROR(SEARCH("PEARL MILLET",C25)))</formula>
    </cfRule>
    <cfRule type="containsText" dxfId="2339" priority="19" operator="containsText" text="PROSO MILLET">
      <formula>NOT(ISERROR(SEARCH("PROSO MILLET",C25)))</formula>
    </cfRule>
    <cfRule type="containsText" dxfId="2338" priority="20" operator="containsText" text="GOLDEN GERMAN">
      <formula>NOT(ISERROR(SEARCH("GOLDEN GERMAN",C25)))</formula>
    </cfRule>
    <cfRule type="containsText" dxfId="2337" priority="21" operator="containsText" text="BUILDING SITE">
      <formula>NOT(ISERROR(SEARCH("BUILDING SITE",C25)))</formula>
    </cfRule>
    <cfRule type="containsText" dxfId="2336" priority="22" operator="containsText" text="WASTE">
      <formula>NOT(ISERROR(SEARCH("WASTE",C25)))</formula>
    </cfRule>
    <cfRule type="containsText" dxfId="2335" priority="23" operator="containsText" text="PASTURE">
      <formula>NOT(ISERROR(SEARCH("PASTURE",C25)))</formula>
    </cfRule>
    <cfRule type="cellIs" dxfId="2334" priority="24" operator="equal">
      <formula>"FORG/ WHEAT"</formula>
    </cfRule>
    <cfRule type="cellIs" dxfId="2333" priority="25" operator="equal">
      <formula>"FALL GRAZED"</formula>
    </cfRule>
    <cfRule type="cellIs" dxfId="2332" priority="26" operator="equal">
      <formula>"FALLOW"</formula>
    </cfRule>
    <cfRule type="cellIs" dxfId="2331" priority="27" operator="equal">
      <formula>"FALL GRAZED"</formula>
    </cfRule>
    <cfRule type="cellIs" dxfId="2330" priority="28" operator="equal">
      <formula>"TRITICALE"</formula>
    </cfRule>
    <cfRule type="cellIs" dxfId="2329" priority="29" operator="equal">
      <formula>"SORGHUM"</formula>
    </cfRule>
    <cfRule type="cellIs" dxfId="2328" priority="30" operator="equal">
      <formula>"OAT/WHEAT"</formula>
    </cfRule>
    <cfRule type="cellIs" dxfId="2327" priority="31" operator="equal">
      <formula>"SPRING GRAZED"</formula>
    </cfRule>
    <cfRule type="cellIs" dxfId="2326" priority="32" operator="equal">
      <formula>"WHEAT"</formula>
    </cfRule>
    <cfRule type="cellIs" dxfId="2325" priority="33" operator="equal">
      <formula>"SORGHUM SUDAN"</formula>
    </cfRule>
    <cfRule type="cellIs" dxfId="2324" priority="34" operator="equal">
      <formula>"CORN"</formula>
    </cfRule>
  </conditionalFormatting>
  <conditionalFormatting sqref="C26">
    <cfRule type="containsText" dxfId="2323" priority="1" operator="containsText" text="PEARL MILLET">
      <formula>NOT(ISERROR(SEARCH("PEARL MILLET",C26)))</formula>
    </cfRule>
    <cfRule type="containsText" dxfId="2322" priority="2" operator="containsText" text="PROSO MILLET">
      <formula>NOT(ISERROR(SEARCH("PROSO MILLET",C26)))</formula>
    </cfRule>
    <cfRule type="containsText" dxfId="2321" priority="3" operator="containsText" text="GOLDEN GERMAN">
      <formula>NOT(ISERROR(SEARCH("GOLDEN GERMAN",C26)))</formula>
    </cfRule>
    <cfRule type="containsText" dxfId="2320" priority="4" operator="containsText" text="BUILDING SITE">
      <formula>NOT(ISERROR(SEARCH("BUILDING SITE",C26)))</formula>
    </cfRule>
    <cfRule type="containsText" dxfId="2319" priority="5" operator="containsText" text="WASTE">
      <formula>NOT(ISERROR(SEARCH("WASTE",C26)))</formula>
    </cfRule>
    <cfRule type="containsText" dxfId="2318" priority="6" operator="containsText" text="PASTURE">
      <formula>NOT(ISERROR(SEARCH("PASTURE",C26)))</formula>
    </cfRule>
    <cfRule type="cellIs" dxfId="2317" priority="7" operator="equal">
      <formula>"FORG/ WHEAT"</formula>
    </cfRule>
    <cfRule type="cellIs" dxfId="2316" priority="8" operator="equal">
      <formula>"FALL GRAZED"</formula>
    </cfRule>
    <cfRule type="cellIs" dxfId="2315" priority="9" operator="equal">
      <formula>"FALLOW"</formula>
    </cfRule>
    <cfRule type="cellIs" dxfId="2314" priority="10" operator="equal">
      <formula>"FALL GRAZED"</formula>
    </cfRule>
    <cfRule type="cellIs" dxfId="2313" priority="11" operator="equal">
      <formula>"TRITICALE"</formula>
    </cfRule>
    <cfRule type="cellIs" dxfId="2312" priority="12" operator="equal">
      <formula>"SORGHUM"</formula>
    </cfRule>
    <cfRule type="cellIs" dxfId="2311" priority="13" operator="equal">
      <formula>"OAT/WHEAT"</formula>
    </cfRule>
    <cfRule type="cellIs" dxfId="2310" priority="14" operator="equal">
      <formula>"SPRING GRAZED"</formula>
    </cfRule>
    <cfRule type="cellIs" dxfId="2309" priority="15" operator="equal">
      <formula>"WHEAT"</formula>
    </cfRule>
    <cfRule type="cellIs" dxfId="2308" priority="16" operator="equal">
      <formula>"SORGHUM SUDAN"</formula>
    </cfRule>
    <cfRule type="cellIs" dxfId="2307" priority="17" operator="equal">
      <formula>"CORN"</formula>
    </cfRule>
  </conditionalFormatting>
  <dataValidations disablePrompts="1" count="4">
    <dataValidation type="list" allowBlank="1" showInputMessage="1" showErrorMessage="1" sqref="B90 B101:B107 B42:B47 B59:B69 B75:B82" xr:uid="{C3A9E981-2F02-4C78-A1AC-543CBD0169D1}">
      <formula1>FARMS</formula1>
    </dataValidation>
    <dataValidation type="list" allowBlank="1" showInputMessage="1" showErrorMessage="1" sqref="A75:A83 A101:A107 A42:A47 A59:A69 A90:A95" xr:uid="{602128C2-EF3F-46E2-A00C-975B22E4C127}">
      <formula1>CLIENT</formula1>
    </dataValidation>
    <dataValidation type="list" allowBlank="1" showInputMessage="1" showErrorMessage="1" sqref="C101:C107 C75:C83 C59:C69" xr:uid="{BC74640F-565C-464A-96C8-C744B8F1B019}">
      <formula1>INDIRECT(B59)</formula1>
    </dataValidation>
    <dataValidation type="list" allowBlank="1" showInputMessage="1" showErrorMessage="1" sqref="B67 B79 B105" xr:uid="{BCA1973D-04AC-4B68-8E64-17BD50FF1D2A}">
      <formula1>INDIRECT(#REF!)</formula1>
    </dataValidation>
  </dataValidations>
  <pageMargins left="0.25" right="0.25" top="0.75" bottom="0.75" header="0.3" footer="0.3"/>
  <pageSetup scale="37" fitToWidth="0" orientation="landscape" r:id="rId1"/>
  <ignoredErrors>
    <ignoredError sqref="D90:E90" calculatedColumn="1"/>
    <ignoredError sqref="R89" evalError="1"/>
  </ignoredError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8BFC7-AEFF-455A-96C3-B29D6B91D50C}">
  <sheetPr codeName="Sheet1"/>
  <dimension ref="A1:Z426"/>
  <sheetViews>
    <sheetView topLeftCell="A41" workbookViewId="0">
      <selection activeCell="D60" sqref="D60"/>
    </sheetView>
  </sheetViews>
  <sheetFormatPr defaultRowHeight="15" x14ac:dyDescent="0.25"/>
  <cols>
    <col min="1" max="1" width="18.28515625" bestFit="1" customWidth="1"/>
    <col min="2" max="2" width="26" bestFit="1" customWidth="1"/>
    <col min="3" max="3" width="5.5703125" customWidth="1"/>
    <col min="4" max="4" width="20.5703125" customWidth="1"/>
    <col min="5" max="5" width="14" bestFit="1" customWidth="1"/>
    <col min="6" max="6" width="16.7109375" bestFit="1" customWidth="1"/>
    <col min="7" max="7" width="13.42578125" bestFit="1" customWidth="1"/>
    <col min="8" max="8" width="21.85546875" bestFit="1" customWidth="1"/>
    <col min="9" max="9" width="11.42578125" bestFit="1" customWidth="1"/>
    <col min="10" max="10" width="15.42578125" bestFit="1" customWidth="1"/>
    <col min="11" max="11" width="12.85546875" bestFit="1" customWidth="1"/>
    <col min="12" max="12" width="17.28515625" bestFit="1" customWidth="1"/>
    <col min="13" max="13" width="18.140625" bestFit="1" customWidth="1"/>
    <col min="14" max="14" width="13.28515625" bestFit="1" customWidth="1"/>
    <col min="15" max="15" width="11.140625" bestFit="1" customWidth="1"/>
    <col min="16" max="16" width="9.28515625" bestFit="1" customWidth="1"/>
    <col min="17" max="17" width="11.140625" bestFit="1" customWidth="1"/>
    <col min="18" max="18" width="10.5703125" customWidth="1"/>
    <col min="23" max="23" width="13" bestFit="1" customWidth="1"/>
  </cols>
  <sheetData>
    <row r="1" spans="1:12" x14ac:dyDescent="0.25">
      <c r="A1" t="s">
        <v>1</v>
      </c>
    </row>
    <row r="2" spans="1:12" x14ac:dyDescent="0.25">
      <c r="A2" t="s">
        <v>74</v>
      </c>
    </row>
    <row r="5" spans="1:12" x14ac:dyDescent="0.25">
      <c r="A5" t="s">
        <v>100</v>
      </c>
    </row>
    <row r="6" spans="1:12" x14ac:dyDescent="0.25">
      <c r="A6" t="s">
        <v>80</v>
      </c>
    </row>
    <row r="7" spans="1:12" x14ac:dyDescent="0.25">
      <c r="A7" t="s">
        <v>28</v>
      </c>
      <c r="C7" t="s">
        <v>101</v>
      </c>
      <c r="D7" t="s">
        <v>102</v>
      </c>
    </row>
    <row r="8" spans="1:12" x14ac:dyDescent="0.25">
      <c r="A8" t="s">
        <v>32</v>
      </c>
      <c r="C8" t="s">
        <v>103</v>
      </c>
      <c r="D8" t="s">
        <v>104</v>
      </c>
    </row>
    <row r="9" spans="1:12" x14ac:dyDescent="0.25">
      <c r="A9" t="s">
        <v>26</v>
      </c>
      <c r="C9" t="s">
        <v>105</v>
      </c>
      <c r="D9" t="s">
        <v>106</v>
      </c>
    </row>
    <row r="10" spans="1:12" x14ac:dyDescent="0.25">
      <c r="A10" t="s">
        <v>21</v>
      </c>
      <c r="C10" t="s">
        <v>107</v>
      </c>
      <c r="D10" t="s">
        <v>108</v>
      </c>
    </row>
    <row r="11" spans="1:12" x14ac:dyDescent="0.25">
      <c r="A11" t="s">
        <v>35</v>
      </c>
      <c r="C11" t="s">
        <v>109</v>
      </c>
      <c r="D11" t="s">
        <v>110</v>
      </c>
    </row>
    <row r="12" spans="1:12" x14ac:dyDescent="0.25">
      <c r="A12" t="s">
        <v>111</v>
      </c>
      <c r="C12" t="s">
        <v>112</v>
      </c>
      <c r="D12" t="s">
        <v>113</v>
      </c>
    </row>
    <row r="14" spans="1:12" x14ac:dyDescent="0.25">
      <c r="A14" t="s">
        <v>114</v>
      </c>
    </row>
    <row r="15" spans="1:12" ht="15.75" x14ac:dyDescent="0.25">
      <c r="A15" s="18" t="s">
        <v>115</v>
      </c>
      <c r="B15" s="19" t="s">
        <v>116</v>
      </c>
      <c r="C15" s="21" t="s">
        <v>117</v>
      </c>
      <c r="D15" s="21" t="s">
        <v>118</v>
      </c>
      <c r="E15" s="21" t="s">
        <v>119</v>
      </c>
      <c r="F15" s="21" t="s">
        <v>120</v>
      </c>
      <c r="G15" s="21" t="s">
        <v>121</v>
      </c>
      <c r="H15" s="21" t="s">
        <v>122</v>
      </c>
      <c r="I15" s="21" t="s">
        <v>123</v>
      </c>
      <c r="J15" s="21" t="s">
        <v>124</v>
      </c>
      <c r="K15" s="21" t="s">
        <v>125</v>
      </c>
      <c r="L15" s="21" t="s">
        <v>126</v>
      </c>
    </row>
    <row r="16" spans="1:12" ht="15.75" x14ac:dyDescent="0.25">
      <c r="A16" s="157" t="s">
        <v>20</v>
      </c>
      <c r="B16" s="157" t="s">
        <v>21</v>
      </c>
      <c r="C16" s="157" t="s">
        <v>105</v>
      </c>
      <c r="D16" s="293" t="s">
        <v>127</v>
      </c>
      <c r="E16" s="641">
        <v>158.5</v>
      </c>
      <c r="F16" s="157" t="s">
        <v>128</v>
      </c>
      <c r="G16" s="157">
        <v>3438</v>
      </c>
      <c r="H16" s="157">
        <v>1768</v>
      </c>
      <c r="I16" s="157" t="s">
        <v>129</v>
      </c>
      <c r="J16" s="157" t="s">
        <v>79</v>
      </c>
      <c r="K16" s="157" t="s">
        <v>130</v>
      </c>
      <c r="L16" s="157" t="s">
        <v>131</v>
      </c>
    </row>
    <row r="17" spans="1:12" ht="15.75" x14ac:dyDescent="0.25">
      <c r="A17" s="157" t="s">
        <v>20</v>
      </c>
      <c r="B17" s="157" t="s">
        <v>21</v>
      </c>
      <c r="C17" s="157" t="s">
        <v>109</v>
      </c>
      <c r="D17" s="636" t="s">
        <v>132</v>
      </c>
      <c r="E17" s="642">
        <v>79.25</v>
      </c>
      <c r="F17" s="157" t="s">
        <v>128</v>
      </c>
      <c r="G17" s="157">
        <v>3438</v>
      </c>
      <c r="H17" s="157">
        <v>1768</v>
      </c>
      <c r="I17" s="157" t="s">
        <v>129</v>
      </c>
      <c r="J17" s="157" t="s">
        <v>79</v>
      </c>
      <c r="K17" s="157" t="s">
        <v>130</v>
      </c>
      <c r="L17" s="157" t="s">
        <v>131</v>
      </c>
    </row>
    <row r="18" spans="1:12" ht="15.75" x14ac:dyDescent="0.25">
      <c r="A18" s="157" t="s">
        <v>20</v>
      </c>
      <c r="B18" s="157" t="s">
        <v>21</v>
      </c>
      <c r="C18" s="157" t="s">
        <v>109</v>
      </c>
      <c r="D18" s="636" t="s">
        <v>22</v>
      </c>
      <c r="E18" s="642">
        <v>79.2</v>
      </c>
      <c r="F18" s="157" t="s">
        <v>128</v>
      </c>
      <c r="G18" s="157">
        <v>3438</v>
      </c>
      <c r="H18" s="157">
        <v>1768</v>
      </c>
      <c r="I18" s="157" t="s">
        <v>129</v>
      </c>
      <c r="J18" s="157" t="s">
        <v>79</v>
      </c>
      <c r="K18" s="157" t="s">
        <v>130</v>
      </c>
      <c r="L18" s="157" t="s">
        <v>131</v>
      </c>
    </row>
    <row r="19" spans="1:12" ht="15.75" x14ac:dyDescent="0.25">
      <c r="A19" s="293" t="s">
        <v>20</v>
      </c>
      <c r="B19" s="157" t="s">
        <v>21</v>
      </c>
      <c r="C19" s="157" t="s">
        <v>133</v>
      </c>
      <c r="D19" s="293" t="s">
        <v>134</v>
      </c>
      <c r="E19" s="297">
        <v>5.44</v>
      </c>
      <c r="F19" s="293" t="s">
        <v>135</v>
      </c>
      <c r="G19" s="293">
        <v>3939</v>
      </c>
      <c r="H19" s="293">
        <v>3938</v>
      </c>
      <c r="I19" s="157" t="s">
        <v>102</v>
      </c>
      <c r="J19" s="157" t="s">
        <v>93</v>
      </c>
      <c r="K19" s="157" t="s">
        <v>136</v>
      </c>
      <c r="L19" s="157" t="s">
        <v>137</v>
      </c>
    </row>
    <row r="20" spans="1:12" ht="15.75" x14ac:dyDescent="0.25">
      <c r="A20" s="293" t="s">
        <v>20</v>
      </c>
      <c r="B20" s="157" t="s">
        <v>21</v>
      </c>
      <c r="C20" s="157" t="s">
        <v>138</v>
      </c>
      <c r="D20" s="293" t="s">
        <v>139</v>
      </c>
      <c r="E20" s="297">
        <v>184.76</v>
      </c>
      <c r="F20" s="293" t="s">
        <v>140</v>
      </c>
      <c r="G20" s="293">
        <v>4211</v>
      </c>
      <c r="H20" s="293">
        <v>4049</v>
      </c>
      <c r="I20" s="157" t="s">
        <v>108</v>
      </c>
      <c r="J20" s="157" t="s">
        <v>76</v>
      </c>
      <c r="K20" s="157" t="s">
        <v>141</v>
      </c>
      <c r="L20" s="157" t="s">
        <v>131</v>
      </c>
    </row>
    <row r="21" spans="1:12" ht="15.75" x14ac:dyDescent="0.25">
      <c r="A21" s="293" t="s">
        <v>20</v>
      </c>
      <c r="B21" s="157" t="s">
        <v>21</v>
      </c>
      <c r="C21" s="157" t="s">
        <v>138</v>
      </c>
      <c r="D21" s="293" t="s">
        <v>142</v>
      </c>
      <c r="E21" s="297">
        <v>134.9</v>
      </c>
      <c r="F21" s="293" t="s">
        <v>143</v>
      </c>
      <c r="G21" s="293">
        <v>3939</v>
      </c>
      <c r="H21" s="293">
        <v>3938</v>
      </c>
      <c r="I21" s="157" t="s">
        <v>108</v>
      </c>
      <c r="J21" s="157" t="s">
        <v>93</v>
      </c>
      <c r="K21" s="157" t="s">
        <v>136</v>
      </c>
      <c r="L21" s="157" t="s">
        <v>144</v>
      </c>
    </row>
    <row r="22" spans="1:12" ht="15.75" x14ac:dyDescent="0.25">
      <c r="A22" s="293" t="s">
        <v>20</v>
      </c>
      <c r="B22" s="293" t="s">
        <v>21</v>
      </c>
      <c r="C22" s="293" t="s">
        <v>138</v>
      </c>
      <c r="D22" s="293" t="s">
        <v>145</v>
      </c>
      <c r="E22" s="297">
        <v>160.1</v>
      </c>
      <c r="F22" s="293" t="s">
        <v>135</v>
      </c>
      <c r="G22" s="293">
        <v>3939</v>
      </c>
      <c r="H22" s="293">
        <v>3938</v>
      </c>
      <c r="I22" s="157" t="s">
        <v>108</v>
      </c>
      <c r="J22" s="157" t="s">
        <v>93</v>
      </c>
      <c r="K22" s="157" t="s">
        <v>136</v>
      </c>
      <c r="L22" s="157" t="s">
        <v>137</v>
      </c>
    </row>
    <row r="23" spans="1:12" ht="15.75" x14ac:dyDescent="0.25">
      <c r="A23" s="293" t="s">
        <v>20</v>
      </c>
      <c r="B23" s="293" t="s">
        <v>21</v>
      </c>
      <c r="C23" s="293" t="s">
        <v>105</v>
      </c>
      <c r="D23" s="293" t="s">
        <v>146</v>
      </c>
      <c r="E23" s="641">
        <v>157.1</v>
      </c>
      <c r="F23" s="293" t="s">
        <v>147</v>
      </c>
      <c r="G23" s="293">
        <v>3438</v>
      </c>
      <c r="H23" s="293">
        <v>1750</v>
      </c>
      <c r="I23" s="157" t="s">
        <v>129</v>
      </c>
      <c r="J23" s="157" t="s">
        <v>76</v>
      </c>
      <c r="K23" s="157" t="s">
        <v>148</v>
      </c>
      <c r="L23" s="157" t="s">
        <v>137</v>
      </c>
    </row>
    <row r="24" spans="1:12" ht="15.75" x14ac:dyDescent="0.25">
      <c r="A24" s="293" t="s">
        <v>20</v>
      </c>
      <c r="B24" s="293" t="s">
        <v>21</v>
      </c>
      <c r="C24" s="293" t="s">
        <v>109</v>
      </c>
      <c r="D24" s="636" t="s">
        <v>149</v>
      </c>
      <c r="E24" s="642">
        <v>78.599999999999994</v>
      </c>
      <c r="F24" s="293" t="s">
        <v>147</v>
      </c>
      <c r="G24" s="293">
        <v>3438</v>
      </c>
      <c r="H24" s="293">
        <v>1750</v>
      </c>
      <c r="I24" s="157" t="s">
        <v>129</v>
      </c>
      <c r="J24" s="157" t="s">
        <v>76</v>
      </c>
      <c r="K24" s="157" t="s">
        <v>148</v>
      </c>
      <c r="L24" s="157" t="s">
        <v>137</v>
      </c>
    </row>
    <row r="25" spans="1:12" ht="15.75" x14ac:dyDescent="0.25">
      <c r="A25" s="293" t="s">
        <v>20</v>
      </c>
      <c r="B25" s="293" t="s">
        <v>21</v>
      </c>
      <c r="C25" s="293" t="s">
        <v>109</v>
      </c>
      <c r="D25" s="636" t="s">
        <v>23</v>
      </c>
      <c r="E25" s="642">
        <v>78.599999999999994</v>
      </c>
      <c r="F25" s="293" t="s">
        <v>147</v>
      </c>
      <c r="G25" s="293">
        <v>3438</v>
      </c>
      <c r="H25" s="293">
        <v>1750</v>
      </c>
      <c r="I25" s="157" t="s">
        <v>129</v>
      </c>
      <c r="J25" s="157" t="s">
        <v>76</v>
      </c>
      <c r="K25" s="157" t="s">
        <v>148</v>
      </c>
      <c r="L25" s="157" t="s">
        <v>137</v>
      </c>
    </row>
    <row r="26" spans="1:12" ht="15.75" x14ac:dyDescent="0.25">
      <c r="A26" s="293" t="s">
        <v>20</v>
      </c>
      <c r="B26" s="293" t="s">
        <v>21</v>
      </c>
      <c r="C26" s="293" t="s">
        <v>105</v>
      </c>
      <c r="D26" s="293" t="s">
        <v>150</v>
      </c>
      <c r="E26" s="641">
        <v>149.76</v>
      </c>
      <c r="F26" s="293" t="s">
        <v>151</v>
      </c>
      <c r="G26" s="293">
        <v>3438</v>
      </c>
      <c r="H26" s="293">
        <v>3460</v>
      </c>
      <c r="I26" s="157" t="s">
        <v>129</v>
      </c>
      <c r="J26" s="157" t="s">
        <v>76</v>
      </c>
      <c r="K26" s="157" t="s">
        <v>152</v>
      </c>
      <c r="L26" s="157" t="s">
        <v>144</v>
      </c>
    </row>
    <row r="27" spans="1:12" ht="15.75" x14ac:dyDescent="0.25">
      <c r="A27" s="293" t="s">
        <v>20</v>
      </c>
      <c r="B27" s="293" t="s">
        <v>21</v>
      </c>
      <c r="C27" s="293" t="s">
        <v>109</v>
      </c>
      <c r="D27" s="636" t="s">
        <v>153</v>
      </c>
      <c r="E27" s="297">
        <v>74.900000000000006</v>
      </c>
      <c r="F27" s="293" t="s">
        <v>151</v>
      </c>
      <c r="G27" s="293">
        <v>3438</v>
      </c>
      <c r="H27" s="293">
        <v>3460</v>
      </c>
      <c r="I27" s="157" t="s">
        <v>129</v>
      </c>
      <c r="J27" s="157" t="s">
        <v>76</v>
      </c>
      <c r="K27" s="157" t="s">
        <v>152</v>
      </c>
      <c r="L27" s="157" t="s">
        <v>144</v>
      </c>
    </row>
    <row r="28" spans="1:12" ht="15.75" x14ac:dyDescent="0.25">
      <c r="A28" s="293" t="s">
        <v>20</v>
      </c>
      <c r="B28" s="293" t="s">
        <v>21</v>
      </c>
      <c r="C28" s="293" t="s">
        <v>109</v>
      </c>
      <c r="D28" s="636" t="s">
        <v>154</v>
      </c>
      <c r="E28" s="297">
        <v>74.900000000000006</v>
      </c>
      <c r="F28" s="293" t="s">
        <v>151</v>
      </c>
      <c r="G28" s="293">
        <v>3438</v>
      </c>
      <c r="H28" s="293">
        <v>3460</v>
      </c>
      <c r="I28" s="157" t="s">
        <v>129</v>
      </c>
      <c r="J28" s="157" t="s">
        <v>76</v>
      </c>
      <c r="K28" s="157" t="s">
        <v>152</v>
      </c>
      <c r="L28" s="157" t="s">
        <v>144</v>
      </c>
    </row>
    <row r="29" spans="1:12" ht="15.75" x14ac:dyDescent="0.25">
      <c r="A29" s="293" t="s">
        <v>20</v>
      </c>
      <c r="B29" s="293" t="s">
        <v>21</v>
      </c>
      <c r="C29" s="293" t="s">
        <v>105</v>
      </c>
      <c r="D29" s="293" t="s">
        <v>24</v>
      </c>
      <c r="E29" s="641">
        <v>153</v>
      </c>
      <c r="F29" s="293" t="s">
        <v>155</v>
      </c>
      <c r="G29" s="293">
        <v>4211</v>
      </c>
      <c r="H29" s="293">
        <v>1749</v>
      </c>
      <c r="I29" s="157" t="s">
        <v>129</v>
      </c>
      <c r="J29" s="157" t="s">
        <v>79</v>
      </c>
      <c r="K29" s="157" t="s">
        <v>156</v>
      </c>
      <c r="L29" s="157" t="s">
        <v>137</v>
      </c>
    </row>
    <row r="30" spans="1:12" ht="15.75" x14ac:dyDescent="0.25">
      <c r="A30" s="293" t="s">
        <v>20</v>
      </c>
      <c r="B30" s="293" t="s">
        <v>21</v>
      </c>
      <c r="C30" s="293" t="s">
        <v>109</v>
      </c>
      <c r="D30" s="636" t="s">
        <v>157</v>
      </c>
      <c r="E30" s="297">
        <v>76.5</v>
      </c>
      <c r="F30" s="293" t="s">
        <v>155</v>
      </c>
      <c r="G30" s="293">
        <v>4211</v>
      </c>
      <c r="H30" s="293">
        <v>1749</v>
      </c>
      <c r="I30" s="157" t="s">
        <v>129</v>
      </c>
      <c r="J30" s="157" t="s">
        <v>79</v>
      </c>
      <c r="K30" s="157" t="s">
        <v>156</v>
      </c>
      <c r="L30" s="157" t="s">
        <v>137</v>
      </c>
    </row>
    <row r="31" spans="1:12" ht="15.75" x14ac:dyDescent="0.25">
      <c r="A31" s="293" t="s">
        <v>20</v>
      </c>
      <c r="B31" s="293" t="s">
        <v>21</v>
      </c>
      <c r="C31" s="293" t="s">
        <v>109</v>
      </c>
      <c r="D31" s="636" t="s">
        <v>158</v>
      </c>
      <c r="E31" s="297">
        <v>76.5</v>
      </c>
      <c r="F31" s="293" t="s">
        <v>155</v>
      </c>
      <c r="G31" s="293">
        <v>4211</v>
      </c>
      <c r="H31" s="293">
        <v>1749</v>
      </c>
      <c r="I31" s="293" t="s">
        <v>129</v>
      </c>
      <c r="J31" s="157" t="s">
        <v>79</v>
      </c>
      <c r="K31" s="157" t="s">
        <v>156</v>
      </c>
      <c r="L31" s="157" t="s">
        <v>137</v>
      </c>
    </row>
    <row r="32" spans="1:12" ht="15.75" x14ac:dyDescent="0.25">
      <c r="A32" s="293" t="s">
        <v>20</v>
      </c>
      <c r="B32" s="293" t="s">
        <v>21</v>
      </c>
      <c r="C32" s="293" t="s">
        <v>105</v>
      </c>
      <c r="D32" s="293" t="s">
        <v>99</v>
      </c>
      <c r="E32" s="297">
        <v>191.14</v>
      </c>
      <c r="F32" s="297">
        <v>191.14</v>
      </c>
      <c r="G32" s="293">
        <v>3939</v>
      </c>
      <c r="H32" s="293">
        <v>3938</v>
      </c>
      <c r="I32" s="293" t="s">
        <v>159</v>
      </c>
      <c r="J32" s="157" t="s">
        <v>93</v>
      </c>
      <c r="K32" s="157" t="s">
        <v>136</v>
      </c>
      <c r="L32" s="157" t="s">
        <v>144</v>
      </c>
    </row>
    <row r="33" spans="1:12" ht="15.75" x14ac:dyDescent="0.25">
      <c r="A33" s="293" t="s">
        <v>20</v>
      </c>
      <c r="B33" s="293" t="s">
        <v>21</v>
      </c>
      <c r="C33" s="293" t="s">
        <v>109</v>
      </c>
      <c r="D33" s="636" t="s">
        <v>160</v>
      </c>
      <c r="E33" s="297">
        <v>48.2</v>
      </c>
      <c r="F33" s="293" t="s">
        <v>161</v>
      </c>
      <c r="G33" s="293">
        <v>3939</v>
      </c>
      <c r="H33" s="293">
        <v>3938</v>
      </c>
      <c r="I33" s="293" t="s">
        <v>159</v>
      </c>
      <c r="J33" s="157" t="s">
        <v>93</v>
      </c>
      <c r="K33" s="157" t="s">
        <v>136</v>
      </c>
      <c r="L33" s="157" t="s">
        <v>144</v>
      </c>
    </row>
    <row r="34" spans="1:12" ht="15.75" x14ac:dyDescent="0.25">
      <c r="A34" s="293" t="s">
        <v>20</v>
      </c>
      <c r="B34" s="293" t="s">
        <v>21</v>
      </c>
      <c r="C34" s="293" t="s">
        <v>109</v>
      </c>
      <c r="D34" s="636" t="s">
        <v>162</v>
      </c>
      <c r="E34" s="297">
        <v>62.85</v>
      </c>
      <c r="F34" s="293" t="s">
        <v>161</v>
      </c>
      <c r="G34" s="293">
        <v>3939</v>
      </c>
      <c r="H34" s="293">
        <v>3938</v>
      </c>
      <c r="I34" s="157" t="s">
        <v>159</v>
      </c>
      <c r="J34" s="157" t="s">
        <v>93</v>
      </c>
      <c r="K34" s="157" t="s">
        <v>136</v>
      </c>
      <c r="L34" s="157" t="s">
        <v>144</v>
      </c>
    </row>
    <row r="35" spans="1:12" ht="15.75" x14ac:dyDescent="0.25">
      <c r="A35" s="293" t="s">
        <v>20</v>
      </c>
      <c r="B35" s="293" t="s">
        <v>21</v>
      </c>
      <c r="C35" s="293" t="s">
        <v>109</v>
      </c>
      <c r="D35" s="636" t="s">
        <v>163</v>
      </c>
      <c r="E35" s="297">
        <v>80.09</v>
      </c>
      <c r="F35" s="293" t="s">
        <v>161</v>
      </c>
      <c r="G35" s="293">
        <v>3939</v>
      </c>
      <c r="H35" s="293">
        <v>3938</v>
      </c>
      <c r="I35" s="157" t="s">
        <v>159</v>
      </c>
      <c r="J35" s="157" t="s">
        <v>93</v>
      </c>
      <c r="K35" s="157" t="s">
        <v>136</v>
      </c>
      <c r="L35" s="157" t="s">
        <v>144</v>
      </c>
    </row>
    <row r="36" spans="1:12" ht="15.75" x14ac:dyDescent="0.25">
      <c r="A36" s="293" t="s">
        <v>20</v>
      </c>
      <c r="B36" s="293" t="s">
        <v>21</v>
      </c>
      <c r="C36" s="293" t="s">
        <v>105</v>
      </c>
      <c r="D36" s="293" t="s">
        <v>25</v>
      </c>
      <c r="E36" s="297">
        <v>159.69999999999999</v>
      </c>
      <c r="F36" s="293" t="s">
        <v>164</v>
      </c>
      <c r="G36" s="293">
        <v>3939</v>
      </c>
      <c r="H36" s="293">
        <v>3939</v>
      </c>
      <c r="I36" s="157" t="s">
        <v>159</v>
      </c>
      <c r="J36" s="157" t="s">
        <v>93</v>
      </c>
      <c r="K36" s="157" t="s">
        <v>165</v>
      </c>
      <c r="L36" s="157" t="s">
        <v>131</v>
      </c>
    </row>
    <row r="37" spans="1:12" ht="15.75" x14ac:dyDescent="0.25">
      <c r="A37" s="293" t="s">
        <v>20</v>
      </c>
      <c r="B37" s="293" t="s">
        <v>21</v>
      </c>
      <c r="C37" s="293" t="s">
        <v>109</v>
      </c>
      <c r="D37" s="636" t="s">
        <v>166</v>
      </c>
      <c r="E37" s="297">
        <v>79.849999999999994</v>
      </c>
      <c r="F37" s="293" t="s">
        <v>164</v>
      </c>
      <c r="G37" s="293">
        <v>3939</v>
      </c>
      <c r="H37" s="293">
        <v>3939</v>
      </c>
      <c r="I37" s="157" t="s">
        <v>159</v>
      </c>
      <c r="J37" s="157" t="s">
        <v>93</v>
      </c>
      <c r="K37" s="157" t="s">
        <v>165</v>
      </c>
      <c r="L37" s="157" t="s">
        <v>131</v>
      </c>
    </row>
    <row r="38" spans="1:12" ht="15.75" x14ac:dyDescent="0.25">
      <c r="A38" s="293" t="s">
        <v>20</v>
      </c>
      <c r="B38" s="293" t="s">
        <v>21</v>
      </c>
      <c r="C38" s="293" t="s">
        <v>109</v>
      </c>
      <c r="D38" s="636" t="s">
        <v>167</v>
      </c>
      <c r="E38" s="297">
        <v>79.849999999999994</v>
      </c>
      <c r="F38" s="293" t="s">
        <v>164</v>
      </c>
      <c r="G38" s="293">
        <v>3939</v>
      </c>
      <c r="H38" s="293">
        <v>3939</v>
      </c>
      <c r="I38" s="157" t="s">
        <v>159</v>
      </c>
      <c r="J38" s="157" t="s">
        <v>93</v>
      </c>
      <c r="K38" s="157" t="s">
        <v>165</v>
      </c>
      <c r="L38" s="157" t="s">
        <v>131</v>
      </c>
    </row>
    <row r="39" spans="1:12" ht="15.75" x14ac:dyDescent="0.25">
      <c r="A39" s="293" t="s">
        <v>20</v>
      </c>
      <c r="B39" s="293" t="s">
        <v>21</v>
      </c>
      <c r="C39" s="293" t="s">
        <v>112</v>
      </c>
      <c r="D39" s="293" t="s">
        <v>168</v>
      </c>
      <c r="E39" s="297">
        <v>10.5</v>
      </c>
      <c r="F39" s="293" t="s">
        <v>151</v>
      </c>
      <c r="G39" s="293">
        <v>4211</v>
      </c>
      <c r="H39" s="293">
        <v>3460</v>
      </c>
      <c r="I39" s="157" t="s">
        <v>169</v>
      </c>
      <c r="J39" s="157" t="s">
        <v>76</v>
      </c>
      <c r="K39" s="157" t="s">
        <v>152</v>
      </c>
      <c r="L39" s="157" t="s">
        <v>144</v>
      </c>
    </row>
    <row r="40" spans="1:12" ht="15.75" x14ac:dyDescent="0.25">
      <c r="A40" s="293" t="s">
        <v>20</v>
      </c>
      <c r="B40" s="293" t="s">
        <v>21</v>
      </c>
      <c r="C40" s="293" t="s">
        <v>112</v>
      </c>
      <c r="D40" s="293" t="s">
        <v>170</v>
      </c>
      <c r="E40" s="297">
        <v>12.32</v>
      </c>
      <c r="F40" s="293" t="s">
        <v>155</v>
      </c>
      <c r="G40" s="293">
        <v>4211</v>
      </c>
      <c r="H40" s="293">
        <v>1749</v>
      </c>
      <c r="I40" s="157" t="s">
        <v>113</v>
      </c>
      <c r="J40" s="157" t="s">
        <v>79</v>
      </c>
      <c r="K40" s="157" t="s">
        <v>156</v>
      </c>
      <c r="L40" s="157" t="s">
        <v>137</v>
      </c>
    </row>
    <row r="41" spans="1:12" ht="15.75" x14ac:dyDescent="0.25">
      <c r="A41" s="293" t="s">
        <v>20</v>
      </c>
      <c r="B41" s="293" t="s">
        <v>26</v>
      </c>
      <c r="C41" s="293" t="s">
        <v>103</v>
      </c>
      <c r="D41" s="293" t="s">
        <v>171</v>
      </c>
      <c r="E41" s="297">
        <v>64.8</v>
      </c>
      <c r="F41" s="293" t="s">
        <v>172</v>
      </c>
      <c r="G41" s="293">
        <v>3720</v>
      </c>
      <c r="H41" s="293">
        <v>3815</v>
      </c>
      <c r="I41" s="157" t="s">
        <v>129</v>
      </c>
      <c r="J41" s="157" t="s">
        <v>79</v>
      </c>
      <c r="K41" s="157" t="s">
        <v>173</v>
      </c>
      <c r="L41" s="157" t="s">
        <v>131</v>
      </c>
    </row>
    <row r="42" spans="1:12" ht="15.75" x14ac:dyDescent="0.25">
      <c r="A42" s="293" t="s">
        <v>20</v>
      </c>
      <c r="B42" s="293" t="s">
        <v>26</v>
      </c>
      <c r="C42" s="293" t="s">
        <v>138</v>
      </c>
      <c r="D42" s="293" t="s">
        <v>174</v>
      </c>
      <c r="E42" s="297">
        <v>143.34</v>
      </c>
      <c r="F42" s="293" t="s">
        <v>175</v>
      </c>
      <c r="G42" s="293">
        <v>4210</v>
      </c>
      <c r="H42" s="293">
        <v>4045</v>
      </c>
      <c r="I42" s="157" t="s">
        <v>108</v>
      </c>
      <c r="J42" s="157" t="s">
        <v>76</v>
      </c>
      <c r="K42" s="157" t="s">
        <v>176</v>
      </c>
      <c r="L42" s="157" t="s">
        <v>177</v>
      </c>
    </row>
    <row r="43" spans="1:12" ht="15.75" x14ac:dyDescent="0.25">
      <c r="A43" s="293" t="s">
        <v>20</v>
      </c>
      <c r="B43" s="293" t="s">
        <v>26</v>
      </c>
      <c r="C43" s="293" t="s">
        <v>138</v>
      </c>
      <c r="D43" s="293" t="s">
        <v>178</v>
      </c>
      <c r="E43" s="297">
        <v>114.65</v>
      </c>
      <c r="F43" s="293" t="s">
        <v>179</v>
      </c>
      <c r="G43" s="293">
        <v>4210</v>
      </c>
      <c r="H43" s="293">
        <v>3815</v>
      </c>
      <c r="I43" s="157" t="s">
        <v>108</v>
      </c>
      <c r="J43" s="157" t="s">
        <v>79</v>
      </c>
      <c r="K43" s="157" t="s">
        <v>173</v>
      </c>
      <c r="L43" s="157" t="s">
        <v>131</v>
      </c>
    </row>
    <row r="44" spans="1:12" ht="15.75" x14ac:dyDescent="0.25">
      <c r="A44" s="293" t="s">
        <v>20</v>
      </c>
      <c r="B44" s="293" t="s">
        <v>26</v>
      </c>
      <c r="C44" s="293" t="s">
        <v>103</v>
      </c>
      <c r="D44" s="293" t="s">
        <v>180</v>
      </c>
      <c r="E44" s="297">
        <v>44.69</v>
      </c>
      <c r="F44" s="293" t="s">
        <v>181</v>
      </c>
      <c r="G44" s="293">
        <v>3720</v>
      </c>
      <c r="H44" s="293">
        <v>3815</v>
      </c>
      <c r="I44" s="157" t="s">
        <v>129</v>
      </c>
      <c r="J44" s="157" t="s">
        <v>79</v>
      </c>
      <c r="K44" s="157" t="s">
        <v>173</v>
      </c>
      <c r="L44" s="157" t="s">
        <v>131</v>
      </c>
    </row>
    <row r="45" spans="1:12" ht="15.75" x14ac:dyDescent="0.25">
      <c r="A45" s="293" t="s">
        <v>20</v>
      </c>
      <c r="B45" s="293" t="s">
        <v>26</v>
      </c>
      <c r="C45" s="293" t="s">
        <v>103</v>
      </c>
      <c r="D45" s="293" t="s">
        <v>182</v>
      </c>
      <c r="E45" s="297">
        <v>160</v>
      </c>
      <c r="F45" s="293" t="s">
        <v>183</v>
      </c>
      <c r="G45" s="293">
        <v>3720</v>
      </c>
      <c r="H45" s="293">
        <v>3815</v>
      </c>
      <c r="I45" s="157" t="s">
        <v>129</v>
      </c>
      <c r="J45" s="157" t="s">
        <v>79</v>
      </c>
      <c r="K45" s="157" t="s">
        <v>173</v>
      </c>
      <c r="L45" s="157" t="s">
        <v>131</v>
      </c>
    </row>
    <row r="46" spans="1:12" ht="15.75" x14ac:dyDescent="0.25">
      <c r="A46" s="293" t="s">
        <v>20</v>
      </c>
      <c r="B46" s="293" t="s">
        <v>26</v>
      </c>
      <c r="C46" s="293" t="s">
        <v>184</v>
      </c>
      <c r="D46" s="293" t="s">
        <v>27</v>
      </c>
      <c r="E46" s="297">
        <v>205.6</v>
      </c>
      <c r="F46" s="293" t="s">
        <v>185</v>
      </c>
      <c r="G46" s="293">
        <v>3720</v>
      </c>
      <c r="H46" s="293">
        <v>3815</v>
      </c>
      <c r="I46" s="157" t="s">
        <v>129</v>
      </c>
      <c r="J46" s="157" t="s">
        <v>79</v>
      </c>
      <c r="K46" s="157" t="s">
        <v>186</v>
      </c>
      <c r="L46" s="157" t="s">
        <v>137</v>
      </c>
    </row>
    <row r="47" spans="1:12" ht="15.75" x14ac:dyDescent="0.25">
      <c r="A47" s="293" t="s">
        <v>20</v>
      </c>
      <c r="B47" s="293" t="s">
        <v>26</v>
      </c>
      <c r="C47" s="293" t="s">
        <v>105</v>
      </c>
      <c r="D47" s="157" t="s">
        <v>187</v>
      </c>
      <c r="E47" s="297">
        <v>77.2</v>
      </c>
      <c r="F47" s="293" t="s">
        <v>185</v>
      </c>
      <c r="G47" s="293">
        <v>3720</v>
      </c>
      <c r="H47" s="293">
        <v>3815</v>
      </c>
      <c r="I47" s="157" t="s">
        <v>129</v>
      </c>
      <c r="J47" s="157" t="s">
        <v>79</v>
      </c>
      <c r="K47" s="157" t="s">
        <v>186</v>
      </c>
      <c r="L47" s="157" t="s">
        <v>137</v>
      </c>
    </row>
    <row r="48" spans="1:12" ht="15.75" x14ac:dyDescent="0.25">
      <c r="A48" s="293" t="s">
        <v>20</v>
      </c>
      <c r="B48" s="293" t="s">
        <v>26</v>
      </c>
      <c r="C48" s="293" t="s">
        <v>109</v>
      </c>
      <c r="D48" s="664" t="s">
        <v>188</v>
      </c>
      <c r="E48" s="640">
        <v>38.6</v>
      </c>
      <c r="F48" s="293" t="s">
        <v>185</v>
      </c>
      <c r="G48" s="293">
        <v>3720</v>
      </c>
      <c r="H48" s="293">
        <v>3815</v>
      </c>
      <c r="I48" s="157" t="s">
        <v>129</v>
      </c>
      <c r="J48" s="157" t="s">
        <v>79</v>
      </c>
      <c r="K48" s="157" t="s">
        <v>186</v>
      </c>
      <c r="L48" s="157" t="s">
        <v>137</v>
      </c>
    </row>
    <row r="49" spans="1:12" ht="15.75" x14ac:dyDescent="0.25">
      <c r="A49" s="293" t="s">
        <v>20</v>
      </c>
      <c r="B49" s="293" t="s">
        <v>26</v>
      </c>
      <c r="C49" s="293" t="s">
        <v>109</v>
      </c>
      <c r="D49" s="664" t="s">
        <v>58</v>
      </c>
      <c r="E49" s="640">
        <v>65.400000000000006</v>
      </c>
      <c r="F49" s="293" t="s">
        <v>185</v>
      </c>
      <c r="G49" s="293">
        <v>3720</v>
      </c>
      <c r="H49" s="293">
        <v>3815</v>
      </c>
      <c r="I49" s="157" t="s">
        <v>129</v>
      </c>
      <c r="J49" s="157" t="s">
        <v>79</v>
      </c>
      <c r="K49" s="157" t="s">
        <v>186</v>
      </c>
      <c r="L49" s="157" t="s">
        <v>137</v>
      </c>
    </row>
    <row r="50" spans="1:12" ht="15.75" x14ac:dyDescent="0.25">
      <c r="A50" s="293" t="s">
        <v>20</v>
      </c>
      <c r="B50" s="293" t="s">
        <v>26</v>
      </c>
      <c r="C50" s="293" t="s">
        <v>105</v>
      </c>
      <c r="D50" s="157" t="s">
        <v>189</v>
      </c>
      <c r="E50" s="297">
        <v>128.4</v>
      </c>
      <c r="F50" s="293" t="s">
        <v>190</v>
      </c>
      <c r="G50" s="293">
        <v>3720</v>
      </c>
      <c r="H50" s="293">
        <v>3815</v>
      </c>
      <c r="I50" s="157" t="s">
        <v>129</v>
      </c>
      <c r="J50" s="157" t="s">
        <v>79</v>
      </c>
      <c r="K50" s="157" t="s">
        <v>191</v>
      </c>
      <c r="L50" s="157" t="s">
        <v>144</v>
      </c>
    </row>
    <row r="51" spans="1:12" ht="15.75" x14ac:dyDescent="0.25">
      <c r="A51" s="293" t="s">
        <v>20</v>
      </c>
      <c r="B51" s="293" t="s">
        <v>26</v>
      </c>
      <c r="C51" s="293" t="s">
        <v>109</v>
      </c>
      <c r="D51" s="664" t="s">
        <v>192</v>
      </c>
      <c r="E51" s="640">
        <v>64.2</v>
      </c>
      <c r="F51" s="293" t="s">
        <v>190</v>
      </c>
      <c r="G51" s="293">
        <v>3720</v>
      </c>
      <c r="H51" s="293">
        <v>3815</v>
      </c>
      <c r="I51" s="157" t="s">
        <v>129</v>
      </c>
      <c r="J51" s="157" t="s">
        <v>79</v>
      </c>
      <c r="K51" s="157" t="s">
        <v>191</v>
      </c>
      <c r="L51" s="157" t="s">
        <v>144</v>
      </c>
    </row>
    <row r="52" spans="1:12" ht="15.75" x14ac:dyDescent="0.25">
      <c r="A52" s="293" t="s">
        <v>20</v>
      </c>
      <c r="B52" s="293" t="s">
        <v>26</v>
      </c>
      <c r="C52" s="293" t="s">
        <v>109</v>
      </c>
      <c r="D52" s="664" t="s">
        <v>59</v>
      </c>
      <c r="E52" s="640">
        <v>64.2</v>
      </c>
      <c r="F52" s="293" t="s">
        <v>190</v>
      </c>
      <c r="G52" s="293">
        <v>3720</v>
      </c>
      <c r="H52" s="293">
        <v>3815</v>
      </c>
      <c r="I52" s="157" t="s">
        <v>129</v>
      </c>
      <c r="J52" s="157" t="s">
        <v>79</v>
      </c>
      <c r="K52" s="157" t="s">
        <v>191</v>
      </c>
      <c r="L52" s="157" t="s">
        <v>144</v>
      </c>
    </row>
    <row r="53" spans="1:12" ht="15.75" x14ac:dyDescent="0.25">
      <c r="A53" s="293" t="s">
        <v>20</v>
      </c>
      <c r="B53" s="293" t="s">
        <v>26</v>
      </c>
      <c r="C53" s="293" t="s">
        <v>103</v>
      </c>
      <c r="D53" s="157" t="s">
        <v>193</v>
      </c>
      <c r="E53" s="297">
        <v>107.9</v>
      </c>
      <c r="F53" s="293" t="s">
        <v>194</v>
      </c>
      <c r="G53" s="20"/>
      <c r="H53" s="20"/>
      <c r="I53" s="157" t="s">
        <v>159</v>
      </c>
      <c r="J53" s="157" t="s">
        <v>93</v>
      </c>
      <c r="K53" s="157" t="s">
        <v>195</v>
      </c>
      <c r="L53" s="157" t="s">
        <v>177</v>
      </c>
    </row>
    <row r="54" spans="1:12" ht="15.75" x14ac:dyDescent="0.25">
      <c r="A54" s="293" t="s">
        <v>20</v>
      </c>
      <c r="B54" s="293" t="s">
        <v>26</v>
      </c>
      <c r="C54" s="293" t="s">
        <v>138</v>
      </c>
      <c r="D54" s="157" t="s">
        <v>196</v>
      </c>
      <c r="E54" s="297">
        <v>52.1</v>
      </c>
      <c r="F54" s="293" t="s">
        <v>194</v>
      </c>
      <c r="G54" s="20"/>
      <c r="H54" s="20"/>
      <c r="I54" s="293" t="s">
        <v>108</v>
      </c>
      <c r="J54" s="157" t="s">
        <v>93</v>
      </c>
      <c r="K54" s="157" t="s">
        <v>195</v>
      </c>
      <c r="L54" s="157" t="s">
        <v>177</v>
      </c>
    </row>
    <row r="55" spans="1:12" ht="15.75" x14ac:dyDescent="0.25">
      <c r="A55" s="293" t="s">
        <v>20</v>
      </c>
      <c r="B55" s="293" t="s">
        <v>26</v>
      </c>
      <c r="C55" s="293" t="s">
        <v>105</v>
      </c>
      <c r="D55" s="293" t="s">
        <v>197</v>
      </c>
      <c r="E55" s="297">
        <v>80.3</v>
      </c>
      <c r="F55" s="293"/>
      <c r="G55" s="20"/>
      <c r="H55" s="20"/>
      <c r="I55" s="293"/>
      <c r="J55" s="157"/>
      <c r="K55" s="157"/>
      <c r="L55" s="157"/>
    </row>
    <row r="56" spans="1:12" ht="15.75" x14ac:dyDescent="0.25">
      <c r="A56" s="293" t="s">
        <v>20</v>
      </c>
      <c r="B56" s="293" t="s">
        <v>26</v>
      </c>
      <c r="C56" s="293" t="s">
        <v>109</v>
      </c>
      <c r="D56" s="293" t="s">
        <v>198</v>
      </c>
      <c r="E56" s="297">
        <v>40.9</v>
      </c>
      <c r="F56" s="293"/>
      <c r="G56" s="20"/>
      <c r="H56" s="20"/>
      <c r="I56" s="293"/>
      <c r="J56" s="157"/>
      <c r="K56" s="157"/>
      <c r="L56" s="157"/>
    </row>
    <row r="57" spans="1:12" ht="15.75" x14ac:dyDescent="0.25">
      <c r="A57" s="293" t="s">
        <v>20</v>
      </c>
      <c r="B57" s="293" t="s">
        <v>26</v>
      </c>
      <c r="C57" s="293" t="s">
        <v>109</v>
      </c>
      <c r="D57" s="293" t="s">
        <v>56</v>
      </c>
      <c r="E57" s="297">
        <v>39.4</v>
      </c>
      <c r="F57" s="293"/>
      <c r="G57" s="20"/>
      <c r="H57" s="20"/>
      <c r="I57" s="293"/>
      <c r="J57" s="157"/>
      <c r="K57" s="157"/>
      <c r="L57" s="157"/>
    </row>
    <row r="58" spans="1:12" ht="15.75" x14ac:dyDescent="0.25">
      <c r="A58" s="293" t="s">
        <v>20</v>
      </c>
      <c r="B58" s="293" t="s">
        <v>26</v>
      </c>
      <c r="C58" s="293" t="s">
        <v>105</v>
      </c>
      <c r="D58" s="157" t="s">
        <v>199</v>
      </c>
      <c r="E58" s="297">
        <v>150</v>
      </c>
      <c r="F58" s="293"/>
      <c r="G58" s="20"/>
      <c r="H58" s="20"/>
      <c r="I58" s="293" t="s">
        <v>108</v>
      </c>
      <c r="J58" s="157" t="s">
        <v>93</v>
      </c>
      <c r="K58" s="157" t="s">
        <v>195</v>
      </c>
      <c r="L58" s="157" t="s">
        <v>177</v>
      </c>
    </row>
    <row r="59" spans="1:12" ht="15.75" x14ac:dyDescent="0.25">
      <c r="A59" s="638" t="s">
        <v>20</v>
      </c>
      <c r="B59" s="157" t="s">
        <v>26</v>
      </c>
      <c r="C59" s="157" t="s">
        <v>109</v>
      </c>
      <c r="D59" s="664" t="s">
        <v>200</v>
      </c>
      <c r="E59" s="639">
        <v>78</v>
      </c>
      <c r="F59" s="293" t="s">
        <v>201</v>
      </c>
      <c r="G59" s="20"/>
      <c r="H59" s="20"/>
      <c r="I59" s="157" t="s">
        <v>159</v>
      </c>
      <c r="J59" s="157" t="s">
        <v>93</v>
      </c>
      <c r="K59" s="157" t="s">
        <v>202</v>
      </c>
      <c r="L59" s="157" t="s">
        <v>137</v>
      </c>
    </row>
    <row r="60" spans="1:12" ht="15.75" x14ac:dyDescent="0.25">
      <c r="A60" s="638" t="s">
        <v>20</v>
      </c>
      <c r="B60" s="157" t="s">
        <v>26</v>
      </c>
      <c r="C60" s="157" t="s">
        <v>109</v>
      </c>
      <c r="D60" s="664" t="s">
        <v>57</v>
      </c>
      <c r="E60" s="639">
        <v>72</v>
      </c>
      <c r="F60" s="293" t="s">
        <v>201</v>
      </c>
      <c r="G60" s="20"/>
      <c r="H60" s="20"/>
      <c r="I60" s="157" t="s">
        <v>159</v>
      </c>
      <c r="J60" s="157" t="s">
        <v>93</v>
      </c>
      <c r="K60" s="157" t="s">
        <v>202</v>
      </c>
      <c r="L60" s="157" t="s">
        <v>137</v>
      </c>
    </row>
    <row r="61" spans="1:12" ht="15.75" x14ac:dyDescent="0.25">
      <c r="A61" s="293" t="s">
        <v>20</v>
      </c>
      <c r="B61" s="157" t="s">
        <v>26</v>
      </c>
      <c r="C61" s="157" t="s">
        <v>105</v>
      </c>
      <c r="D61" s="157" t="s">
        <v>203</v>
      </c>
      <c r="E61" s="639">
        <v>80</v>
      </c>
      <c r="F61" s="293"/>
      <c r="G61" s="20"/>
      <c r="H61" s="20"/>
      <c r="I61" s="157" t="s">
        <v>159</v>
      </c>
      <c r="J61" s="157" t="s">
        <v>93</v>
      </c>
      <c r="K61" s="157" t="s">
        <v>202</v>
      </c>
      <c r="L61" s="157" t="s">
        <v>137</v>
      </c>
    </row>
    <row r="62" spans="1:12" ht="15.75" x14ac:dyDescent="0.25">
      <c r="A62" s="638" t="s">
        <v>20</v>
      </c>
      <c r="B62" s="157" t="s">
        <v>26</v>
      </c>
      <c r="C62" s="157" t="s">
        <v>109</v>
      </c>
      <c r="D62" s="664" t="s">
        <v>204</v>
      </c>
      <c r="E62" s="639">
        <v>40.9</v>
      </c>
      <c r="F62" s="293" t="s">
        <v>205</v>
      </c>
      <c r="G62" s="20"/>
      <c r="H62" s="20"/>
      <c r="I62" s="157" t="s">
        <v>159</v>
      </c>
      <c r="J62" s="157" t="s">
        <v>93</v>
      </c>
      <c r="K62" s="157" t="s">
        <v>206</v>
      </c>
      <c r="L62" s="157" t="s">
        <v>144</v>
      </c>
    </row>
    <row r="63" spans="1:12" ht="15.75" x14ac:dyDescent="0.25">
      <c r="A63" s="638" t="s">
        <v>20</v>
      </c>
      <c r="B63" s="157" t="s">
        <v>26</v>
      </c>
      <c r="C63" s="157" t="s">
        <v>109</v>
      </c>
      <c r="D63" s="664" t="s">
        <v>207</v>
      </c>
      <c r="E63" s="639">
        <v>39.1</v>
      </c>
      <c r="F63" s="293" t="s">
        <v>205</v>
      </c>
      <c r="G63" s="20"/>
      <c r="H63" s="20"/>
      <c r="I63" s="157" t="s">
        <v>159</v>
      </c>
      <c r="J63" s="157" t="s">
        <v>93</v>
      </c>
      <c r="K63" s="157" t="s">
        <v>206</v>
      </c>
      <c r="L63" s="157" t="s">
        <v>144</v>
      </c>
    </row>
    <row r="64" spans="1:12" ht="15.75" x14ac:dyDescent="0.25">
      <c r="A64" s="293" t="s">
        <v>20</v>
      </c>
      <c r="B64" s="157" t="s">
        <v>26</v>
      </c>
      <c r="C64" s="157" t="s">
        <v>133</v>
      </c>
      <c r="D64" s="157" t="s">
        <v>208</v>
      </c>
      <c r="E64" s="639">
        <v>8</v>
      </c>
      <c r="F64" s="293" t="s">
        <v>201</v>
      </c>
      <c r="G64" s="20"/>
      <c r="H64" s="20"/>
      <c r="I64" s="293" t="s">
        <v>102</v>
      </c>
      <c r="J64" s="157" t="s">
        <v>93</v>
      </c>
      <c r="K64" s="157" t="s">
        <v>202</v>
      </c>
      <c r="L64" s="157" t="s">
        <v>137</v>
      </c>
    </row>
    <row r="65" spans="1:13" ht="15.75" x14ac:dyDescent="0.25">
      <c r="A65" s="293" t="s">
        <v>20</v>
      </c>
      <c r="B65" s="293" t="s">
        <v>26</v>
      </c>
      <c r="C65" s="293" t="s">
        <v>112</v>
      </c>
      <c r="D65" s="293" t="s">
        <v>209</v>
      </c>
      <c r="E65" s="297">
        <v>6.38</v>
      </c>
      <c r="F65" s="293" t="s">
        <v>175</v>
      </c>
      <c r="G65" s="293">
        <v>4210</v>
      </c>
      <c r="H65" s="293">
        <v>4045</v>
      </c>
      <c r="I65" s="293" t="s">
        <v>210</v>
      </c>
      <c r="J65" s="157" t="s">
        <v>76</v>
      </c>
      <c r="K65" s="157" t="s">
        <v>176</v>
      </c>
      <c r="L65" s="157" t="s">
        <v>177</v>
      </c>
    </row>
    <row r="66" spans="1:13" ht="15.75" x14ac:dyDescent="0.25">
      <c r="A66" s="293" t="s">
        <v>20</v>
      </c>
      <c r="B66" s="293" t="s">
        <v>28</v>
      </c>
      <c r="C66" s="293" t="s">
        <v>105</v>
      </c>
      <c r="D66" s="293" t="s">
        <v>211</v>
      </c>
      <c r="E66" s="297">
        <v>158.4</v>
      </c>
      <c r="F66" s="293" t="s">
        <v>212</v>
      </c>
      <c r="G66" s="293">
        <v>4063</v>
      </c>
      <c r="H66" s="293">
        <v>4015</v>
      </c>
      <c r="I66" s="293" t="s">
        <v>129</v>
      </c>
      <c r="J66" s="157" t="s">
        <v>79</v>
      </c>
      <c r="K66" s="157" t="s">
        <v>213</v>
      </c>
      <c r="L66" s="157" t="s">
        <v>137</v>
      </c>
    </row>
    <row r="67" spans="1:13" ht="15.75" x14ac:dyDescent="0.25">
      <c r="A67" s="293" t="s">
        <v>20</v>
      </c>
      <c r="B67" s="293" t="s">
        <v>28</v>
      </c>
      <c r="C67" s="293" t="s">
        <v>109</v>
      </c>
      <c r="D67" s="636" t="s">
        <v>214</v>
      </c>
      <c r="E67" s="297">
        <v>79.2</v>
      </c>
      <c r="F67" s="293" t="s">
        <v>212</v>
      </c>
      <c r="G67" s="293">
        <v>4063</v>
      </c>
      <c r="H67" s="293">
        <v>4015</v>
      </c>
      <c r="I67" s="293" t="s">
        <v>129</v>
      </c>
      <c r="J67" s="157" t="s">
        <v>79</v>
      </c>
      <c r="K67" s="157" t="s">
        <v>213</v>
      </c>
      <c r="L67" s="157" t="s">
        <v>137</v>
      </c>
    </row>
    <row r="68" spans="1:13" ht="15.75" x14ac:dyDescent="0.25">
      <c r="A68" s="293" t="s">
        <v>20</v>
      </c>
      <c r="B68" s="293" t="s">
        <v>28</v>
      </c>
      <c r="C68" s="293" t="s">
        <v>109</v>
      </c>
      <c r="D68" s="636" t="s">
        <v>29</v>
      </c>
      <c r="E68" s="297">
        <v>79.2</v>
      </c>
      <c r="F68" s="293" t="s">
        <v>212</v>
      </c>
      <c r="G68" s="293">
        <v>4063</v>
      </c>
      <c r="H68" s="293">
        <v>4015</v>
      </c>
      <c r="I68" s="293" t="s">
        <v>129</v>
      </c>
      <c r="J68" s="157" t="s">
        <v>79</v>
      </c>
      <c r="K68" s="157" t="s">
        <v>213</v>
      </c>
      <c r="L68" s="157" t="s">
        <v>137</v>
      </c>
    </row>
    <row r="69" spans="1:13" ht="15.75" x14ac:dyDescent="0.25">
      <c r="A69" s="293" t="s">
        <v>20</v>
      </c>
      <c r="B69" s="293" t="s">
        <v>28</v>
      </c>
      <c r="C69" s="293" t="s">
        <v>105</v>
      </c>
      <c r="D69" s="293" t="s">
        <v>215</v>
      </c>
      <c r="E69" s="297">
        <v>158.71</v>
      </c>
      <c r="F69" s="293" t="s">
        <v>216</v>
      </c>
      <c r="G69" s="293">
        <v>50</v>
      </c>
      <c r="H69" s="293">
        <v>1339</v>
      </c>
      <c r="I69" s="293" t="s">
        <v>129</v>
      </c>
      <c r="J69" s="157" t="s">
        <v>79</v>
      </c>
      <c r="K69" s="157" t="s">
        <v>217</v>
      </c>
      <c r="L69" s="157" t="s">
        <v>131</v>
      </c>
    </row>
    <row r="70" spans="1:13" ht="15.75" x14ac:dyDescent="0.25">
      <c r="A70" s="293" t="s">
        <v>20</v>
      </c>
      <c r="B70" s="293" t="s">
        <v>28</v>
      </c>
      <c r="C70" s="293" t="s">
        <v>109</v>
      </c>
      <c r="D70" s="635" t="s">
        <v>218</v>
      </c>
      <c r="E70" s="297">
        <v>79.3</v>
      </c>
      <c r="F70" s="293" t="s">
        <v>216</v>
      </c>
      <c r="G70" s="293">
        <v>50</v>
      </c>
      <c r="H70" s="293">
        <v>1339</v>
      </c>
      <c r="I70" s="293" t="s">
        <v>129</v>
      </c>
      <c r="J70" s="157" t="s">
        <v>79</v>
      </c>
      <c r="K70" s="157" t="s">
        <v>217</v>
      </c>
      <c r="L70" s="157" t="s">
        <v>131</v>
      </c>
    </row>
    <row r="71" spans="1:13" ht="15.75" x14ac:dyDescent="0.25">
      <c r="A71" s="293" t="s">
        <v>20</v>
      </c>
      <c r="B71" s="293" t="s">
        <v>28</v>
      </c>
      <c r="C71" s="293" t="s">
        <v>109</v>
      </c>
      <c r="D71" s="635" t="s">
        <v>219</v>
      </c>
      <c r="E71" s="297">
        <v>79.400000000000006</v>
      </c>
      <c r="F71" s="293" t="s">
        <v>216</v>
      </c>
      <c r="G71" s="293">
        <v>50</v>
      </c>
      <c r="H71" s="293">
        <v>1339</v>
      </c>
      <c r="I71" s="293" t="s">
        <v>129</v>
      </c>
      <c r="J71" s="157" t="s">
        <v>79</v>
      </c>
      <c r="K71" s="157" t="s">
        <v>217</v>
      </c>
      <c r="L71" s="157" t="s">
        <v>131</v>
      </c>
    </row>
    <row r="72" spans="1:13" ht="15.75" x14ac:dyDescent="0.25">
      <c r="A72" s="293" t="s">
        <v>20</v>
      </c>
      <c r="B72" s="293" t="s">
        <v>75</v>
      </c>
      <c r="C72" s="293" t="s">
        <v>105</v>
      </c>
      <c r="D72" s="293" t="s">
        <v>30</v>
      </c>
      <c r="E72" s="297">
        <v>101.9</v>
      </c>
      <c r="F72" s="297" t="s">
        <v>220</v>
      </c>
      <c r="G72" s="293">
        <v>4112</v>
      </c>
      <c r="H72" s="293">
        <v>4044</v>
      </c>
      <c r="I72" s="157" t="s">
        <v>129</v>
      </c>
      <c r="J72" s="157" t="s">
        <v>76</v>
      </c>
      <c r="K72" s="157" t="s">
        <v>221</v>
      </c>
      <c r="L72" s="157" t="s">
        <v>177</v>
      </c>
    </row>
    <row r="73" spans="1:13" ht="15.75" x14ac:dyDescent="0.25">
      <c r="A73" s="293" t="s">
        <v>20</v>
      </c>
      <c r="B73" s="293" t="s">
        <v>28</v>
      </c>
      <c r="C73" s="293" t="s">
        <v>109</v>
      </c>
      <c r="D73" s="636" t="s">
        <v>222</v>
      </c>
      <c r="E73" s="297">
        <f>$E$72/2</f>
        <v>50.95</v>
      </c>
      <c r="F73" s="297" t="s">
        <v>220</v>
      </c>
      <c r="G73" s="293">
        <v>4112</v>
      </c>
      <c r="H73" s="293">
        <v>4044</v>
      </c>
      <c r="I73" s="157" t="s">
        <v>129</v>
      </c>
      <c r="J73" s="157" t="s">
        <v>76</v>
      </c>
      <c r="K73" s="157" t="s">
        <v>221</v>
      </c>
      <c r="L73" s="157" t="s">
        <v>177</v>
      </c>
    </row>
    <row r="74" spans="1:13" ht="15.75" x14ac:dyDescent="0.25">
      <c r="A74" s="293" t="s">
        <v>20</v>
      </c>
      <c r="B74" s="293" t="s">
        <v>28</v>
      </c>
      <c r="C74" s="293" t="s">
        <v>109</v>
      </c>
      <c r="D74" s="636" t="s">
        <v>223</v>
      </c>
      <c r="E74" s="297">
        <f>$E$72/2</f>
        <v>50.95</v>
      </c>
      <c r="F74" s="297" t="s">
        <v>220</v>
      </c>
      <c r="G74" s="293">
        <v>4112</v>
      </c>
      <c r="H74" s="293">
        <v>4044</v>
      </c>
      <c r="I74" s="293" t="s">
        <v>129</v>
      </c>
      <c r="J74" s="157" t="s">
        <v>76</v>
      </c>
      <c r="K74" s="157" t="s">
        <v>221</v>
      </c>
      <c r="L74" s="157" t="s">
        <v>177</v>
      </c>
    </row>
    <row r="75" spans="1:13" ht="15.75" x14ac:dyDescent="0.25">
      <c r="A75" s="293" t="s">
        <v>20</v>
      </c>
      <c r="B75" s="293" t="s">
        <v>28</v>
      </c>
      <c r="C75" s="293" t="s">
        <v>105</v>
      </c>
      <c r="D75" s="293" t="s">
        <v>31</v>
      </c>
      <c r="E75" s="297">
        <v>157.5</v>
      </c>
      <c r="F75" s="297" t="s">
        <v>224</v>
      </c>
      <c r="G75" s="293">
        <v>4062</v>
      </c>
      <c r="H75" s="293">
        <v>4014</v>
      </c>
      <c r="I75" s="157" t="s">
        <v>129</v>
      </c>
      <c r="J75" s="157" t="s">
        <v>76</v>
      </c>
      <c r="K75" s="157" t="s">
        <v>221</v>
      </c>
      <c r="L75" s="157" t="s">
        <v>131</v>
      </c>
    </row>
    <row r="76" spans="1:13" ht="15.75" x14ac:dyDescent="0.25">
      <c r="A76" s="293" t="s">
        <v>20</v>
      </c>
      <c r="B76" s="293" t="s">
        <v>28</v>
      </c>
      <c r="C76" s="293" t="s">
        <v>109</v>
      </c>
      <c r="D76" s="637" t="s">
        <v>225</v>
      </c>
      <c r="E76" s="297">
        <v>78.7</v>
      </c>
      <c r="F76" s="297" t="s">
        <v>224</v>
      </c>
      <c r="G76" s="293">
        <v>4062</v>
      </c>
      <c r="H76" s="293">
        <v>4014</v>
      </c>
      <c r="I76" s="157" t="s">
        <v>129</v>
      </c>
      <c r="J76" s="157" t="s">
        <v>76</v>
      </c>
      <c r="K76" s="157" t="s">
        <v>221</v>
      </c>
      <c r="L76" s="157" t="s">
        <v>131</v>
      </c>
    </row>
    <row r="77" spans="1:13" ht="15.75" x14ac:dyDescent="0.25">
      <c r="A77" s="293" t="s">
        <v>20</v>
      </c>
      <c r="B77" s="293" t="s">
        <v>28</v>
      </c>
      <c r="C77" s="293" t="s">
        <v>109</v>
      </c>
      <c r="D77" s="637" t="s">
        <v>226</v>
      </c>
      <c r="E77" s="297">
        <v>78</v>
      </c>
      <c r="F77" s="297" t="s">
        <v>224</v>
      </c>
      <c r="G77" s="293">
        <v>4062</v>
      </c>
      <c r="H77" s="293">
        <v>4014</v>
      </c>
      <c r="I77" s="157" t="s">
        <v>129</v>
      </c>
      <c r="J77" s="157" t="s">
        <v>76</v>
      </c>
      <c r="K77" s="157" t="s">
        <v>221</v>
      </c>
      <c r="L77" s="157" t="s">
        <v>131</v>
      </c>
    </row>
    <row r="78" spans="1:13" ht="15.75" x14ac:dyDescent="0.25">
      <c r="A78" s="293" t="s">
        <v>20</v>
      </c>
      <c r="B78" s="293" t="s">
        <v>21</v>
      </c>
      <c r="C78" s="293" t="s">
        <v>133</v>
      </c>
      <c r="D78" s="293" t="s">
        <v>227</v>
      </c>
      <c r="E78" s="297">
        <v>8</v>
      </c>
      <c r="F78" s="293" t="s">
        <v>228</v>
      </c>
      <c r="G78" s="293">
        <v>2522</v>
      </c>
      <c r="H78" s="293">
        <v>1534</v>
      </c>
      <c r="I78" s="157" t="s">
        <v>102</v>
      </c>
      <c r="J78" s="157" t="s">
        <v>79</v>
      </c>
      <c r="K78" s="157" t="s">
        <v>229</v>
      </c>
      <c r="L78" s="157" t="s">
        <v>131</v>
      </c>
    </row>
    <row r="79" spans="1:13" ht="15.75" x14ac:dyDescent="0.25">
      <c r="A79" s="293" t="s">
        <v>20</v>
      </c>
      <c r="B79" s="293" t="s">
        <v>32</v>
      </c>
      <c r="C79" s="293" t="s">
        <v>138</v>
      </c>
      <c r="D79" s="157" t="s">
        <v>230</v>
      </c>
      <c r="E79" s="297">
        <v>136.35</v>
      </c>
      <c r="F79" s="293" t="s">
        <v>228</v>
      </c>
      <c r="G79" s="293">
        <v>2522</v>
      </c>
      <c r="H79" s="293">
        <v>1534</v>
      </c>
      <c r="I79" s="157" t="s">
        <v>108</v>
      </c>
      <c r="J79" s="157" t="s">
        <v>79</v>
      </c>
      <c r="K79" s="157" t="s">
        <v>229</v>
      </c>
      <c r="L79" s="157" t="s">
        <v>131</v>
      </c>
      <c r="M79">
        <v>159.69999999999999</v>
      </c>
    </row>
    <row r="80" spans="1:13" ht="15.75" x14ac:dyDescent="0.25">
      <c r="A80" s="293" t="s">
        <v>20</v>
      </c>
      <c r="B80" s="293" t="s">
        <v>32</v>
      </c>
      <c r="C80" s="293" t="s">
        <v>105</v>
      </c>
      <c r="D80" s="157" t="s">
        <v>231</v>
      </c>
      <c r="E80" s="297">
        <v>156.78</v>
      </c>
      <c r="F80" s="293" t="s">
        <v>232</v>
      </c>
      <c r="G80" s="293">
        <v>2522</v>
      </c>
      <c r="H80" s="293">
        <v>1521</v>
      </c>
      <c r="I80" s="157" t="s">
        <v>233</v>
      </c>
      <c r="J80" s="157" t="s">
        <v>79</v>
      </c>
      <c r="K80" s="157" t="s">
        <v>234</v>
      </c>
      <c r="L80" s="157" t="s">
        <v>131</v>
      </c>
      <c r="M80">
        <f>M79/2</f>
        <v>79.849999999999994</v>
      </c>
    </row>
    <row r="81" spans="1:12" ht="15.75" x14ac:dyDescent="0.25">
      <c r="A81" s="293" t="s">
        <v>20</v>
      </c>
      <c r="B81" s="293" t="s">
        <v>32</v>
      </c>
      <c r="C81" s="293" t="s">
        <v>109</v>
      </c>
      <c r="D81" s="664" t="s">
        <v>235</v>
      </c>
      <c r="E81" s="297">
        <v>78.400000000000006</v>
      </c>
      <c r="F81" s="293" t="s">
        <v>232</v>
      </c>
      <c r="G81" s="293">
        <v>2522</v>
      </c>
      <c r="H81" s="293">
        <v>1521</v>
      </c>
      <c r="I81" s="157" t="s">
        <v>233</v>
      </c>
      <c r="J81" s="157" t="s">
        <v>79</v>
      </c>
      <c r="K81" s="157" t="s">
        <v>234</v>
      </c>
      <c r="L81" s="157" t="s">
        <v>131</v>
      </c>
    </row>
    <row r="82" spans="1:12" ht="15.75" x14ac:dyDescent="0.25">
      <c r="A82" s="293" t="s">
        <v>20</v>
      </c>
      <c r="B82" s="293" t="s">
        <v>32</v>
      </c>
      <c r="C82" s="293" t="s">
        <v>109</v>
      </c>
      <c r="D82" s="664" t="s">
        <v>236</v>
      </c>
      <c r="E82" s="297">
        <v>78.400000000000006</v>
      </c>
      <c r="F82" s="293" t="s">
        <v>232</v>
      </c>
      <c r="G82" s="293">
        <v>2522</v>
      </c>
      <c r="H82" s="293">
        <v>1521</v>
      </c>
      <c r="I82" s="157" t="s">
        <v>233</v>
      </c>
      <c r="J82" s="157" t="s">
        <v>79</v>
      </c>
      <c r="K82" s="157" t="s">
        <v>234</v>
      </c>
      <c r="L82" s="157" t="s">
        <v>131</v>
      </c>
    </row>
    <row r="83" spans="1:12" ht="15.75" x14ac:dyDescent="0.25">
      <c r="A83" s="293" t="s">
        <v>20</v>
      </c>
      <c r="B83" s="293" t="s">
        <v>32</v>
      </c>
      <c r="C83" s="293" t="s">
        <v>105</v>
      </c>
      <c r="D83" s="157" t="s">
        <v>237</v>
      </c>
      <c r="E83" s="297">
        <v>158.16999999999999</v>
      </c>
      <c r="F83" s="293" t="s">
        <v>238</v>
      </c>
      <c r="G83" s="293">
        <v>2522</v>
      </c>
      <c r="H83" s="293">
        <v>3251</v>
      </c>
      <c r="I83" s="157" t="s">
        <v>233</v>
      </c>
      <c r="J83" s="157" t="s">
        <v>79</v>
      </c>
      <c r="K83" s="157" t="s">
        <v>234</v>
      </c>
      <c r="L83" s="157" t="s">
        <v>177</v>
      </c>
    </row>
    <row r="84" spans="1:12" ht="15.75" x14ac:dyDescent="0.25">
      <c r="A84" s="293" t="s">
        <v>20</v>
      </c>
      <c r="B84" s="293" t="s">
        <v>32</v>
      </c>
      <c r="C84" s="293" t="s">
        <v>109</v>
      </c>
      <c r="D84" s="664" t="s">
        <v>239</v>
      </c>
      <c r="E84" s="297">
        <v>79.099999999999994</v>
      </c>
      <c r="F84" s="293" t="s">
        <v>238</v>
      </c>
      <c r="G84" s="293">
        <v>2522</v>
      </c>
      <c r="H84" s="293">
        <v>3251</v>
      </c>
      <c r="I84" s="157" t="s">
        <v>233</v>
      </c>
      <c r="J84" s="157" t="s">
        <v>79</v>
      </c>
      <c r="K84" s="157" t="s">
        <v>234</v>
      </c>
      <c r="L84" s="157" t="s">
        <v>177</v>
      </c>
    </row>
    <row r="85" spans="1:12" ht="15.75" x14ac:dyDescent="0.25">
      <c r="A85" s="293" t="s">
        <v>20</v>
      </c>
      <c r="B85" s="293" t="s">
        <v>32</v>
      </c>
      <c r="C85" s="293" t="s">
        <v>109</v>
      </c>
      <c r="D85" s="664" t="s">
        <v>240</v>
      </c>
      <c r="E85" s="297">
        <v>79.099999999999994</v>
      </c>
      <c r="F85" s="293" t="s">
        <v>238</v>
      </c>
      <c r="G85" s="293">
        <v>2522</v>
      </c>
      <c r="H85" s="293">
        <v>3251</v>
      </c>
      <c r="I85" s="157" t="s">
        <v>233</v>
      </c>
      <c r="J85" s="157" t="s">
        <v>79</v>
      </c>
      <c r="K85" s="157" t="s">
        <v>234</v>
      </c>
      <c r="L85" s="157" t="s">
        <v>177</v>
      </c>
    </row>
    <row r="86" spans="1:12" ht="15.75" x14ac:dyDescent="0.25">
      <c r="A86" s="293" t="s">
        <v>20</v>
      </c>
      <c r="B86" s="293" t="s">
        <v>32</v>
      </c>
      <c r="C86" s="293" t="s">
        <v>105</v>
      </c>
      <c r="D86" s="157" t="s">
        <v>94</v>
      </c>
      <c r="E86" s="297">
        <v>158.18</v>
      </c>
      <c r="F86" s="293" t="s">
        <v>241</v>
      </c>
      <c r="G86" s="293">
        <v>2522</v>
      </c>
      <c r="H86" s="293">
        <v>3251</v>
      </c>
      <c r="I86" s="157" t="s">
        <v>233</v>
      </c>
      <c r="J86" s="157" t="s">
        <v>79</v>
      </c>
      <c r="K86" s="157" t="s">
        <v>242</v>
      </c>
      <c r="L86" s="157" t="s">
        <v>137</v>
      </c>
    </row>
    <row r="87" spans="1:12" ht="15.75" x14ac:dyDescent="0.25">
      <c r="A87" s="293" t="s">
        <v>20</v>
      </c>
      <c r="B87" s="293" t="s">
        <v>32</v>
      </c>
      <c r="C87" s="293" t="s">
        <v>109</v>
      </c>
      <c r="D87" s="664" t="s">
        <v>33</v>
      </c>
      <c r="E87" s="297">
        <v>79.099999999999994</v>
      </c>
      <c r="F87" s="293" t="s">
        <v>241</v>
      </c>
      <c r="G87" s="293">
        <v>2522</v>
      </c>
      <c r="H87" s="293">
        <v>3251</v>
      </c>
      <c r="I87" s="157" t="s">
        <v>233</v>
      </c>
      <c r="J87" s="157" t="s">
        <v>79</v>
      </c>
      <c r="K87" s="157" t="s">
        <v>242</v>
      </c>
      <c r="L87" s="157" t="s">
        <v>137</v>
      </c>
    </row>
    <row r="88" spans="1:12" ht="15.75" x14ac:dyDescent="0.25">
      <c r="A88" s="293" t="s">
        <v>20</v>
      </c>
      <c r="B88" s="293" t="s">
        <v>32</v>
      </c>
      <c r="C88" s="293" t="s">
        <v>109</v>
      </c>
      <c r="D88" s="664" t="s">
        <v>243</v>
      </c>
      <c r="E88" s="297">
        <v>79.099999999999994</v>
      </c>
      <c r="F88" s="293" t="s">
        <v>241</v>
      </c>
      <c r="G88" s="293">
        <v>2522</v>
      </c>
      <c r="H88" s="293">
        <v>3251</v>
      </c>
      <c r="I88" s="157" t="s">
        <v>233</v>
      </c>
      <c r="J88" s="157" t="s">
        <v>79</v>
      </c>
      <c r="K88" s="157" t="s">
        <v>242</v>
      </c>
      <c r="L88" s="157" t="s">
        <v>137</v>
      </c>
    </row>
    <row r="89" spans="1:12" ht="15.75" x14ac:dyDescent="0.25">
      <c r="A89" s="293" t="s">
        <v>20</v>
      </c>
      <c r="B89" s="293" t="s">
        <v>32</v>
      </c>
      <c r="C89" s="293" t="s">
        <v>105</v>
      </c>
      <c r="D89" s="157" t="s">
        <v>244</v>
      </c>
      <c r="E89" s="297">
        <v>154.85</v>
      </c>
      <c r="F89" s="293" t="s">
        <v>245</v>
      </c>
      <c r="G89" s="293">
        <v>2522</v>
      </c>
      <c r="H89" s="293">
        <v>1626</v>
      </c>
      <c r="I89" s="157" t="s">
        <v>233</v>
      </c>
      <c r="J89" s="157" t="s">
        <v>79</v>
      </c>
      <c r="K89" s="157" t="s">
        <v>246</v>
      </c>
      <c r="L89" s="157" t="s">
        <v>131</v>
      </c>
    </row>
    <row r="90" spans="1:12" ht="15.75" x14ac:dyDescent="0.25">
      <c r="A90" s="293" t="s">
        <v>20</v>
      </c>
      <c r="B90" s="293" t="s">
        <v>32</v>
      </c>
      <c r="C90" s="293" t="s">
        <v>109</v>
      </c>
      <c r="D90" s="664" t="s">
        <v>34</v>
      </c>
      <c r="E90" s="297">
        <v>77.400000000000006</v>
      </c>
      <c r="F90" s="293" t="s">
        <v>245</v>
      </c>
      <c r="G90" s="293">
        <v>2522</v>
      </c>
      <c r="H90" s="293">
        <v>1626</v>
      </c>
      <c r="I90" s="157" t="s">
        <v>233</v>
      </c>
      <c r="J90" s="157" t="s">
        <v>79</v>
      </c>
      <c r="K90" s="157" t="s">
        <v>246</v>
      </c>
      <c r="L90" s="157" t="s">
        <v>131</v>
      </c>
    </row>
    <row r="91" spans="1:12" ht="15.75" x14ac:dyDescent="0.25">
      <c r="A91" s="293" t="s">
        <v>20</v>
      </c>
      <c r="B91" s="293" t="s">
        <v>32</v>
      </c>
      <c r="C91" s="293" t="s">
        <v>109</v>
      </c>
      <c r="D91" s="664" t="s">
        <v>247</v>
      </c>
      <c r="E91" s="297">
        <v>77.5</v>
      </c>
      <c r="F91" s="293" t="s">
        <v>245</v>
      </c>
      <c r="G91" s="293">
        <v>2522</v>
      </c>
      <c r="H91" s="293">
        <v>1626</v>
      </c>
      <c r="I91" s="293" t="s">
        <v>233</v>
      </c>
      <c r="J91" s="157" t="s">
        <v>79</v>
      </c>
      <c r="K91" s="157" t="s">
        <v>246</v>
      </c>
      <c r="L91" s="157" t="s">
        <v>131</v>
      </c>
    </row>
    <row r="92" spans="1:12" ht="15.75" x14ac:dyDescent="0.25">
      <c r="A92" s="293" t="s">
        <v>20</v>
      </c>
      <c r="B92" s="293" t="s">
        <v>32</v>
      </c>
      <c r="C92" s="293" t="s">
        <v>103</v>
      </c>
      <c r="D92" s="157" t="s">
        <v>96</v>
      </c>
      <c r="E92" s="297">
        <v>117.25</v>
      </c>
      <c r="F92" s="293" t="s">
        <v>248</v>
      </c>
      <c r="G92" s="293">
        <v>2522</v>
      </c>
      <c r="H92" s="293">
        <v>1586</v>
      </c>
      <c r="I92" s="293" t="s">
        <v>233</v>
      </c>
      <c r="J92" s="157" t="s">
        <v>79</v>
      </c>
      <c r="K92" s="157" t="s">
        <v>249</v>
      </c>
      <c r="L92" s="157" t="s">
        <v>137</v>
      </c>
    </row>
    <row r="93" spans="1:12" ht="15.75" x14ac:dyDescent="0.25">
      <c r="A93" s="293" t="s">
        <v>20</v>
      </c>
      <c r="B93" s="293" t="s">
        <v>32</v>
      </c>
      <c r="C93" s="293" t="s">
        <v>103</v>
      </c>
      <c r="D93" s="157" t="s">
        <v>250</v>
      </c>
      <c r="E93" s="297">
        <v>68.260000000000005</v>
      </c>
      <c r="F93" s="293" t="s">
        <v>228</v>
      </c>
      <c r="G93" s="293">
        <v>2522</v>
      </c>
      <c r="H93" s="293">
        <v>1534</v>
      </c>
      <c r="I93" s="293" t="s">
        <v>159</v>
      </c>
      <c r="J93" s="157" t="s">
        <v>79</v>
      </c>
      <c r="K93" s="157" t="s">
        <v>251</v>
      </c>
      <c r="L93" s="157" t="s">
        <v>177</v>
      </c>
    </row>
    <row r="94" spans="1:12" ht="15.75" x14ac:dyDescent="0.25">
      <c r="A94" s="293" t="s">
        <v>20</v>
      </c>
      <c r="B94" s="293" t="s">
        <v>32</v>
      </c>
      <c r="C94" s="293" t="s">
        <v>103</v>
      </c>
      <c r="D94" s="293" t="s">
        <v>252</v>
      </c>
      <c r="E94" s="297">
        <v>98.77</v>
      </c>
      <c r="F94" s="293" t="s">
        <v>253</v>
      </c>
      <c r="G94" s="293">
        <v>2522</v>
      </c>
      <c r="H94" s="293">
        <v>1534</v>
      </c>
      <c r="I94" s="293" t="s">
        <v>159</v>
      </c>
      <c r="J94" s="157" t="s">
        <v>79</v>
      </c>
      <c r="K94" s="157" t="s">
        <v>229</v>
      </c>
      <c r="L94" s="157" t="s">
        <v>131</v>
      </c>
    </row>
    <row r="95" spans="1:12" ht="15.75" x14ac:dyDescent="0.25">
      <c r="A95" s="293" t="s">
        <v>20</v>
      </c>
      <c r="B95" s="293" t="s">
        <v>32</v>
      </c>
      <c r="C95" s="293" t="s">
        <v>112</v>
      </c>
      <c r="D95" s="293" t="s">
        <v>254</v>
      </c>
      <c r="E95" s="297">
        <v>4.74</v>
      </c>
      <c r="F95" s="293" t="s">
        <v>245</v>
      </c>
      <c r="G95" s="293">
        <v>2522</v>
      </c>
      <c r="H95" s="293">
        <v>1626</v>
      </c>
      <c r="I95" s="293" t="s">
        <v>113</v>
      </c>
      <c r="J95" s="157" t="s">
        <v>79</v>
      </c>
      <c r="K95" s="157" t="s">
        <v>246</v>
      </c>
      <c r="L95" s="157" t="s">
        <v>131</v>
      </c>
    </row>
    <row r="96" spans="1:12" ht="15.75" x14ac:dyDescent="0.25">
      <c r="A96" s="293" t="s">
        <v>20</v>
      </c>
      <c r="B96" s="293" t="s">
        <v>35</v>
      </c>
      <c r="C96" s="293" t="s">
        <v>105</v>
      </c>
      <c r="D96" s="293" t="s">
        <v>255</v>
      </c>
      <c r="E96" s="297">
        <f>E97+E98</f>
        <v>75.300000000000011</v>
      </c>
      <c r="F96" s="293" t="s">
        <v>256</v>
      </c>
      <c r="G96" s="293">
        <v>4071</v>
      </c>
      <c r="H96" s="293">
        <v>4021</v>
      </c>
      <c r="I96" s="293" t="s">
        <v>159</v>
      </c>
      <c r="J96" s="157" t="s">
        <v>93</v>
      </c>
      <c r="K96" s="157" t="s">
        <v>257</v>
      </c>
      <c r="L96" s="157" t="s">
        <v>144</v>
      </c>
    </row>
    <row r="97" spans="1:12" ht="15.75" x14ac:dyDescent="0.25">
      <c r="A97" s="293" t="s">
        <v>20</v>
      </c>
      <c r="B97" s="293" t="s">
        <v>35</v>
      </c>
      <c r="C97" s="293" t="s">
        <v>103</v>
      </c>
      <c r="D97" s="293" t="s">
        <v>258</v>
      </c>
      <c r="E97" s="297">
        <v>25.67</v>
      </c>
      <c r="F97" s="293" t="s">
        <v>256</v>
      </c>
      <c r="G97" s="293">
        <v>4071</v>
      </c>
      <c r="H97" s="293">
        <v>4021</v>
      </c>
      <c r="I97" s="293" t="s">
        <v>159</v>
      </c>
      <c r="J97" s="157" t="s">
        <v>93</v>
      </c>
      <c r="K97" s="157" t="s">
        <v>257</v>
      </c>
      <c r="L97" s="157" t="s">
        <v>144</v>
      </c>
    </row>
    <row r="98" spans="1:12" ht="15.75" x14ac:dyDescent="0.25">
      <c r="A98" s="293" t="s">
        <v>20</v>
      </c>
      <c r="B98" s="293" t="s">
        <v>35</v>
      </c>
      <c r="C98" s="293" t="s">
        <v>103</v>
      </c>
      <c r="D98" s="293" t="s">
        <v>259</v>
      </c>
      <c r="E98" s="297">
        <v>49.63</v>
      </c>
      <c r="F98" s="293" t="s">
        <v>256</v>
      </c>
      <c r="G98" s="293">
        <v>4071</v>
      </c>
      <c r="H98" s="293">
        <v>4021</v>
      </c>
      <c r="I98" s="293" t="s">
        <v>159</v>
      </c>
      <c r="J98" s="157" t="s">
        <v>93</v>
      </c>
      <c r="K98" s="157" t="s">
        <v>257</v>
      </c>
      <c r="L98" s="157" t="s">
        <v>144</v>
      </c>
    </row>
    <row r="99" spans="1:12" ht="15.75" x14ac:dyDescent="0.25">
      <c r="A99" s="293" t="s">
        <v>20</v>
      </c>
      <c r="B99" s="293" t="s">
        <v>35</v>
      </c>
      <c r="C99" s="293" t="s">
        <v>105</v>
      </c>
      <c r="D99" s="293" t="s">
        <v>260</v>
      </c>
      <c r="E99" s="297">
        <v>149.6</v>
      </c>
      <c r="F99" s="293" t="s">
        <v>261</v>
      </c>
      <c r="G99" s="293">
        <v>247</v>
      </c>
      <c r="H99" s="293">
        <v>1311</v>
      </c>
      <c r="I99" s="293" t="s">
        <v>129</v>
      </c>
      <c r="J99" s="157" t="s">
        <v>79</v>
      </c>
      <c r="K99" s="157" t="s">
        <v>262</v>
      </c>
      <c r="L99" s="157" t="s">
        <v>137</v>
      </c>
    </row>
    <row r="100" spans="1:12" ht="15.75" x14ac:dyDescent="0.25">
      <c r="A100" s="293" t="s">
        <v>20</v>
      </c>
      <c r="B100" s="293" t="s">
        <v>35</v>
      </c>
      <c r="C100" s="293" t="s">
        <v>109</v>
      </c>
      <c r="D100" s="636" t="s">
        <v>263</v>
      </c>
      <c r="E100" s="297">
        <v>78.39</v>
      </c>
      <c r="F100" s="293" t="s">
        <v>261</v>
      </c>
      <c r="G100" s="293">
        <v>247</v>
      </c>
      <c r="H100" s="293">
        <v>1311</v>
      </c>
      <c r="I100" s="293" t="s">
        <v>129</v>
      </c>
      <c r="J100" s="157" t="s">
        <v>79</v>
      </c>
      <c r="K100" s="157" t="s">
        <v>262</v>
      </c>
      <c r="L100" s="157" t="s">
        <v>137</v>
      </c>
    </row>
    <row r="101" spans="1:12" ht="15.75" x14ac:dyDescent="0.25">
      <c r="A101" s="293" t="s">
        <v>20</v>
      </c>
      <c r="B101" s="293" t="s">
        <v>35</v>
      </c>
      <c r="C101" s="293" t="s">
        <v>109</v>
      </c>
      <c r="D101" s="636" t="s">
        <v>264</v>
      </c>
      <c r="E101" s="297">
        <v>68.010000000000005</v>
      </c>
      <c r="F101" s="293" t="s">
        <v>261</v>
      </c>
      <c r="G101" s="293">
        <v>247</v>
      </c>
      <c r="H101" s="293">
        <v>1311</v>
      </c>
      <c r="I101" s="293" t="s">
        <v>129</v>
      </c>
      <c r="J101" s="157" t="s">
        <v>79</v>
      </c>
      <c r="K101" s="157" t="s">
        <v>262</v>
      </c>
      <c r="L101" s="157" t="s">
        <v>137</v>
      </c>
    </row>
    <row r="102" spans="1:12" ht="15.75" x14ac:dyDescent="0.25">
      <c r="A102" s="293" t="s">
        <v>20</v>
      </c>
      <c r="B102" s="293" t="s">
        <v>35</v>
      </c>
      <c r="C102" s="293" t="s">
        <v>105</v>
      </c>
      <c r="D102" s="293" t="s">
        <v>97</v>
      </c>
      <c r="E102" s="297">
        <v>147.16</v>
      </c>
      <c r="F102" s="293" t="s">
        <v>265</v>
      </c>
      <c r="G102" s="293">
        <v>4207</v>
      </c>
      <c r="H102" s="293">
        <v>5418</v>
      </c>
      <c r="I102" s="293" t="s">
        <v>159</v>
      </c>
      <c r="J102" s="157" t="s">
        <v>79</v>
      </c>
      <c r="K102" s="157" t="s">
        <v>266</v>
      </c>
      <c r="L102" s="157" t="s">
        <v>131</v>
      </c>
    </row>
    <row r="103" spans="1:12" ht="15.75" x14ac:dyDescent="0.25">
      <c r="A103" s="293" t="s">
        <v>20</v>
      </c>
      <c r="B103" s="293" t="s">
        <v>35</v>
      </c>
      <c r="C103" s="293" t="s">
        <v>105</v>
      </c>
      <c r="D103" s="293" t="s">
        <v>98</v>
      </c>
      <c r="E103" s="297">
        <v>4.18</v>
      </c>
      <c r="F103" s="293" t="s">
        <v>265</v>
      </c>
      <c r="G103" s="293">
        <v>4207</v>
      </c>
      <c r="H103" s="293">
        <v>5418</v>
      </c>
      <c r="I103" s="293" t="s">
        <v>159</v>
      </c>
      <c r="J103" s="157" t="s">
        <v>79</v>
      </c>
      <c r="K103" s="157" t="s">
        <v>266</v>
      </c>
      <c r="L103" s="157" t="s">
        <v>131</v>
      </c>
    </row>
    <row r="104" spans="1:12" ht="15.75" x14ac:dyDescent="0.25">
      <c r="A104" s="293" t="s">
        <v>20</v>
      </c>
      <c r="B104" s="293" t="s">
        <v>35</v>
      </c>
      <c r="C104" s="293" t="s">
        <v>109</v>
      </c>
      <c r="D104" s="636" t="s">
        <v>267</v>
      </c>
      <c r="E104" s="297">
        <v>82.75</v>
      </c>
      <c r="F104" s="293" t="s">
        <v>265</v>
      </c>
      <c r="G104" s="293">
        <v>4207</v>
      </c>
      <c r="H104" s="293">
        <v>5418</v>
      </c>
      <c r="I104" s="293" t="s">
        <v>159</v>
      </c>
      <c r="J104" s="157" t="s">
        <v>79</v>
      </c>
      <c r="K104" s="157" t="s">
        <v>266</v>
      </c>
      <c r="L104" s="157" t="s">
        <v>131</v>
      </c>
    </row>
    <row r="105" spans="1:12" ht="15.75" x14ac:dyDescent="0.25">
      <c r="A105" s="293" t="s">
        <v>20</v>
      </c>
      <c r="B105" s="293" t="s">
        <v>35</v>
      </c>
      <c r="C105" s="293" t="s">
        <v>109</v>
      </c>
      <c r="D105" s="636" t="s">
        <v>36</v>
      </c>
      <c r="E105" s="297">
        <v>71.5</v>
      </c>
      <c r="F105" s="293" t="s">
        <v>265</v>
      </c>
      <c r="G105" s="293">
        <v>4207</v>
      </c>
      <c r="H105" s="293">
        <v>5418</v>
      </c>
      <c r="I105" s="293" t="s">
        <v>159</v>
      </c>
      <c r="J105" s="157" t="s">
        <v>79</v>
      </c>
      <c r="K105" s="157" t="s">
        <v>266</v>
      </c>
      <c r="L105" s="157" t="s">
        <v>131</v>
      </c>
    </row>
    <row r="106" spans="1:12" ht="15.75" x14ac:dyDescent="0.25">
      <c r="A106" s="293" t="s">
        <v>20</v>
      </c>
      <c r="B106" s="293" t="s">
        <v>35</v>
      </c>
      <c r="C106" s="293" t="s">
        <v>105</v>
      </c>
      <c r="D106" s="293" t="s">
        <v>37</v>
      </c>
      <c r="E106" s="297">
        <v>157.69999999999999</v>
      </c>
      <c r="F106" s="293" t="s">
        <v>268</v>
      </c>
      <c r="G106" s="293">
        <v>4667</v>
      </c>
      <c r="H106" s="293">
        <v>5798</v>
      </c>
      <c r="I106" s="293" t="s">
        <v>129</v>
      </c>
      <c r="J106" s="157" t="s">
        <v>79</v>
      </c>
      <c r="K106" s="157" t="s">
        <v>269</v>
      </c>
      <c r="L106" s="157" t="s">
        <v>177</v>
      </c>
    </row>
    <row r="107" spans="1:12" ht="15.75" x14ac:dyDescent="0.25">
      <c r="A107" s="293" t="s">
        <v>20</v>
      </c>
      <c r="B107" s="293" t="s">
        <v>35</v>
      </c>
      <c r="C107" s="293" t="s">
        <v>109</v>
      </c>
      <c r="D107" s="636" t="s">
        <v>270</v>
      </c>
      <c r="E107" s="297">
        <v>78.849999999999994</v>
      </c>
      <c r="F107" s="293" t="s">
        <v>268</v>
      </c>
      <c r="G107" s="293">
        <v>4667</v>
      </c>
      <c r="H107" s="293">
        <v>5798</v>
      </c>
      <c r="I107" s="293" t="s">
        <v>129</v>
      </c>
      <c r="J107" s="157" t="s">
        <v>79</v>
      </c>
      <c r="K107" s="157" t="s">
        <v>269</v>
      </c>
      <c r="L107" s="157" t="s">
        <v>177</v>
      </c>
    </row>
    <row r="108" spans="1:12" ht="15.75" x14ac:dyDescent="0.25">
      <c r="A108" s="293" t="s">
        <v>20</v>
      </c>
      <c r="B108" s="293" t="s">
        <v>35</v>
      </c>
      <c r="C108" s="293" t="s">
        <v>109</v>
      </c>
      <c r="D108" s="636" t="s">
        <v>271</v>
      </c>
      <c r="E108" s="297">
        <v>78.8</v>
      </c>
      <c r="F108" s="293" t="s">
        <v>268</v>
      </c>
      <c r="G108" s="293">
        <v>4667</v>
      </c>
      <c r="H108" s="293">
        <v>5798</v>
      </c>
      <c r="I108" s="293" t="s">
        <v>129</v>
      </c>
      <c r="J108" s="157" t="s">
        <v>79</v>
      </c>
      <c r="K108" s="157" t="s">
        <v>269</v>
      </c>
      <c r="L108" s="157" t="s">
        <v>177</v>
      </c>
    </row>
    <row r="109" spans="1:12" ht="15.75" x14ac:dyDescent="0.25">
      <c r="A109" s="293" t="s">
        <v>20</v>
      </c>
      <c r="B109" s="293" t="s">
        <v>35</v>
      </c>
      <c r="C109" s="293" t="s">
        <v>112</v>
      </c>
      <c r="D109" s="293" t="s">
        <v>272</v>
      </c>
      <c r="E109" s="297">
        <v>6.39</v>
      </c>
      <c r="F109" s="293" t="s">
        <v>261</v>
      </c>
      <c r="G109" s="293">
        <v>247</v>
      </c>
      <c r="H109" s="293">
        <v>1311</v>
      </c>
      <c r="I109" s="293" t="s">
        <v>113</v>
      </c>
      <c r="J109" s="157" t="s">
        <v>79</v>
      </c>
      <c r="K109" s="157" t="s">
        <v>262</v>
      </c>
      <c r="L109" s="157" t="s">
        <v>137</v>
      </c>
    </row>
    <row r="110" spans="1:12" ht="15.75" x14ac:dyDescent="0.25">
      <c r="A110" s="293" t="s">
        <v>20</v>
      </c>
      <c r="B110" s="293" t="s">
        <v>80</v>
      </c>
      <c r="C110" s="293" t="s">
        <v>105</v>
      </c>
      <c r="D110" s="293" t="s">
        <v>273</v>
      </c>
      <c r="E110" s="297">
        <v>157.56</v>
      </c>
      <c r="F110" s="293" t="s">
        <v>274</v>
      </c>
      <c r="G110" s="293">
        <v>4114</v>
      </c>
      <c r="H110" s="293">
        <v>4048</v>
      </c>
      <c r="I110" s="293" t="s">
        <v>129</v>
      </c>
      <c r="J110" s="157" t="s">
        <v>76</v>
      </c>
      <c r="K110" s="157" t="s">
        <v>275</v>
      </c>
      <c r="L110" s="157" t="s">
        <v>131</v>
      </c>
    </row>
    <row r="111" spans="1:12" ht="15.75" x14ac:dyDescent="0.25">
      <c r="A111" s="293" t="s">
        <v>20</v>
      </c>
      <c r="B111" s="293" t="s">
        <v>80</v>
      </c>
      <c r="C111" s="293" t="s">
        <v>109</v>
      </c>
      <c r="D111" s="636" t="s">
        <v>276</v>
      </c>
      <c r="E111" s="297">
        <v>78.8</v>
      </c>
      <c r="F111" s="293" t="s">
        <v>274</v>
      </c>
      <c r="G111" s="293">
        <v>4114</v>
      </c>
      <c r="H111" s="293">
        <v>4048</v>
      </c>
      <c r="I111" s="293" t="s">
        <v>129</v>
      </c>
      <c r="J111" s="157" t="s">
        <v>76</v>
      </c>
      <c r="K111" s="157" t="s">
        <v>275</v>
      </c>
      <c r="L111" s="157" t="s">
        <v>131</v>
      </c>
    </row>
    <row r="112" spans="1:12" ht="15.75" x14ac:dyDescent="0.25">
      <c r="A112" s="293" t="s">
        <v>20</v>
      </c>
      <c r="B112" s="293" t="s">
        <v>80</v>
      </c>
      <c r="C112" s="293" t="s">
        <v>109</v>
      </c>
      <c r="D112" s="636" t="s">
        <v>277</v>
      </c>
      <c r="E112" s="297">
        <v>78.8</v>
      </c>
      <c r="F112" s="293" t="s">
        <v>274</v>
      </c>
      <c r="G112" s="293">
        <v>4114</v>
      </c>
      <c r="H112" s="293">
        <v>4048</v>
      </c>
      <c r="I112" s="293" t="s">
        <v>129</v>
      </c>
      <c r="J112" s="157" t="s">
        <v>76</v>
      </c>
      <c r="K112" s="157" t="s">
        <v>275</v>
      </c>
      <c r="L112" s="157" t="s">
        <v>131</v>
      </c>
    </row>
    <row r="113" spans="1:12" ht="15.75" x14ac:dyDescent="0.25">
      <c r="A113" s="293" t="s">
        <v>20</v>
      </c>
      <c r="B113" s="293" t="s">
        <v>80</v>
      </c>
      <c r="C113" s="293" t="s">
        <v>105</v>
      </c>
      <c r="D113" s="293" t="s">
        <v>278</v>
      </c>
      <c r="E113" s="297">
        <v>157.88</v>
      </c>
      <c r="F113" s="293" t="s">
        <v>279</v>
      </c>
      <c r="G113" s="293">
        <v>6759</v>
      </c>
      <c r="H113" s="293">
        <v>3794</v>
      </c>
      <c r="I113" s="293" t="s">
        <v>129</v>
      </c>
      <c r="J113" s="157" t="s">
        <v>79</v>
      </c>
      <c r="K113" s="157" t="s">
        <v>130</v>
      </c>
      <c r="L113" s="157" t="s">
        <v>144</v>
      </c>
    </row>
    <row r="114" spans="1:12" ht="15.75" x14ac:dyDescent="0.25">
      <c r="A114" s="293" t="s">
        <v>20</v>
      </c>
      <c r="B114" s="293" t="s">
        <v>80</v>
      </c>
      <c r="C114" s="293" t="s">
        <v>109</v>
      </c>
      <c r="D114" s="636" t="s">
        <v>280</v>
      </c>
      <c r="E114" s="297">
        <v>78.900000000000006</v>
      </c>
      <c r="F114" s="293" t="s">
        <v>279</v>
      </c>
      <c r="G114" s="293">
        <v>6759</v>
      </c>
      <c r="H114" s="293">
        <v>3794</v>
      </c>
      <c r="I114" s="293" t="s">
        <v>129</v>
      </c>
      <c r="J114" s="157" t="s">
        <v>79</v>
      </c>
      <c r="K114" s="157" t="s">
        <v>130</v>
      </c>
      <c r="L114" s="157" t="s">
        <v>144</v>
      </c>
    </row>
    <row r="115" spans="1:12" ht="15.75" x14ac:dyDescent="0.25">
      <c r="A115" s="293" t="s">
        <v>20</v>
      </c>
      <c r="B115" s="293" t="s">
        <v>80</v>
      </c>
      <c r="C115" s="293" t="s">
        <v>109</v>
      </c>
      <c r="D115" s="636" t="s">
        <v>281</v>
      </c>
      <c r="E115" s="297">
        <v>78.900000000000006</v>
      </c>
      <c r="F115" s="293" t="s">
        <v>279</v>
      </c>
      <c r="G115" s="293">
        <v>6759</v>
      </c>
      <c r="H115" s="293">
        <v>3794</v>
      </c>
      <c r="I115" s="293" t="s">
        <v>129</v>
      </c>
      <c r="J115" s="157" t="s">
        <v>79</v>
      </c>
      <c r="K115" s="157" t="s">
        <v>130</v>
      </c>
      <c r="L115" s="157" t="s">
        <v>144</v>
      </c>
    </row>
    <row r="116" spans="1:12" ht="15.75" x14ac:dyDescent="0.25">
      <c r="A116" s="87" t="s">
        <v>38</v>
      </c>
      <c r="B116" s="87"/>
      <c r="C116" s="87"/>
      <c r="D116" s="87"/>
      <c r="E116" s="87">
        <f>SUBTOTAL(109,FFTBL[Acres])</f>
        <v>8958.9999999999964</v>
      </c>
      <c r="F116" s="87"/>
      <c r="G116" s="90"/>
      <c r="H116" s="90"/>
      <c r="I116" s="87"/>
      <c r="J116" s="87"/>
      <c r="K116" s="87"/>
      <c r="L116" s="87"/>
    </row>
    <row r="118" spans="1:12" x14ac:dyDescent="0.25">
      <c r="A118" t="s">
        <v>282</v>
      </c>
    </row>
    <row r="119" spans="1:12" ht="15.75" x14ac:dyDescent="0.25">
      <c r="A119" s="153" t="s">
        <v>102</v>
      </c>
    </row>
    <row r="120" spans="1:12" ht="15.75" x14ac:dyDescent="0.25">
      <c r="A120" s="153" t="s">
        <v>283</v>
      </c>
    </row>
    <row r="121" spans="1:12" ht="15.75" x14ac:dyDescent="0.25">
      <c r="A121" s="153" t="s">
        <v>284</v>
      </c>
    </row>
    <row r="122" spans="1:12" ht="15.75" x14ac:dyDescent="0.25">
      <c r="A122" s="153" t="s">
        <v>285</v>
      </c>
    </row>
    <row r="123" spans="1:12" ht="15.75" x14ac:dyDescent="0.25">
      <c r="A123" s="153" t="s">
        <v>286</v>
      </c>
    </row>
    <row r="124" spans="1:12" ht="15.75" x14ac:dyDescent="0.25">
      <c r="A124" s="153" t="s">
        <v>287</v>
      </c>
    </row>
    <row r="125" spans="1:12" ht="15.75" x14ac:dyDescent="0.25">
      <c r="A125" s="153" t="s">
        <v>288</v>
      </c>
    </row>
    <row r="126" spans="1:12" ht="15.75" x14ac:dyDescent="0.25">
      <c r="A126" s="153" t="s">
        <v>108</v>
      </c>
    </row>
    <row r="127" spans="1:12" ht="15.75" x14ac:dyDescent="0.25">
      <c r="A127" s="153" t="s">
        <v>289</v>
      </c>
    </row>
    <row r="128" spans="1:12" ht="15.75" x14ac:dyDescent="0.25">
      <c r="A128" s="158" t="s">
        <v>290</v>
      </c>
    </row>
    <row r="129" spans="1:1" ht="15.75" x14ac:dyDescent="0.25">
      <c r="A129" s="158" t="s">
        <v>291</v>
      </c>
    </row>
    <row r="130" spans="1:1" ht="15.75" x14ac:dyDescent="0.25">
      <c r="A130" s="153" t="s">
        <v>292</v>
      </c>
    </row>
    <row r="131" spans="1:1" ht="15.75" x14ac:dyDescent="0.25">
      <c r="A131" s="153" t="s">
        <v>117</v>
      </c>
    </row>
    <row r="132" spans="1:1" ht="15.75" x14ac:dyDescent="0.25">
      <c r="A132" s="153" t="s">
        <v>293</v>
      </c>
    </row>
    <row r="133" spans="1:1" ht="15.75" x14ac:dyDescent="0.25">
      <c r="A133" s="153" t="s">
        <v>294</v>
      </c>
    </row>
    <row r="134" spans="1:1" ht="15.75" x14ac:dyDescent="0.25">
      <c r="A134" s="153" t="s">
        <v>113</v>
      </c>
    </row>
    <row r="135" spans="1:1" ht="15.75" x14ac:dyDescent="0.25">
      <c r="A135" s="153" t="s">
        <v>295</v>
      </c>
    </row>
    <row r="136" spans="1:1" ht="15.75" x14ac:dyDescent="0.25">
      <c r="A136" s="158"/>
    </row>
    <row r="137" spans="1:1" ht="15.75" x14ac:dyDescent="0.25">
      <c r="A137" s="156"/>
    </row>
    <row r="138" spans="1:1" ht="15.75" x14ac:dyDescent="0.25">
      <c r="A138" s="156" t="s">
        <v>296</v>
      </c>
    </row>
    <row r="139" spans="1:1" ht="15.75" x14ac:dyDescent="0.25">
      <c r="A139" s="154" t="s">
        <v>117</v>
      </c>
    </row>
    <row r="140" spans="1:1" ht="15.75" x14ac:dyDescent="0.25">
      <c r="A140" s="155" t="s">
        <v>297</v>
      </c>
    </row>
    <row r="141" spans="1:1" ht="15.75" x14ac:dyDescent="0.25">
      <c r="A141" s="154" t="s">
        <v>298</v>
      </c>
    </row>
    <row r="142" spans="1:1" ht="15.75" x14ac:dyDescent="0.25">
      <c r="A142" s="157"/>
    </row>
    <row r="143" spans="1:1" ht="15.75" x14ac:dyDescent="0.25">
      <c r="A143" s="157" t="s">
        <v>299</v>
      </c>
    </row>
    <row r="144" spans="1:1" ht="15.75" x14ac:dyDescent="0.25">
      <c r="A144" s="157" t="s">
        <v>300</v>
      </c>
    </row>
    <row r="145" spans="1:15" ht="15.75" x14ac:dyDescent="0.25">
      <c r="A145" s="157" t="s">
        <v>301</v>
      </c>
    </row>
    <row r="148" spans="1:15" x14ac:dyDescent="0.25">
      <c r="A148" t="s">
        <v>302</v>
      </c>
      <c r="B148" t="s">
        <v>303</v>
      </c>
      <c r="C148" t="s">
        <v>304</v>
      </c>
      <c r="D148" t="s">
        <v>305</v>
      </c>
    </row>
    <row r="149" spans="1:15" x14ac:dyDescent="0.25">
      <c r="A149" t="s">
        <v>295</v>
      </c>
      <c r="B149" t="s">
        <v>306</v>
      </c>
      <c r="C149" t="s">
        <v>307</v>
      </c>
      <c r="D149" s="1">
        <v>-0.21</v>
      </c>
      <c r="I149" s="1"/>
      <c r="O149" s="1"/>
    </row>
    <row r="150" spans="1:15" x14ac:dyDescent="0.25">
      <c r="A150" t="s">
        <v>295</v>
      </c>
      <c r="B150" t="s">
        <v>308</v>
      </c>
      <c r="C150" t="s">
        <v>307</v>
      </c>
      <c r="D150" s="1">
        <v>-0.27</v>
      </c>
      <c r="I150" s="1"/>
      <c r="O150" s="1"/>
    </row>
    <row r="151" spans="1:15" x14ac:dyDescent="0.25">
      <c r="A151" t="s">
        <v>295</v>
      </c>
      <c r="B151" t="s">
        <v>309</v>
      </c>
      <c r="C151" t="s">
        <v>307</v>
      </c>
      <c r="D151" s="1">
        <v>-0.34</v>
      </c>
      <c r="I151" s="1"/>
      <c r="O151" s="1"/>
    </row>
    <row r="152" spans="1:15" x14ac:dyDescent="0.25">
      <c r="A152" t="s">
        <v>295</v>
      </c>
      <c r="B152" t="s">
        <v>310</v>
      </c>
      <c r="C152" t="s">
        <v>307</v>
      </c>
      <c r="D152" s="1">
        <v>-0.27</v>
      </c>
      <c r="I152" s="1"/>
      <c r="O152" s="1"/>
    </row>
    <row r="153" spans="1:15" x14ac:dyDescent="0.25">
      <c r="A153" t="s">
        <v>283</v>
      </c>
      <c r="B153" t="s">
        <v>311</v>
      </c>
      <c r="C153" t="s">
        <v>312</v>
      </c>
      <c r="D153" s="1">
        <v>-3.2390000000000001E-3</v>
      </c>
      <c r="I153" s="1"/>
      <c r="O153" s="1"/>
    </row>
    <row r="154" spans="1:15" x14ac:dyDescent="0.25">
      <c r="A154" t="s">
        <v>283</v>
      </c>
      <c r="B154" t="s">
        <v>313</v>
      </c>
      <c r="C154" t="s">
        <v>312</v>
      </c>
      <c r="D154" s="1"/>
      <c r="I154" s="1"/>
      <c r="O154" s="1"/>
    </row>
    <row r="155" spans="1:15" x14ac:dyDescent="0.25">
      <c r="A155" t="s">
        <v>283</v>
      </c>
      <c r="B155" t="s">
        <v>314</v>
      </c>
      <c r="C155" t="s">
        <v>312</v>
      </c>
      <c r="D155" s="1"/>
      <c r="I155" s="1"/>
      <c r="O155" s="1"/>
    </row>
    <row r="156" spans="1:15" x14ac:dyDescent="0.25">
      <c r="A156" t="s">
        <v>283</v>
      </c>
      <c r="B156" t="s">
        <v>315</v>
      </c>
      <c r="C156" t="s">
        <v>312</v>
      </c>
      <c r="D156" s="1">
        <v>-2.51125E-3</v>
      </c>
      <c r="I156" s="1"/>
      <c r="O156" s="1"/>
    </row>
    <row r="157" spans="1:15" x14ac:dyDescent="0.25">
      <c r="A157" t="s">
        <v>283</v>
      </c>
      <c r="C157" t="s">
        <v>312</v>
      </c>
      <c r="D157" s="1">
        <v>-2.7162499999999999E-3</v>
      </c>
      <c r="I157" s="1"/>
      <c r="O157" s="1"/>
    </row>
    <row r="158" spans="1:15" x14ac:dyDescent="0.25">
      <c r="A158" t="s">
        <v>316</v>
      </c>
      <c r="B158" t="s">
        <v>317</v>
      </c>
      <c r="C158" t="s">
        <v>307</v>
      </c>
      <c r="D158" s="1">
        <v>-8</v>
      </c>
      <c r="I158" s="1"/>
      <c r="O158" s="1"/>
    </row>
    <row r="159" spans="1:15" x14ac:dyDescent="0.25">
      <c r="A159" t="s">
        <v>316</v>
      </c>
      <c r="B159" t="s">
        <v>287</v>
      </c>
      <c r="C159" t="s">
        <v>307</v>
      </c>
      <c r="D159" s="1">
        <v>-6.25</v>
      </c>
      <c r="I159" s="1"/>
      <c r="O159" s="1"/>
    </row>
    <row r="160" spans="1:15" x14ac:dyDescent="0.25">
      <c r="A160" t="s">
        <v>316</v>
      </c>
      <c r="B160" t="s">
        <v>294</v>
      </c>
      <c r="C160" t="s">
        <v>307</v>
      </c>
      <c r="D160" s="1">
        <v>-0.21</v>
      </c>
      <c r="I160" s="1"/>
      <c r="O160" s="1"/>
    </row>
    <row r="161" spans="1:4" x14ac:dyDescent="0.25">
      <c r="D161" s="1"/>
    </row>
    <row r="162" spans="1:4" x14ac:dyDescent="0.25">
      <c r="A162" t="s">
        <v>318</v>
      </c>
      <c r="D162" s="1"/>
    </row>
    <row r="163" spans="1:4" x14ac:dyDescent="0.25">
      <c r="A163" t="s">
        <v>319</v>
      </c>
      <c r="D163" s="1">
        <v>1</v>
      </c>
    </row>
    <row r="164" spans="1:4" x14ac:dyDescent="0.25">
      <c r="A164" t="s">
        <v>320</v>
      </c>
    </row>
    <row r="165" spans="1:4" x14ac:dyDescent="0.25">
      <c r="A165" t="s">
        <v>321</v>
      </c>
    </row>
    <row r="166" spans="1:4" x14ac:dyDescent="0.25">
      <c r="A166" t="s">
        <v>322</v>
      </c>
    </row>
    <row r="167" spans="1:4" x14ac:dyDescent="0.25">
      <c r="A167" t="s">
        <v>323</v>
      </c>
    </row>
    <row r="168" spans="1:4" x14ac:dyDescent="0.25">
      <c r="A168" t="s">
        <v>324</v>
      </c>
    </row>
    <row r="169" spans="1:4" x14ac:dyDescent="0.25">
      <c r="A169" t="s">
        <v>325</v>
      </c>
    </row>
    <row r="170" spans="1:4" x14ac:dyDescent="0.25">
      <c r="A170" t="s">
        <v>326</v>
      </c>
    </row>
    <row r="171" spans="1:4" x14ac:dyDescent="0.25">
      <c r="A171" t="s">
        <v>327</v>
      </c>
    </row>
    <row r="172" spans="1:4" x14ac:dyDescent="0.25">
      <c r="A172" t="s">
        <v>328</v>
      </c>
    </row>
    <row r="173" spans="1:4" x14ac:dyDescent="0.25">
      <c r="C173" s="86"/>
    </row>
    <row r="174" spans="1:4" x14ac:dyDescent="0.25">
      <c r="C174" s="86"/>
    </row>
    <row r="175" spans="1:4" x14ac:dyDescent="0.25">
      <c r="A175" t="s">
        <v>329</v>
      </c>
      <c r="C175" s="86"/>
    </row>
    <row r="176" spans="1:4" x14ac:dyDescent="0.25">
      <c r="A176" s="86" t="s">
        <v>330</v>
      </c>
      <c r="C176" s="86"/>
    </row>
    <row r="177" spans="1:4" x14ac:dyDescent="0.25">
      <c r="A177" s="86" t="s">
        <v>331</v>
      </c>
      <c r="C177" s="86"/>
    </row>
    <row r="178" spans="1:4" x14ac:dyDescent="0.25">
      <c r="A178" s="86" t="s">
        <v>332</v>
      </c>
      <c r="C178" s="86"/>
    </row>
    <row r="179" spans="1:4" x14ac:dyDescent="0.25">
      <c r="A179" s="86" t="s">
        <v>333</v>
      </c>
      <c r="C179" s="86"/>
    </row>
    <row r="180" spans="1:4" x14ac:dyDescent="0.25">
      <c r="A180" s="86" t="s">
        <v>334</v>
      </c>
      <c r="C180" s="86"/>
    </row>
    <row r="181" spans="1:4" x14ac:dyDescent="0.25">
      <c r="A181" s="86"/>
      <c r="C181" s="86"/>
    </row>
    <row r="182" spans="1:4" x14ac:dyDescent="0.25">
      <c r="A182" s="86" t="s">
        <v>335</v>
      </c>
      <c r="B182">
        <v>2024</v>
      </c>
      <c r="C182" s="86"/>
    </row>
    <row r="183" spans="1:4" x14ac:dyDescent="0.25">
      <c r="C183" s="86"/>
    </row>
    <row r="184" spans="1:4" x14ac:dyDescent="0.25">
      <c r="A184" s="730" t="s">
        <v>336</v>
      </c>
      <c r="B184" s="730"/>
      <c r="C184" s="730"/>
      <c r="D184" s="730"/>
    </row>
    <row r="185" spans="1:4" x14ac:dyDescent="0.25">
      <c r="A185" s="149" t="s">
        <v>282</v>
      </c>
      <c r="B185" s="150" t="s">
        <v>337</v>
      </c>
      <c r="C185" s="150" t="s">
        <v>304</v>
      </c>
      <c r="D185" s="150" t="s">
        <v>305</v>
      </c>
    </row>
    <row r="186" spans="1:4" x14ac:dyDescent="0.25">
      <c r="A186" s="88" t="s">
        <v>319</v>
      </c>
      <c r="B186" s="20" t="s">
        <v>338</v>
      </c>
      <c r="C186" s="20" t="s">
        <v>312</v>
      </c>
      <c r="D186" s="148">
        <v>-10.75</v>
      </c>
    </row>
    <row r="187" spans="1:4" x14ac:dyDescent="0.25">
      <c r="A187" s="88" t="s">
        <v>319</v>
      </c>
      <c r="B187" s="20" t="s">
        <v>339</v>
      </c>
      <c r="C187" s="20" t="s">
        <v>312</v>
      </c>
      <c r="D187" s="148">
        <v>-14</v>
      </c>
    </row>
    <row r="188" spans="1:4" x14ac:dyDescent="0.25">
      <c r="A188" s="88" t="s">
        <v>319</v>
      </c>
      <c r="B188" s="20" t="s">
        <v>340</v>
      </c>
      <c r="C188" s="20" t="s">
        <v>312</v>
      </c>
      <c r="D188" s="148">
        <v>-21.61</v>
      </c>
    </row>
    <row r="189" spans="1:4" x14ac:dyDescent="0.25">
      <c r="A189" s="88" t="s">
        <v>319</v>
      </c>
      <c r="B189" s="20" t="s">
        <v>341</v>
      </c>
      <c r="C189" s="20" t="s">
        <v>312</v>
      </c>
      <c r="D189" s="148">
        <v>-19.25</v>
      </c>
    </row>
    <row r="190" spans="1:4" x14ac:dyDescent="0.25">
      <c r="A190" s="88" t="s">
        <v>319</v>
      </c>
      <c r="B190" s="20" t="s">
        <v>342</v>
      </c>
      <c r="C190" s="20" t="s">
        <v>312</v>
      </c>
      <c r="D190" s="148">
        <v>-17</v>
      </c>
    </row>
    <row r="191" spans="1:4" x14ac:dyDescent="0.25">
      <c r="A191" s="88" t="s">
        <v>319</v>
      </c>
      <c r="B191" s="20" t="s">
        <v>343</v>
      </c>
      <c r="C191" s="20" t="s">
        <v>312</v>
      </c>
      <c r="D191" s="148">
        <v>-3</v>
      </c>
    </row>
    <row r="192" spans="1:4" x14ac:dyDescent="0.25">
      <c r="A192" s="88" t="s">
        <v>319</v>
      </c>
      <c r="B192" s="20" t="s">
        <v>344</v>
      </c>
      <c r="C192" s="20" t="s">
        <v>312</v>
      </c>
      <c r="D192" s="148">
        <v>-18.600000000000001</v>
      </c>
    </row>
    <row r="193" spans="1:4" x14ac:dyDescent="0.25">
      <c r="A193" s="88" t="s">
        <v>319</v>
      </c>
      <c r="B193" s="20" t="s">
        <v>345</v>
      </c>
      <c r="C193" s="20" t="s">
        <v>312</v>
      </c>
      <c r="D193" s="148">
        <v>-71.790000000000006</v>
      </c>
    </row>
    <row r="194" spans="1:4" x14ac:dyDescent="0.25">
      <c r="A194" s="88" t="s">
        <v>319</v>
      </c>
      <c r="B194" s="20" t="s">
        <v>346</v>
      </c>
      <c r="C194" s="20" t="s">
        <v>312</v>
      </c>
      <c r="D194" s="148">
        <v>-37.64</v>
      </c>
    </row>
    <row r="195" spans="1:4" x14ac:dyDescent="0.25">
      <c r="A195" s="88" t="s">
        <v>319</v>
      </c>
      <c r="B195" s="20" t="s">
        <v>347</v>
      </c>
      <c r="C195" s="20" t="s">
        <v>312</v>
      </c>
      <c r="D195" s="148">
        <v>-18.47</v>
      </c>
    </row>
    <row r="196" spans="1:4" x14ac:dyDescent="0.25">
      <c r="A196" s="88" t="s">
        <v>319</v>
      </c>
      <c r="B196" s="20" t="s">
        <v>348</v>
      </c>
      <c r="C196" s="20" t="s">
        <v>312</v>
      </c>
      <c r="D196" s="148">
        <v>-45</v>
      </c>
    </row>
    <row r="197" spans="1:4" x14ac:dyDescent="0.25">
      <c r="A197" s="88" t="s">
        <v>319</v>
      </c>
      <c r="B197" s="20" t="s">
        <v>349</v>
      </c>
      <c r="C197" s="20" t="s">
        <v>350</v>
      </c>
      <c r="D197" s="148">
        <v>-0.26</v>
      </c>
    </row>
    <row r="198" spans="1:4" x14ac:dyDescent="0.25">
      <c r="A198" s="88" t="s">
        <v>319</v>
      </c>
      <c r="B198" s="20" t="s">
        <v>351</v>
      </c>
      <c r="C198" s="20" t="s">
        <v>350</v>
      </c>
      <c r="D198" s="148">
        <v>-0.22</v>
      </c>
    </row>
    <row r="199" spans="1:4" x14ac:dyDescent="0.25">
      <c r="A199" s="88" t="s">
        <v>319</v>
      </c>
      <c r="B199" s="20" t="s">
        <v>352</v>
      </c>
      <c r="C199" s="20" t="s">
        <v>353</v>
      </c>
      <c r="D199" s="148">
        <v>-0.26</v>
      </c>
    </row>
    <row r="200" spans="1:4" x14ac:dyDescent="0.25">
      <c r="A200" s="88" t="s">
        <v>319</v>
      </c>
      <c r="B200" s="20" t="s">
        <v>354</v>
      </c>
      <c r="C200" s="20" t="s">
        <v>353</v>
      </c>
      <c r="D200" s="148">
        <v>-0.27</v>
      </c>
    </row>
    <row r="201" spans="1:4" x14ac:dyDescent="0.25">
      <c r="A201" s="88" t="s">
        <v>319</v>
      </c>
      <c r="B201" s="20" t="s">
        <v>355</v>
      </c>
      <c r="C201" s="20" t="s">
        <v>353</v>
      </c>
      <c r="D201" s="148">
        <v>-0.27</v>
      </c>
    </row>
    <row r="202" spans="1:4" x14ac:dyDescent="0.25">
      <c r="A202" s="88" t="s">
        <v>319</v>
      </c>
      <c r="B202" s="20" t="s">
        <v>356</v>
      </c>
      <c r="C202" s="20" t="s">
        <v>312</v>
      </c>
      <c r="D202" s="148">
        <v>-13</v>
      </c>
    </row>
    <row r="203" spans="1:4" x14ac:dyDescent="0.25">
      <c r="A203" s="88" t="s">
        <v>319</v>
      </c>
      <c r="B203" s="20" t="s">
        <v>357</v>
      </c>
      <c r="C203" s="20" t="s">
        <v>312</v>
      </c>
      <c r="D203" s="148">
        <v>-6.75</v>
      </c>
    </row>
    <row r="204" spans="1:4" x14ac:dyDescent="0.25">
      <c r="A204" s="88" t="s">
        <v>319</v>
      </c>
      <c r="B204" s="20" t="s">
        <v>358</v>
      </c>
      <c r="C204" s="20" t="s">
        <v>350</v>
      </c>
      <c r="D204" s="148">
        <v>-0.06</v>
      </c>
    </row>
    <row r="205" spans="1:4" x14ac:dyDescent="0.25">
      <c r="A205" s="88" t="s">
        <v>324</v>
      </c>
      <c r="B205" s="20" t="s">
        <v>359</v>
      </c>
      <c r="C205" s="20" t="s">
        <v>360</v>
      </c>
      <c r="D205" s="148"/>
    </row>
    <row r="206" spans="1:4" x14ac:dyDescent="0.25">
      <c r="A206" s="88" t="s">
        <v>324</v>
      </c>
      <c r="B206" s="20" t="s">
        <v>361</v>
      </c>
      <c r="C206" s="20" t="s">
        <v>360</v>
      </c>
      <c r="D206" s="148"/>
    </row>
    <row r="207" spans="1:4" x14ac:dyDescent="0.25">
      <c r="A207" s="88" t="s">
        <v>362</v>
      </c>
      <c r="B207" s="20" t="s">
        <v>363</v>
      </c>
      <c r="C207" s="20" t="s">
        <v>360</v>
      </c>
      <c r="D207" s="148"/>
    </row>
    <row r="208" spans="1:4" x14ac:dyDescent="0.25">
      <c r="A208" s="88" t="s">
        <v>362</v>
      </c>
      <c r="B208" s="20" t="s">
        <v>364</v>
      </c>
      <c r="C208" s="20" t="s">
        <v>360</v>
      </c>
      <c r="D208" s="148"/>
    </row>
    <row r="209" spans="1:4" x14ac:dyDescent="0.25">
      <c r="A209" s="88" t="s">
        <v>320</v>
      </c>
      <c r="B209" s="20" t="s">
        <v>365</v>
      </c>
      <c r="C209" s="20" t="s">
        <v>312</v>
      </c>
      <c r="D209" s="148"/>
    </row>
    <row r="210" spans="1:4" x14ac:dyDescent="0.25">
      <c r="A210" s="88" t="s">
        <v>320</v>
      </c>
      <c r="B210" s="20" t="s">
        <v>366</v>
      </c>
      <c r="C210" s="20" t="s">
        <v>312</v>
      </c>
      <c r="D210" s="148"/>
    </row>
    <row r="211" spans="1:4" x14ac:dyDescent="0.25">
      <c r="A211" s="88" t="s">
        <v>320</v>
      </c>
      <c r="B211" s="20" t="s">
        <v>367</v>
      </c>
      <c r="C211" s="20" t="s">
        <v>312</v>
      </c>
      <c r="D211" s="148">
        <v>-4.49</v>
      </c>
    </row>
    <row r="212" spans="1:4" x14ac:dyDescent="0.25">
      <c r="A212" s="88" t="s">
        <v>320</v>
      </c>
      <c r="B212" s="20" t="s">
        <v>368</v>
      </c>
      <c r="C212" s="20" t="s">
        <v>312</v>
      </c>
      <c r="D212" s="148">
        <v>-17.86</v>
      </c>
    </row>
    <row r="213" spans="1:4" x14ac:dyDescent="0.25">
      <c r="A213" s="88" t="s">
        <v>320</v>
      </c>
      <c r="B213" s="20" t="s">
        <v>369</v>
      </c>
      <c r="C213" s="20" t="s">
        <v>312</v>
      </c>
      <c r="D213" s="148">
        <v>1</v>
      </c>
    </row>
    <row r="214" spans="1:4" x14ac:dyDescent="0.25">
      <c r="A214" s="88" t="s">
        <v>320</v>
      </c>
      <c r="B214" s="20" t="s">
        <v>370</v>
      </c>
      <c r="C214" s="20" t="s">
        <v>312</v>
      </c>
      <c r="D214" s="148"/>
    </row>
    <row r="215" spans="1:4" x14ac:dyDescent="0.25">
      <c r="A215" s="88" t="s">
        <v>320</v>
      </c>
      <c r="B215" s="20" t="s">
        <v>371</v>
      </c>
      <c r="C215" s="20" t="s">
        <v>312</v>
      </c>
      <c r="D215" s="148">
        <v>-25</v>
      </c>
    </row>
    <row r="216" spans="1:4" x14ac:dyDescent="0.25">
      <c r="A216" s="88" t="s">
        <v>320</v>
      </c>
      <c r="B216" s="20" t="s">
        <v>372</v>
      </c>
      <c r="C216" s="20" t="s">
        <v>312</v>
      </c>
      <c r="D216" s="148">
        <v>-61.45</v>
      </c>
    </row>
    <row r="217" spans="1:4" x14ac:dyDescent="0.25">
      <c r="A217" s="88" t="s">
        <v>320</v>
      </c>
      <c r="B217" s="20" t="s">
        <v>373</v>
      </c>
      <c r="C217" s="20" t="s">
        <v>312</v>
      </c>
      <c r="D217" s="148">
        <v>-17.86</v>
      </c>
    </row>
    <row r="218" spans="1:4" x14ac:dyDescent="0.25">
      <c r="A218" s="88" t="s">
        <v>320</v>
      </c>
      <c r="B218" s="20" t="s">
        <v>374</v>
      </c>
      <c r="C218" s="20" t="s">
        <v>312</v>
      </c>
      <c r="D218" s="148">
        <v>-16.63</v>
      </c>
    </row>
    <row r="219" spans="1:4" x14ac:dyDescent="0.25">
      <c r="A219" s="88" t="s">
        <v>320</v>
      </c>
      <c r="B219" s="20" t="s">
        <v>375</v>
      </c>
      <c r="C219" s="20" t="s">
        <v>312</v>
      </c>
      <c r="D219" s="148"/>
    </row>
    <row r="220" spans="1:4" x14ac:dyDescent="0.25">
      <c r="A220" s="88" t="s">
        <v>320</v>
      </c>
      <c r="B220" s="20" t="s">
        <v>376</v>
      </c>
      <c r="C220" s="20" t="s">
        <v>312</v>
      </c>
      <c r="D220" s="148">
        <v>-33.450000000000003</v>
      </c>
    </row>
    <row r="221" spans="1:4" x14ac:dyDescent="0.25">
      <c r="A221" s="88" t="s">
        <v>320</v>
      </c>
      <c r="B221" s="20" t="s">
        <v>377</v>
      </c>
      <c r="C221" s="20" t="s">
        <v>350</v>
      </c>
      <c r="D221" s="148">
        <v>-18</v>
      </c>
    </row>
    <row r="222" spans="1:4" x14ac:dyDescent="0.25">
      <c r="A222" s="88" t="s">
        <v>320</v>
      </c>
      <c r="B222" s="20" t="s">
        <v>378</v>
      </c>
      <c r="C222" s="20" t="s">
        <v>350</v>
      </c>
      <c r="D222" s="148">
        <v>-14</v>
      </c>
    </row>
    <row r="223" spans="1:4" x14ac:dyDescent="0.25">
      <c r="A223" s="88" t="s">
        <v>320</v>
      </c>
      <c r="B223" s="20" t="s">
        <v>379</v>
      </c>
      <c r="C223" s="20" t="s">
        <v>312</v>
      </c>
      <c r="D223" s="148">
        <v>-45</v>
      </c>
    </row>
    <row r="224" spans="1:4" x14ac:dyDescent="0.25">
      <c r="A224" s="88" t="s">
        <v>320</v>
      </c>
      <c r="B224" s="20" t="s">
        <v>380</v>
      </c>
      <c r="C224" s="20" t="s">
        <v>312</v>
      </c>
      <c r="D224" s="148">
        <v>-8.8000000000000007</v>
      </c>
    </row>
    <row r="225" spans="1:4" x14ac:dyDescent="0.25">
      <c r="A225" s="88" t="s">
        <v>320</v>
      </c>
      <c r="B225" s="20" t="s">
        <v>381</v>
      </c>
      <c r="C225" s="20" t="s">
        <v>350</v>
      </c>
      <c r="D225" s="148">
        <v>-0.26</v>
      </c>
    </row>
    <row r="226" spans="1:4" x14ac:dyDescent="0.25">
      <c r="A226" s="88" t="s">
        <v>320</v>
      </c>
      <c r="B226" s="20" t="s">
        <v>382</v>
      </c>
      <c r="C226" s="20" t="s">
        <v>312</v>
      </c>
      <c r="D226" s="148">
        <v>-44.34</v>
      </c>
    </row>
    <row r="227" spans="1:4" x14ac:dyDescent="0.25">
      <c r="A227" s="88" t="s">
        <v>320</v>
      </c>
      <c r="B227" s="20" t="s">
        <v>383</v>
      </c>
      <c r="C227" s="20" t="s">
        <v>350</v>
      </c>
      <c r="D227" s="148">
        <v>-2</v>
      </c>
    </row>
    <row r="228" spans="1:4" x14ac:dyDescent="0.25">
      <c r="A228" s="88" t="s">
        <v>320</v>
      </c>
      <c r="B228" s="20" t="s">
        <v>384</v>
      </c>
      <c r="C228" s="20" t="s">
        <v>350</v>
      </c>
      <c r="D228" s="148">
        <v>-0.06</v>
      </c>
    </row>
    <row r="229" spans="1:4" x14ac:dyDescent="0.25">
      <c r="A229" s="88" t="s">
        <v>321</v>
      </c>
      <c r="B229" s="20" t="s">
        <v>385</v>
      </c>
      <c r="C229" s="20" t="s">
        <v>312</v>
      </c>
      <c r="D229" s="148"/>
    </row>
    <row r="230" spans="1:4" x14ac:dyDescent="0.25">
      <c r="A230" s="88" t="s">
        <v>321</v>
      </c>
      <c r="B230" s="20" t="s">
        <v>386</v>
      </c>
      <c r="C230" s="20" t="s">
        <v>312</v>
      </c>
      <c r="D230" s="148"/>
    </row>
    <row r="231" spans="1:4" x14ac:dyDescent="0.25">
      <c r="A231" s="88" t="s">
        <v>321</v>
      </c>
      <c r="B231" s="20" t="s">
        <v>387</v>
      </c>
      <c r="C231" s="20" t="s">
        <v>312</v>
      </c>
      <c r="D231" s="148">
        <v>-12</v>
      </c>
    </row>
    <row r="232" spans="1:4" x14ac:dyDescent="0.25">
      <c r="A232" s="88" t="s">
        <v>321</v>
      </c>
      <c r="B232" s="20" t="s">
        <v>388</v>
      </c>
      <c r="C232" s="20" t="s">
        <v>312</v>
      </c>
      <c r="D232" s="148">
        <v>-14</v>
      </c>
    </row>
    <row r="233" spans="1:4" x14ac:dyDescent="0.25">
      <c r="A233" s="88" t="s">
        <v>321</v>
      </c>
      <c r="B233" s="20" t="s">
        <v>389</v>
      </c>
      <c r="C233" s="20" t="s">
        <v>312</v>
      </c>
      <c r="D233" s="148"/>
    </row>
    <row r="234" spans="1:4" x14ac:dyDescent="0.25">
      <c r="A234" s="88" t="s">
        <v>321</v>
      </c>
      <c r="B234" s="20" t="s">
        <v>390</v>
      </c>
      <c r="C234" s="20" t="s">
        <v>312</v>
      </c>
      <c r="D234" s="148">
        <v>450</v>
      </c>
    </row>
    <row r="235" spans="1:4" x14ac:dyDescent="0.25">
      <c r="A235" s="88" t="s">
        <v>321</v>
      </c>
      <c r="B235" s="20" t="s">
        <v>391</v>
      </c>
      <c r="C235" s="20" t="s">
        <v>350</v>
      </c>
      <c r="D235" s="148">
        <v>-0.34</v>
      </c>
    </row>
    <row r="236" spans="1:4" x14ac:dyDescent="0.25">
      <c r="A236" s="88" t="s">
        <v>321</v>
      </c>
      <c r="B236" s="20" t="s">
        <v>392</v>
      </c>
      <c r="C236" s="20" t="s">
        <v>312</v>
      </c>
      <c r="D236" s="148">
        <v>-19.25</v>
      </c>
    </row>
    <row r="237" spans="1:4" x14ac:dyDescent="0.25">
      <c r="A237" s="88" t="s">
        <v>321</v>
      </c>
      <c r="B237" s="20" t="s">
        <v>393</v>
      </c>
      <c r="C237" s="20" t="s">
        <v>312</v>
      </c>
      <c r="D237" s="148"/>
    </row>
    <row r="238" spans="1:4" x14ac:dyDescent="0.25">
      <c r="A238" s="88" t="s">
        <v>321</v>
      </c>
      <c r="B238" s="20" t="s">
        <v>394</v>
      </c>
      <c r="C238" s="20" t="s">
        <v>312</v>
      </c>
      <c r="D238" s="148">
        <v>-15</v>
      </c>
    </row>
    <row r="239" spans="1:4" x14ac:dyDescent="0.25">
      <c r="A239" s="88" t="s">
        <v>321</v>
      </c>
      <c r="B239" s="20" t="s">
        <v>395</v>
      </c>
      <c r="C239" s="20" t="s">
        <v>312</v>
      </c>
      <c r="D239" s="148"/>
    </row>
    <row r="240" spans="1:4" x14ac:dyDescent="0.25">
      <c r="A240" s="88" t="s">
        <v>321</v>
      </c>
      <c r="B240" s="20" t="s">
        <v>396</v>
      </c>
      <c r="C240" s="20" t="s">
        <v>312</v>
      </c>
      <c r="D240" s="148">
        <v>-7.5</v>
      </c>
    </row>
    <row r="241" spans="1:4" x14ac:dyDescent="0.25">
      <c r="A241" s="88" t="s">
        <v>321</v>
      </c>
      <c r="B241" s="20" t="s">
        <v>397</v>
      </c>
      <c r="C241" s="20" t="s">
        <v>350</v>
      </c>
      <c r="D241" s="148">
        <v>-4</v>
      </c>
    </row>
    <row r="242" spans="1:4" x14ac:dyDescent="0.25">
      <c r="A242" s="88" t="s">
        <v>321</v>
      </c>
      <c r="B242" s="20" t="s">
        <v>398</v>
      </c>
      <c r="C242" s="20" t="s">
        <v>350</v>
      </c>
      <c r="D242" s="148"/>
    </row>
    <row r="243" spans="1:4" x14ac:dyDescent="0.25">
      <c r="A243" s="88" t="s">
        <v>321</v>
      </c>
      <c r="B243" s="20" t="s">
        <v>399</v>
      </c>
      <c r="C243" s="20" t="s">
        <v>400</v>
      </c>
      <c r="D243" s="148">
        <v>-200</v>
      </c>
    </row>
    <row r="244" spans="1:4" x14ac:dyDescent="0.25">
      <c r="A244" s="88" t="s">
        <v>321</v>
      </c>
      <c r="B244" s="20" t="s">
        <v>401</v>
      </c>
      <c r="C244" s="20" t="s">
        <v>312</v>
      </c>
      <c r="D244" s="148">
        <v>-8.3000000000000007</v>
      </c>
    </row>
    <row r="245" spans="1:4" x14ac:dyDescent="0.25">
      <c r="A245" s="88" t="s">
        <v>321</v>
      </c>
      <c r="B245" s="20" t="s">
        <v>344</v>
      </c>
      <c r="C245" s="20" t="s">
        <v>312</v>
      </c>
      <c r="D245" s="148">
        <v>-18.600000000000001</v>
      </c>
    </row>
    <row r="246" spans="1:4" x14ac:dyDescent="0.25">
      <c r="A246" s="88" t="s">
        <v>321</v>
      </c>
      <c r="B246" s="20" t="s">
        <v>402</v>
      </c>
      <c r="C246" s="20" t="s">
        <v>353</v>
      </c>
      <c r="D246" s="148">
        <v>-0.21</v>
      </c>
    </row>
    <row r="247" spans="1:4" x14ac:dyDescent="0.25">
      <c r="A247" s="88" t="s">
        <v>321</v>
      </c>
      <c r="B247" s="20" t="s">
        <v>403</v>
      </c>
      <c r="C247" s="20" t="s">
        <v>350</v>
      </c>
      <c r="D247" s="148">
        <v>-14</v>
      </c>
    </row>
    <row r="248" spans="1:4" x14ac:dyDescent="0.25">
      <c r="A248" s="88"/>
      <c r="B248" s="20"/>
      <c r="C248" s="20"/>
      <c r="D248" s="148"/>
    </row>
    <row r="249" spans="1:4" x14ac:dyDescent="0.25">
      <c r="A249" s="88" t="s">
        <v>323</v>
      </c>
      <c r="B249" s="20" t="s">
        <v>403</v>
      </c>
      <c r="C249" s="20" t="s">
        <v>353</v>
      </c>
      <c r="D249" s="148">
        <v>-14</v>
      </c>
    </row>
    <row r="250" spans="1:4" x14ac:dyDescent="0.25">
      <c r="A250" s="88" t="s">
        <v>323</v>
      </c>
      <c r="B250" t="s">
        <v>404</v>
      </c>
      <c r="C250" t="s">
        <v>312</v>
      </c>
      <c r="D250" s="1">
        <v>-45</v>
      </c>
    </row>
    <row r="251" spans="1:4" x14ac:dyDescent="0.25">
      <c r="A251" s="88" t="s">
        <v>323</v>
      </c>
      <c r="B251" t="s">
        <v>387</v>
      </c>
      <c r="C251" t="s">
        <v>312</v>
      </c>
      <c r="D251" s="1">
        <v>-15</v>
      </c>
    </row>
    <row r="252" spans="1:4" x14ac:dyDescent="0.25">
      <c r="A252" s="88" t="s">
        <v>323</v>
      </c>
      <c r="B252" t="s">
        <v>388</v>
      </c>
      <c r="C252" t="s">
        <v>405</v>
      </c>
      <c r="D252" s="1">
        <v>-15</v>
      </c>
    </row>
    <row r="253" spans="1:4" x14ac:dyDescent="0.25">
      <c r="A253" s="88" t="s">
        <v>323</v>
      </c>
      <c r="B253" t="s">
        <v>406</v>
      </c>
      <c r="C253" t="s">
        <v>312</v>
      </c>
      <c r="D253" s="1">
        <v>-17</v>
      </c>
    </row>
    <row r="254" spans="1:4" x14ac:dyDescent="0.25">
      <c r="A254" s="88" t="s">
        <v>323</v>
      </c>
      <c r="B254" s="20" t="s">
        <v>407</v>
      </c>
      <c r="C254" s="20" t="s">
        <v>312</v>
      </c>
      <c r="D254" s="148">
        <v>-15</v>
      </c>
    </row>
    <row r="255" spans="1:4" x14ac:dyDescent="0.25">
      <c r="A255" s="88" t="s">
        <v>323</v>
      </c>
      <c r="B255" t="s">
        <v>408</v>
      </c>
      <c r="C255" t="s">
        <v>312</v>
      </c>
      <c r="D255" s="1">
        <v>-5</v>
      </c>
    </row>
    <row r="256" spans="1:4" x14ac:dyDescent="0.25">
      <c r="A256" s="88" t="s">
        <v>323</v>
      </c>
      <c r="B256" t="s">
        <v>398</v>
      </c>
      <c r="C256" t="s">
        <v>350</v>
      </c>
      <c r="D256" s="1">
        <v>-0.3</v>
      </c>
    </row>
    <row r="257" spans="1:4" x14ac:dyDescent="0.25">
      <c r="A257" s="88" t="s">
        <v>323</v>
      </c>
      <c r="B257" t="s">
        <v>409</v>
      </c>
      <c r="C257" t="s">
        <v>312</v>
      </c>
      <c r="D257" s="1">
        <v>-15</v>
      </c>
    </row>
    <row r="258" spans="1:4" x14ac:dyDescent="0.25">
      <c r="A258" s="88" t="s">
        <v>323</v>
      </c>
      <c r="B258" t="s">
        <v>410</v>
      </c>
      <c r="C258" t="s">
        <v>353</v>
      </c>
      <c r="D258" s="1">
        <v>-4</v>
      </c>
    </row>
    <row r="259" spans="1:4" x14ac:dyDescent="0.25">
      <c r="A259" s="88" t="s">
        <v>323</v>
      </c>
      <c r="B259" t="s">
        <v>411</v>
      </c>
      <c r="C259" t="s">
        <v>350</v>
      </c>
      <c r="D259" s="1">
        <v>-0.26</v>
      </c>
    </row>
    <row r="260" spans="1:4" x14ac:dyDescent="0.25">
      <c r="A260" s="88" t="s">
        <v>324</v>
      </c>
      <c r="B260" t="s">
        <v>295</v>
      </c>
      <c r="C260" t="s">
        <v>312</v>
      </c>
      <c r="D260" s="1"/>
    </row>
    <row r="261" spans="1:4" x14ac:dyDescent="0.25">
      <c r="A261" s="88" t="s">
        <v>324</v>
      </c>
      <c r="B261" t="s">
        <v>283</v>
      </c>
      <c r="C261" t="s">
        <v>312</v>
      </c>
      <c r="D261" s="1"/>
    </row>
    <row r="262" spans="1:4" x14ac:dyDescent="0.25">
      <c r="A262" s="88" t="s">
        <v>324</v>
      </c>
      <c r="B262" t="s">
        <v>412</v>
      </c>
      <c r="C262" t="s">
        <v>312</v>
      </c>
      <c r="D262" s="1"/>
    </row>
    <row r="263" spans="1:4" x14ac:dyDescent="0.25">
      <c r="A263" s="88" t="s">
        <v>327</v>
      </c>
      <c r="B263" t="s">
        <v>413</v>
      </c>
      <c r="C263" t="s">
        <v>312</v>
      </c>
      <c r="D263" s="1"/>
    </row>
    <row r="264" spans="1:4" x14ac:dyDescent="0.25">
      <c r="A264" s="88" t="s">
        <v>327</v>
      </c>
      <c r="B264" t="s">
        <v>414</v>
      </c>
      <c r="C264" t="s">
        <v>312</v>
      </c>
      <c r="D264" s="1"/>
    </row>
    <row r="265" spans="1:4" x14ac:dyDescent="0.25">
      <c r="A265" s="88" t="s">
        <v>415</v>
      </c>
      <c r="B265" t="s">
        <v>362</v>
      </c>
      <c r="C265" t="s">
        <v>312</v>
      </c>
      <c r="D265" s="1">
        <v>-50</v>
      </c>
    </row>
    <row r="266" spans="1:4" x14ac:dyDescent="0.25">
      <c r="A266" s="88" t="s">
        <v>325</v>
      </c>
      <c r="B266" t="s">
        <v>396</v>
      </c>
      <c r="C266" t="s">
        <v>312</v>
      </c>
      <c r="D266" s="1">
        <v>-7.5</v>
      </c>
    </row>
    <row r="267" spans="1:4" x14ac:dyDescent="0.25">
      <c r="A267" s="88" t="s">
        <v>322</v>
      </c>
      <c r="B267" t="s">
        <v>416</v>
      </c>
      <c r="C267" t="s">
        <v>350</v>
      </c>
      <c r="D267" s="1">
        <v>-18</v>
      </c>
    </row>
    <row r="268" spans="1:4" x14ac:dyDescent="0.25">
      <c r="A268" s="88" t="s">
        <v>322</v>
      </c>
      <c r="B268" t="s">
        <v>417</v>
      </c>
      <c r="C268" t="s">
        <v>350</v>
      </c>
      <c r="D268" s="1">
        <v>-14</v>
      </c>
    </row>
    <row r="269" spans="1:4" x14ac:dyDescent="0.25">
      <c r="A269" s="88" t="s">
        <v>325</v>
      </c>
      <c r="B269" t="s">
        <v>418</v>
      </c>
      <c r="C269" t="s">
        <v>312</v>
      </c>
      <c r="D269" s="1">
        <v>-7.5</v>
      </c>
    </row>
    <row r="270" spans="1:4" x14ac:dyDescent="0.25">
      <c r="A270" s="88"/>
      <c r="D270" s="1"/>
    </row>
    <row r="271" spans="1:4" x14ac:dyDescent="0.25">
      <c r="D271" s="1"/>
    </row>
    <row r="272" spans="1:4" x14ac:dyDescent="0.25">
      <c r="D272" s="1"/>
    </row>
    <row r="273" spans="1:5" x14ac:dyDescent="0.25">
      <c r="D273" s="1"/>
    </row>
    <row r="274" spans="1:5" x14ac:dyDescent="0.25">
      <c r="A274" t="s">
        <v>419</v>
      </c>
      <c r="B274" t="s">
        <v>420</v>
      </c>
      <c r="C274" t="s">
        <v>421</v>
      </c>
      <c r="D274" t="s">
        <v>422</v>
      </c>
      <c r="E274" t="s">
        <v>423</v>
      </c>
    </row>
    <row r="275" spans="1:5" x14ac:dyDescent="0.25">
      <c r="A275" t="s">
        <v>424</v>
      </c>
      <c r="B275" t="s">
        <v>425</v>
      </c>
      <c r="C275" t="s">
        <v>426</v>
      </c>
      <c r="D275" t="s">
        <v>427</v>
      </c>
    </row>
    <row r="276" spans="1:5" x14ac:dyDescent="0.25">
      <c r="A276" t="s">
        <v>424</v>
      </c>
      <c r="B276" t="s">
        <v>428</v>
      </c>
      <c r="C276" t="s">
        <v>429</v>
      </c>
      <c r="D276" t="s">
        <v>430</v>
      </c>
    </row>
    <row r="277" spans="1:5" x14ac:dyDescent="0.25">
      <c r="A277" t="s">
        <v>424</v>
      </c>
      <c r="B277" t="s">
        <v>431</v>
      </c>
      <c r="C277" t="s">
        <v>426</v>
      </c>
      <c r="D277" t="s">
        <v>432</v>
      </c>
    </row>
    <row r="278" spans="1:5" x14ac:dyDescent="0.25">
      <c r="A278" t="s">
        <v>433</v>
      </c>
      <c r="B278" t="s">
        <v>434</v>
      </c>
    </row>
    <row r="279" spans="1:5" x14ac:dyDescent="0.25">
      <c r="A279" t="s">
        <v>433</v>
      </c>
      <c r="B279" t="s">
        <v>435</v>
      </c>
    </row>
    <row r="280" spans="1:5" x14ac:dyDescent="0.25">
      <c r="A280" t="s">
        <v>433</v>
      </c>
      <c r="B280" t="s">
        <v>436</v>
      </c>
    </row>
    <row r="281" spans="1:5" x14ac:dyDescent="0.25">
      <c r="A281" t="s">
        <v>433</v>
      </c>
      <c r="B281" t="s">
        <v>437</v>
      </c>
    </row>
    <row r="282" spans="1:5" x14ac:dyDescent="0.25">
      <c r="A282" t="s">
        <v>438</v>
      </c>
      <c r="B282" t="s">
        <v>439</v>
      </c>
    </row>
    <row r="289" spans="1:26" ht="23.25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54"/>
      <c r="Z289" s="54"/>
    </row>
    <row r="290" spans="1:26" x14ac:dyDescent="0.25">
      <c r="A290" s="3" t="s">
        <v>440</v>
      </c>
      <c r="B290" s="3" t="s">
        <v>441</v>
      </c>
      <c r="C290" s="3" t="s">
        <v>442</v>
      </c>
      <c r="D290" s="3" t="s">
        <v>443</v>
      </c>
      <c r="E290" s="3" t="s">
        <v>444</v>
      </c>
      <c r="F290" s="3" t="s">
        <v>115</v>
      </c>
      <c r="G290" s="3" t="s">
        <v>116</v>
      </c>
      <c r="H290" s="3" t="s">
        <v>118</v>
      </c>
      <c r="I290" s="3" t="s">
        <v>445</v>
      </c>
      <c r="J290" s="3" t="s">
        <v>303</v>
      </c>
      <c r="K290" s="3" t="s">
        <v>446</v>
      </c>
      <c r="L290" s="3" t="s">
        <v>447</v>
      </c>
      <c r="M290" s="3" t="s">
        <v>448</v>
      </c>
      <c r="N290" s="3" t="s">
        <v>449</v>
      </c>
      <c r="O290" s="3" t="s">
        <v>450</v>
      </c>
      <c r="P290" s="4" t="s">
        <v>451</v>
      </c>
      <c r="Q290" s="3" t="s">
        <v>452</v>
      </c>
      <c r="R290" s="5" t="s">
        <v>453</v>
      </c>
      <c r="S290" s="3" t="s">
        <v>454</v>
      </c>
      <c r="T290" s="5" t="s">
        <v>455</v>
      </c>
      <c r="U290" s="5" t="s">
        <v>456</v>
      </c>
      <c r="V290" s="3" t="s">
        <v>457</v>
      </c>
      <c r="W290" s="3" t="s">
        <v>20</v>
      </c>
      <c r="X290" s="3" t="s">
        <v>458</v>
      </c>
      <c r="Y290" s="5" t="s">
        <v>459</v>
      </c>
      <c r="Z290" s="5" t="s">
        <v>460</v>
      </c>
    </row>
    <row r="291" spans="1:26" x14ac:dyDescent="0.25">
      <c r="A291" s="6" t="s">
        <v>461</v>
      </c>
      <c r="B291" s="23"/>
      <c r="C291" s="23"/>
      <c r="D291" s="23" t="s">
        <v>425</v>
      </c>
      <c r="E291" s="23"/>
      <c r="F291" s="23" t="s">
        <v>74</v>
      </c>
      <c r="G291" s="23" t="s">
        <v>75</v>
      </c>
      <c r="H291" s="23" t="s">
        <v>462</v>
      </c>
      <c r="I291" s="23" t="s">
        <v>283</v>
      </c>
      <c r="J291" s="23" t="s">
        <v>463</v>
      </c>
      <c r="K291" s="26"/>
      <c r="L291" s="28"/>
      <c r="M291" s="30">
        <f>K291-L291</f>
        <v>0</v>
      </c>
      <c r="N291" s="32"/>
      <c r="O291" s="23"/>
      <c r="P291" s="35"/>
      <c r="Q291" s="38"/>
      <c r="R291" s="40">
        <f>M291/60</f>
        <v>0</v>
      </c>
      <c r="S291" s="43"/>
      <c r="T291" s="40">
        <f>R291*P291</f>
        <v>0</v>
      </c>
      <c r="U291" s="40">
        <f>R291-S291-T291</f>
        <v>0</v>
      </c>
      <c r="V291" s="46" t="s">
        <v>297</v>
      </c>
      <c r="W291" s="49">
        <f>IF(V291="SPLIT",0.65,1)</f>
        <v>1</v>
      </c>
      <c r="X291" s="52">
        <f>IF(V291="SPLIT",0.35,0)</f>
        <v>0</v>
      </c>
      <c r="Y291" s="12">
        <f>U291*W291</f>
        <v>0</v>
      </c>
      <c r="Z291" s="12">
        <f>U291*X291</f>
        <v>0</v>
      </c>
    </row>
    <row r="292" spans="1:26" x14ac:dyDescent="0.25">
      <c r="A292" s="6" t="s">
        <v>464</v>
      </c>
      <c r="B292" s="7"/>
      <c r="C292" s="7"/>
      <c r="D292" s="7"/>
      <c r="E292" s="7"/>
      <c r="F292" s="7"/>
      <c r="G292" s="7"/>
      <c r="H292" s="7"/>
      <c r="I292" s="7"/>
      <c r="J292" s="7"/>
      <c r="K292" s="25"/>
      <c r="L292" s="8"/>
      <c r="M292" s="9">
        <f>K292-L292</f>
        <v>0</v>
      </c>
      <c r="N292" s="31"/>
      <c r="O292" s="7"/>
      <c r="P292" s="34"/>
      <c r="Q292" s="37"/>
      <c r="R292" s="12">
        <f>M292/60</f>
        <v>0</v>
      </c>
      <c r="S292" s="42"/>
      <c r="T292" s="12">
        <f>R292*P292</f>
        <v>0</v>
      </c>
      <c r="U292" s="12">
        <f t="shared" ref="U292:U306" si="0">R292-S292-T292</f>
        <v>0</v>
      </c>
      <c r="V292" s="45"/>
      <c r="W292" s="48"/>
      <c r="X292" s="51"/>
      <c r="Y292" s="12">
        <f>U292*W292</f>
        <v>0</v>
      </c>
      <c r="Z292" s="12">
        <f>U292*X292</f>
        <v>0</v>
      </c>
    </row>
    <row r="293" spans="1:26" x14ac:dyDescent="0.25">
      <c r="A293" s="6" t="s">
        <v>465</v>
      </c>
      <c r="B293" s="7"/>
      <c r="C293" s="7"/>
      <c r="D293" s="7"/>
      <c r="E293" s="7"/>
      <c r="F293" s="7"/>
      <c r="G293" s="7"/>
      <c r="H293" s="7"/>
      <c r="I293" s="7"/>
      <c r="J293" s="7"/>
      <c r="K293" s="25"/>
      <c r="L293" s="8"/>
      <c r="M293" s="9">
        <f t="shared" ref="M293:M306" si="1">K293-L293</f>
        <v>0</v>
      </c>
      <c r="N293" s="31"/>
      <c r="O293" s="7"/>
      <c r="P293" s="34"/>
      <c r="Q293" s="37"/>
      <c r="R293" s="12">
        <f t="shared" ref="R293:R306" si="2">M293/60</f>
        <v>0</v>
      </c>
      <c r="S293" s="42"/>
      <c r="T293" s="12">
        <f t="shared" ref="T293:T306" si="3">R293*P293</f>
        <v>0</v>
      </c>
      <c r="U293" s="12">
        <f t="shared" si="0"/>
        <v>0</v>
      </c>
      <c r="V293" s="45"/>
      <c r="W293" s="48"/>
      <c r="X293" s="51"/>
      <c r="Y293" s="12">
        <f t="shared" ref="Y293:Y306" si="4">U293*W293</f>
        <v>0</v>
      </c>
      <c r="Z293" s="12">
        <f t="shared" ref="Z293:Z306" si="5">U293*X293</f>
        <v>0</v>
      </c>
    </row>
    <row r="294" spans="1:26" x14ac:dyDescent="0.25">
      <c r="A294" s="6" t="s">
        <v>138</v>
      </c>
      <c r="B294" s="7"/>
      <c r="C294" s="7"/>
      <c r="D294" s="7"/>
      <c r="E294" s="7"/>
      <c r="F294" s="7"/>
      <c r="G294" s="7"/>
      <c r="H294" s="7"/>
      <c r="I294" s="7"/>
      <c r="J294" s="7"/>
      <c r="K294" s="25"/>
      <c r="L294" s="8"/>
      <c r="M294" s="9">
        <f t="shared" si="1"/>
        <v>0</v>
      </c>
      <c r="N294" s="31"/>
      <c r="O294" s="7"/>
      <c r="P294" s="34"/>
      <c r="Q294" s="37"/>
      <c r="R294" s="12">
        <f t="shared" si="2"/>
        <v>0</v>
      </c>
      <c r="S294" s="42"/>
      <c r="T294" s="12">
        <f t="shared" si="3"/>
        <v>0</v>
      </c>
      <c r="U294" s="12">
        <f t="shared" si="0"/>
        <v>0</v>
      </c>
      <c r="V294" s="45"/>
      <c r="W294" s="48"/>
      <c r="X294" s="51"/>
      <c r="Y294" s="12">
        <f t="shared" si="4"/>
        <v>0</v>
      </c>
      <c r="Z294" s="12">
        <f t="shared" si="5"/>
        <v>0</v>
      </c>
    </row>
    <row r="295" spans="1:26" x14ac:dyDescent="0.25">
      <c r="A295" s="6" t="s">
        <v>466</v>
      </c>
      <c r="B295" s="7"/>
      <c r="C295" s="7"/>
      <c r="D295" s="7"/>
      <c r="E295" s="7"/>
      <c r="F295" s="7"/>
      <c r="G295" s="7"/>
      <c r="H295" s="7"/>
      <c r="I295" s="7"/>
      <c r="J295" s="7"/>
      <c r="K295" s="25"/>
      <c r="L295" s="8"/>
      <c r="M295" s="9">
        <f t="shared" si="1"/>
        <v>0</v>
      </c>
      <c r="N295" s="31"/>
      <c r="O295" s="7"/>
      <c r="P295" s="34"/>
      <c r="Q295" s="37"/>
      <c r="R295" s="12">
        <f t="shared" si="2"/>
        <v>0</v>
      </c>
      <c r="S295" s="42"/>
      <c r="T295" s="12">
        <f t="shared" si="3"/>
        <v>0</v>
      </c>
      <c r="U295" s="12">
        <f t="shared" si="0"/>
        <v>0</v>
      </c>
      <c r="V295" s="45"/>
      <c r="W295" s="48"/>
      <c r="X295" s="51"/>
      <c r="Y295" s="12">
        <f t="shared" si="4"/>
        <v>0</v>
      </c>
      <c r="Z295" s="12">
        <f t="shared" si="5"/>
        <v>0</v>
      </c>
    </row>
    <row r="296" spans="1:26" x14ac:dyDescent="0.25">
      <c r="A296" s="6" t="s">
        <v>467</v>
      </c>
      <c r="B296" s="7"/>
      <c r="C296" s="7"/>
      <c r="D296" s="7"/>
      <c r="E296" s="7"/>
      <c r="F296" s="7"/>
      <c r="G296" s="7"/>
      <c r="H296" s="7"/>
      <c r="I296" s="7"/>
      <c r="J296" s="7"/>
      <c r="K296" s="25"/>
      <c r="L296" s="8"/>
      <c r="M296" s="9">
        <f t="shared" si="1"/>
        <v>0</v>
      </c>
      <c r="N296" s="31"/>
      <c r="O296" s="7"/>
      <c r="P296" s="34"/>
      <c r="Q296" s="37"/>
      <c r="R296" s="12">
        <f t="shared" si="2"/>
        <v>0</v>
      </c>
      <c r="S296" s="42"/>
      <c r="T296" s="12">
        <f t="shared" si="3"/>
        <v>0</v>
      </c>
      <c r="U296" s="12">
        <f t="shared" si="0"/>
        <v>0</v>
      </c>
      <c r="V296" s="45"/>
      <c r="W296" s="48"/>
      <c r="X296" s="51"/>
      <c r="Y296" s="12">
        <f t="shared" si="4"/>
        <v>0</v>
      </c>
      <c r="Z296" s="12">
        <f t="shared" si="5"/>
        <v>0</v>
      </c>
    </row>
    <row r="297" spans="1:26" x14ac:dyDescent="0.25">
      <c r="A297" s="6" t="s">
        <v>461</v>
      </c>
      <c r="B297" s="7"/>
      <c r="C297" s="7"/>
      <c r="D297" s="7"/>
      <c r="E297" s="7"/>
      <c r="F297" s="7"/>
      <c r="G297" s="7"/>
      <c r="H297" s="7"/>
      <c r="I297" s="7"/>
      <c r="J297" s="7"/>
      <c r="K297" s="25"/>
      <c r="L297" s="8"/>
      <c r="M297" s="9">
        <f t="shared" si="1"/>
        <v>0</v>
      </c>
      <c r="N297" s="31"/>
      <c r="O297" s="7"/>
      <c r="P297" s="34"/>
      <c r="Q297" s="37"/>
      <c r="R297" s="12">
        <f t="shared" si="2"/>
        <v>0</v>
      </c>
      <c r="S297" s="42"/>
      <c r="T297" s="12">
        <f t="shared" si="3"/>
        <v>0</v>
      </c>
      <c r="U297" s="12">
        <f t="shared" si="0"/>
        <v>0</v>
      </c>
      <c r="V297" s="45"/>
      <c r="W297" s="48"/>
      <c r="X297" s="51"/>
      <c r="Y297" s="12">
        <f t="shared" si="4"/>
        <v>0</v>
      </c>
      <c r="Z297" s="12">
        <f t="shared" si="5"/>
        <v>0</v>
      </c>
    </row>
    <row r="298" spans="1:26" x14ac:dyDescent="0.25">
      <c r="A298" s="6" t="s">
        <v>464</v>
      </c>
      <c r="B298" s="7"/>
      <c r="C298" s="7"/>
      <c r="D298" s="7"/>
      <c r="E298" s="7"/>
      <c r="F298" s="7"/>
      <c r="G298" s="7"/>
      <c r="H298" s="7"/>
      <c r="I298" s="7"/>
      <c r="J298" s="7"/>
      <c r="K298" s="25"/>
      <c r="L298" s="8"/>
      <c r="M298" s="9">
        <f t="shared" si="1"/>
        <v>0</v>
      </c>
      <c r="N298" s="31"/>
      <c r="O298" s="7"/>
      <c r="P298" s="34"/>
      <c r="Q298" s="37"/>
      <c r="R298" s="12">
        <f t="shared" si="2"/>
        <v>0</v>
      </c>
      <c r="S298" s="42"/>
      <c r="T298" s="12">
        <f t="shared" si="3"/>
        <v>0</v>
      </c>
      <c r="U298" s="12">
        <f t="shared" si="0"/>
        <v>0</v>
      </c>
      <c r="V298" s="45"/>
      <c r="W298" s="48"/>
      <c r="X298" s="51"/>
      <c r="Y298" s="12">
        <f t="shared" si="4"/>
        <v>0</v>
      </c>
      <c r="Z298" s="12">
        <f t="shared" si="5"/>
        <v>0</v>
      </c>
    </row>
    <row r="299" spans="1:26" x14ac:dyDescent="0.25">
      <c r="A299" s="6"/>
      <c r="B299" s="7"/>
      <c r="C299" s="7"/>
      <c r="D299" s="7"/>
      <c r="E299" s="7"/>
      <c r="F299" s="7"/>
      <c r="G299" s="7"/>
      <c r="H299" s="7"/>
      <c r="I299" s="7"/>
      <c r="J299" s="7"/>
      <c r="K299" s="25"/>
      <c r="L299" s="8"/>
      <c r="M299" s="9">
        <f t="shared" si="1"/>
        <v>0</v>
      </c>
      <c r="N299" s="31"/>
      <c r="O299" s="7"/>
      <c r="P299" s="34"/>
      <c r="Q299" s="37"/>
      <c r="R299" s="12">
        <f t="shared" si="2"/>
        <v>0</v>
      </c>
      <c r="S299" s="42"/>
      <c r="T299" s="12">
        <f t="shared" si="3"/>
        <v>0</v>
      </c>
      <c r="U299" s="12">
        <f t="shared" si="0"/>
        <v>0</v>
      </c>
      <c r="V299" s="45"/>
      <c r="W299" s="48"/>
      <c r="X299" s="51"/>
      <c r="Y299" s="12">
        <f t="shared" si="4"/>
        <v>0</v>
      </c>
      <c r="Z299" s="12">
        <f t="shared" si="5"/>
        <v>0</v>
      </c>
    </row>
    <row r="300" spans="1:26" x14ac:dyDescent="0.25">
      <c r="A300" s="6"/>
      <c r="B300" s="7"/>
      <c r="C300" s="7"/>
      <c r="D300" s="7"/>
      <c r="E300" s="7"/>
      <c r="F300" s="7"/>
      <c r="G300" s="7"/>
      <c r="H300" s="7"/>
      <c r="I300" s="7"/>
      <c r="J300" s="7"/>
      <c r="K300" s="25"/>
      <c r="L300" s="8"/>
      <c r="M300" s="9">
        <f t="shared" si="1"/>
        <v>0</v>
      </c>
      <c r="N300" s="31"/>
      <c r="O300" s="7"/>
      <c r="P300" s="34"/>
      <c r="Q300" s="37"/>
      <c r="R300" s="12">
        <f t="shared" si="2"/>
        <v>0</v>
      </c>
      <c r="S300" s="42"/>
      <c r="T300" s="12">
        <f t="shared" si="3"/>
        <v>0</v>
      </c>
      <c r="U300" s="12">
        <f t="shared" si="0"/>
        <v>0</v>
      </c>
      <c r="V300" s="45"/>
      <c r="W300" s="48"/>
      <c r="X300" s="51"/>
      <c r="Y300" s="12">
        <f t="shared" si="4"/>
        <v>0</v>
      </c>
      <c r="Z300" s="12">
        <f t="shared" si="5"/>
        <v>0</v>
      </c>
    </row>
    <row r="301" spans="1:26" x14ac:dyDescent="0.25">
      <c r="A301" s="6"/>
      <c r="B301" s="7"/>
      <c r="C301" s="7"/>
      <c r="D301" s="7"/>
      <c r="E301" s="7"/>
      <c r="F301" s="7"/>
      <c r="G301" s="7"/>
      <c r="H301" s="7"/>
      <c r="I301" s="7"/>
      <c r="J301" s="7"/>
      <c r="K301" s="25"/>
      <c r="L301" s="8"/>
      <c r="M301" s="9">
        <f t="shared" si="1"/>
        <v>0</v>
      </c>
      <c r="N301" s="31"/>
      <c r="O301" s="7"/>
      <c r="P301" s="34"/>
      <c r="Q301" s="37"/>
      <c r="R301" s="12">
        <f t="shared" si="2"/>
        <v>0</v>
      </c>
      <c r="S301" s="42"/>
      <c r="T301" s="12">
        <f t="shared" si="3"/>
        <v>0</v>
      </c>
      <c r="U301" s="12">
        <f t="shared" si="0"/>
        <v>0</v>
      </c>
      <c r="V301" s="45"/>
      <c r="W301" s="48"/>
      <c r="X301" s="51"/>
      <c r="Y301" s="12">
        <f t="shared" si="4"/>
        <v>0</v>
      </c>
      <c r="Z301" s="12">
        <f t="shared" si="5"/>
        <v>0</v>
      </c>
    </row>
    <row r="302" spans="1:26" x14ac:dyDescent="0.25">
      <c r="A302" s="6"/>
      <c r="B302" s="7"/>
      <c r="C302" s="7"/>
      <c r="D302" s="7"/>
      <c r="E302" s="7"/>
      <c r="F302" s="7"/>
      <c r="G302" s="7"/>
      <c r="H302" s="7"/>
      <c r="I302" s="7"/>
      <c r="J302" s="7"/>
      <c r="K302" s="25"/>
      <c r="L302" s="8"/>
      <c r="M302" s="9">
        <f t="shared" si="1"/>
        <v>0</v>
      </c>
      <c r="N302" s="31"/>
      <c r="O302" s="7"/>
      <c r="P302" s="34"/>
      <c r="Q302" s="37"/>
      <c r="R302" s="12">
        <f t="shared" si="2"/>
        <v>0</v>
      </c>
      <c r="S302" s="42"/>
      <c r="T302" s="12">
        <f t="shared" si="3"/>
        <v>0</v>
      </c>
      <c r="U302" s="12">
        <f t="shared" si="0"/>
        <v>0</v>
      </c>
      <c r="V302" s="45"/>
      <c r="W302" s="48"/>
      <c r="X302" s="51"/>
      <c r="Y302" s="12">
        <f t="shared" si="4"/>
        <v>0</v>
      </c>
      <c r="Z302" s="12">
        <f t="shared" si="5"/>
        <v>0</v>
      </c>
    </row>
    <row r="303" spans="1:26" x14ac:dyDescent="0.25">
      <c r="A303" s="6"/>
      <c r="B303" s="7"/>
      <c r="C303" s="7"/>
      <c r="D303" s="7"/>
      <c r="E303" s="7"/>
      <c r="F303" s="7"/>
      <c r="G303" s="7"/>
      <c r="H303" s="7"/>
      <c r="I303" s="7"/>
      <c r="J303" s="7"/>
      <c r="K303" s="25"/>
      <c r="L303" s="8"/>
      <c r="M303" s="9">
        <f t="shared" si="1"/>
        <v>0</v>
      </c>
      <c r="N303" s="31"/>
      <c r="O303" s="7"/>
      <c r="P303" s="34"/>
      <c r="Q303" s="37"/>
      <c r="R303" s="12">
        <f t="shared" si="2"/>
        <v>0</v>
      </c>
      <c r="S303" s="42"/>
      <c r="T303" s="12">
        <f t="shared" si="3"/>
        <v>0</v>
      </c>
      <c r="U303" s="12">
        <f t="shared" si="0"/>
        <v>0</v>
      </c>
      <c r="V303" s="45"/>
      <c r="W303" s="48"/>
      <c r="X303" s="51"/>
      <c r="Y303" s="12">
        <f t="shared" si="4"/>
        <v>0</v>
      </c>
      <c r="Z303" s="12">
        <f t="shared" si="5"/>
        <v>0</v>
      </c>
    </row>
    <row r="304" spans="1:26" x14ac:dyDescent="0.25">
      <c r="A304" s="6"/>
      <c r="B304" s="7"/>
      <c r="C304" s="7"/>
      <c r="D304" s="7"/>
      <c r="E304" s="7"/>
      <c r="F304" s="7"/>
      <c r="G304" s="7"/>
      <c r="H304" s="7"/>
      <c r="I304" s="7"/>
      <c r="J304" s="7"/>
      <c r="K304" s="25"/>
      <c r="L304" s="8"/>
      <c r="M304" s="9">
        <f t="shared" si="1"/>
        <v>0</v>
      </c>
      <c r="N304" s="31"/>
      <c r="O304" s="7"/>
      <c r="P304" s="34"/>
      <c r="Q304" s="37"/>
      <c r="R304" s="12">
        <f t="shared" si="2"/>
        <v>0</v>
      </c>
      <c r="S304" s="42"/>
      <c r="T304" s="12">
        <f t="shared" si="3"/>
        <v>0</v>
      </c>
      <c r="U304" s="12">
        <f t="shared" si="0"/>
        <v>0</v>
      </c>
      <c r="V304" s="45"/>
      <c r="W304" s="48"/>
      <c r="X304" s="51"/>
      <c r="Y304" s="12">
        <f t="shared" si="4"/>
        <v>0</v>
      </c>
      <c r="Z304" s="12">
        <f t="shared" si="5"/>
        <v>0</v>
      </c>
    </row>
    <row r="305" spans="1:26" x14ac:dyDescent="0.25">
      <c r="A305" s="6"/>
      <c r="B305" s="7"/>
      <c r="C305" s="7"/>
      <c r="D305" s="7"/>
      <c r="E305" s="7"/>
      <c r="F305" s="7"/>
      <c r="G305" s="7"/>
      <c r="H305" s="7"/>
      <c r="I305" s="7"/>
      <c r="J305" s="7"/>
      <c r="K305" s="25"/>
      <c r="L305" s="8"/>
      <c r="M305" s="9">
        <f t="shared" si="1"/>
        <v>0</v>
      </c>
      <c r="N305" s="31"/>
      <c r="O305" s="7"/>
      <c r="P305" s="34"/>
      <c r="Q305" s="37"/>
      <c r="R305" s="12">
        <f t="shared" si="2"/>
        <v>0</v>
      </c>
      <c r="S305" s="42"/>
      <c r="T305" s="12">
        <f t="shared" si="3"/>
        <v>0</v>
      </c>
      <c r="U305" s="12">
        <f t="shared" si="0"/>
        <v>0</v>
      </c>
      <c r="V305" s="45"/>
      <c r="W305" s="48"/>
      <c r="X305" s="51"/>
      <c r="Y305" s="12">
        <f t="shared" si="4"/>
        <v>0</v>
      </c>
      <c r="Z305" s="12">
        <f t="shared" si="5"/>
        <v>0</v>
      </c>
    </row>
    <row r="306" spans="1:26" x14ac:dyDescent="0.25">
      <c r="A306" s="6"/>
      <c r="B306" s="24"/>
      <c r="C306" s="24"/>
      <c r="D306" s="24"/>
      <c r="E306" s="24"/>
      <c r="F306" s="24"/>
      <c r="G306" s="24"/>
      <c r="H306" s="24"/>
      <c r="I306" s="24"/>
      <c r="J306" s="24"/>
      <c r="K306" s="27"/>
      <c r="L306" s="29"/>
      <c r="M306" s="22">
        <f t="shared" si="1"/>
        <v>0</v>
      </c>
      <c r="N306" s="33"/>
      <c r="O306" s="24"/>
      <c r="P306" s="36"/>
      <c r="Q306" s="39"/>
      <c r="R306" s="41">
        <f t="shared" si="2"/>
        <v>0</v>
      </c>
      <c r="S306" s="44"/>
      <c r="T306" s="41">
        <f t="shared" si="3"/>
        <v>0</v>
      </c>
      <c r="U306" s="41">
        <f t="shared" si="0"/>
        <v>0</v>
      </c>
      <c r="V306" s="47"/>
      <c r="W306" s="50"/>
      <c r="X306" s="53"/>
      <c r="Y306" s="12">
        <f t="shared" si="4"/>
        <v>0</v>
      </c>
      <c r="Z306" s="12">
        <f t="shared" si="5"/>
        <v>0</v>
      </c>
    </row>
    <row r="307" spans="1:26" x14ac:dyDescent="0.25">
      <c r="A307" s="15" t="s">
        <v>468</v>
      </c>
      <c r="B307" s="15"/>
      <c r="C307" s="15"/>
      <c r="D307" s="15"/>
      <c r="E307" s="15"/>
      <c r="F307" s="15"/>
      <c r="G307" s="15"/>
      <c r="H307" s="15"/>
      <c r="I307" s="15"/>
      <c r="J307" s="15"/>
      <c r="K307" s="15">
        <f>SUBTOTAL(109,HARVESTTEMPLATE[Gross])</f>
        <v>0</v>
      </c>
      <c r="L307" s="15"/>
      <c r="M307" s="15"/>
      <c r="N307" s="15"/>
      <c r="O307" s="15"/>
      <c r="P307" s="16">
        <f>SUBTOTAL(109,HARVESTTEMPLATE[Dockage])</f>
        <v>0</v>
      </c>
      <c r="Q307" s="15"/>
      <c r="R307" s="15"/>
      <c r="S307" s="15"/>
      <c r="T307" s="15"/>
      <c r="U307" s="15"/>
      <c r="V307" s="15"/>
      <c r="W307" s="16">
        <f>SUBTOTAL(109,HARVESTTEMPLATE[MCC. ENT.])</f>
        <v>1</v>
      </c>
      <c r="X307" s="16">
        <f>SUBTOTAL(109,HARVESTTEMPLATE[L.L.])</f>
        <v>0</v>
      </c>
      <c r="Y307" s="15"/>
      <c r="Z307" s="15"/>
    </row>
    <row r="309" spans="1:26" x14ac:dyDescent="0.25">
      <c r="A309" t="s">
        <v>469</v>
      </c>
    </row>
    <row r="310" spans="1:26" x14ac:dyDescent="0.25">
      <c r="A310" t="s">
        <v>470</v>
      </c>
      <c r="B310" t="s">
        <v>1</v>
      </c>
      <c r="C310" t="s">
        <v>2</v>
      </c>
      <c r="D310" t="s">
        <v>3</v>
      </c>
      <c r="E310" t="s">
        <v>42</v>
      </c>
      <c r="F310" t="s">
        <v>318</v>
      </c>
      <c r="G310" t="s">
        <v>117</v>
      </c>
      <c r="H310" t="s">
        <v>337</v>
      </c>
      <c r="I310" t="s">
        <v>304</v>
      </c>
      <c r="J310" t="s">
        <v>305</v>
      </c>
      <c r="K310" t="s">
        <v>471</v>
      </c>
      <c r="L310" t="s">
        <v>472</v>
      </c>
      <c r="M310" t="s">
        <v>297</v>
      </c>
      <c r="N310" t="s">
        <v>458</v>
      </c>
      <c r="O310" t="s">
        <v>473</v>
      </c>
      <c r="P310" t="s">
        <v>474</v>
      </c>
      <c r="Q310" t="s">
        <v>400</v>
      </c>
    </row>
    <row r="311" spans="1:26" x14ac:dyDescent="0.25">
      <c r="A311" s="89"/>
      <c r="B311" t="s">
        <v>74</v>
      </c>
      <c r="C311" t="s">
        <v>75</v>
      </c>
      <c r="D311" t="s">
        <v>475</v>
      </c>
      <c r="E311" t="str">
        <f t="shared" ref="E311:E339" si="6">IFERROR(VLOOKUP(D311,FIELDACRE,2,FALSE)," ")</f>
        <v xml:space="preserve"> </v>
      </c>
      <c r="F311" t="s">
        <v>319</v>
      </c>
      <c r="G311" t="s">
        <v>117</v>
      </c>
      <c r="H311" t="s">
        <v>386</v>
      </c>
      <c r="I311" t="str">
        <f>IFERROR(VLOOKUP(Table26[[#This Row],[OPERATION]],OPVLOOK,2,FALSE)," ")</f>
        <v>ACRE</v>
      </c>
      <c r="J311" s="1">
        <f>IFERROR(VLOOKUP(H311,OPVLOOK,3,FALSE)," ")</f>
        <v>0</v>
      </c>
      <c r="K311" s="89">
        <v>1</v>
      </c>
      <c r="L311" t="e">
        <f>Table26[[#This Row],[QTY/A]]*Table26[[#This Row],[ACRES]]</f>
        <v>#VALUE!</v>
      </c>
      <c r="M311" t="e">
        <f>IF(L311="SPLIT",0.65,1)</f>
        <v>#VALUE!</v>
      </c>
      <c r="N311" t="e">
        <f>IF(L311="SPLIT",0.35,0)</f>
        <v>#VALUE!</v>
      </c>
      <c r="O311" s="1" t="str">
        <f>IFERROR((Table26[[#This Row],[MCC.ENT]]*Table26[[#This Row],[TOTAL]])," ")</f>
        <v xml:space="preserve"> </v>
      </c>
      <c r="P311" s="1" t="str">
        <f>IFERROR((Table26[[#This Row],[L.L.]]*Table26[[#This Row],[TOTAL]])," ")</f>
        <v xml:space="preserve"> </v>
      </c>
      <c r="Q311" s="1" t="str">
        <f>IFERROR(((Table26[[#This Row],[QTY/A]]*Table26[[#This Row],[$/UOM]])*Table26[[#This Row],[ACRES]])," ")</f>
        <v xml:space="preserve"> </v>
      </c>
    </row>
    <row r="312" spans="1:26" x14ac:dyDescent="0.25">
      <c r="A312" s="89"/>
      <c r="E312" t="str">
        <f t="shared" si="6"/>
        <v xml:space="preserve"> </v>
      </c>
      <c r="I312" t="str">
        <f>IFERROR(VLOOKUP(Table26[[#This Row],[OPERATION]],OPTBL[],2,FALSE)," ")</f>
        <v xml:space="preserve"> </v>
      </c>
      <c r="J312" s="1" t="str">
        <f>IFERROR(VLOOKUP(H312,OPTBL[],3,FALSE)," ")</f>
        <v xml:space="preserve"> </v>
      </c>
      <c r="K312" s="89"/>
      <c r="M312">
        <f t="shared" ref="M312:M337" si="7">IF(L312="SPLIT",0.65,1)</f>
        <v>1</v>
      </c>
      <c r="N312">
        <f t="shared" ref="N312:N337" si="8">IF(L312="SPLIT",0.35,0)</f>
        <v>0</v>
      </c>
      <c r="O312" s="1" t="str">
        <f>IFERROR((Table26[[#This Row],[MCC.ENT]]*Table26[[#This Row],[TOTAL]])," ")</f>
        <v xml:space="preserve"> </v>
      </c>
      <c r="P312" s="1" t="str">
        <f>IFERROR((Table26[[#This Row],[L.L.]]*Table26[[#This Row],[TOTAL]])," ")</f>
        <v xml:space="preserve"> </v>
      </c>
      <c r="Q312" s="1" t="str">
        <f>IFERROR((Table26[[#This Row],[QTY/A]]*Table26[[#This Row],[$/UOM]])," ")</f>
        <v xml:space="preserve"> </v>
      </c>
    </row>
    <row r="313" spans="1:26" x14ac:dyDescent="0.25">
      <c r="A313" s="89"/>
      <c r="E313" t="str">
        <f t="shared" si="6"/>
        <v xml:space="preserve"> </v>
      </c>
      <c r="I313" t="str">
        <f>IFERROR(VLOOKUP(Table26[[#This Row],[OPERATION]],OPTBL[],2,FALSE)," ")</f>
        <v xml:space="preserve"> </v>
      </c>
      <c r="J313" s="1" t="str">
        <f>IFERROR(VLOOKUP(H313,OPTBL[],3,FALSE)," ")</f>
        <v xml:space="preserve"> </v>
      </c>
      <c r="K313" s="89"/>
      <c r="M313">
        <f t="shared" si="7"/>
        <v>1</v>
      </c>
      <c r="N313">
        <f t="shared" si="8"/>
        <v>0</v>
      </c>
      <c r="O313" s="1" t="str">
        <f>IFERROR((Table26[[#This Row],[MCC.ENT]]*Table26[[#This Row],[TOTAL]])," ")</f>
        <v xml:space="preserve"> </v>
      </c>
      <c r="P313" s="1" t="str">
        <f>IFERROR((Table26[[#This Row],[L.L.]]*Table26[[#This Row],[TOTAL]])," ")</f>
        <v xml:space="preserve"> </v>
      </c>
      <c r="Q313" s="1" t="str">
        <f>IFERROR((Table26[[#This Row],[QTY/A]]*Table26[[#This Row],[$/UOM]])," ")</f>
        <v xml:space="preserve"> </v>
      </c>
    </row>
    <row r="314" spans="1:26" x14ac:dyDescent="0.25">
      <c r="A314" s="89"/>
      <c r="E314" t="str">
        <f t="shared" si="6"/>
        <v xml:space="preserve"> </v>
      </c>
      <c r="I314" t="str">
        <f>IFERROR(VLOOKUP(Table26[[#This Row],[OPERATION]],OPTBL[],2,FALSE)," ")</f>
        <v xml:space="preserve"> </v>
      </c>
      <c r="J314" s="1" t="str">
        <f>IFERROR(VLOOKUP(H314,OPTBL[],3,FALSE)," ")</f>
        <v xml:space="preserve"> </v>
      </c>
      <c r="K314" s="89"/>
      <c r="M314">
        <f t="shared" si="7"/>
        <v>1</v>
      </c>
      <c r="N314">
        <f t="shared" si="8"/>
        <v>0</v>
      </c>
      <c r="O314" s="1" t="str">
        <f>IFERROR((Table26[[#This Row],[MCC.ENT]]*Table26[[#This Row],[TOTAL]])," ")</f>
        <v xml:space="preserve"> </v>
      </c>
      <c r="P314" s="1" t="str">
        <f>IFERROR((Table26[[#This Row],[L.L.]]*Table26[[#This Row],[TOTAL]])," ")</f>
        <v xml:space="preserve"> </v>
      </c>
      <c r="Q314" s="1" t="str">
        <f>IFERROR((Table26[[#This Row],[QTY/A]]*Table26[[#This Row],[$/UOM]])," ")</f>
        <v xml:space="preserve"> </v>
      </c>
    </row>
    <row r="315" spans="1:26" x14ac:dyDescent="0.25">
      <c r="A315" s="89"/>
      <c r="E315" t="str">
        <f t="shared" si="6"/>
        <v xml:space="preserve"> </v>
      </c>
      <c r="I315" t="str">
        <f>IFERROR(VLOOKUP(Table26[[#This Row],[OPERATION]],OPTBL[],2,FALSE)," ")</f>
        <v xml:space="preserve"> </v>
      </c>
      <c r="J315" s="1" t="str">
        <f>IFERROR(VLOOKUP(H315,OPTBL[],3,FALSE)," ")</f>
        <v xml:space="preserve"> </v>
      </c>
      <c r="K315" s="89"/>
      <c r="M315">
        <f t="shared" ref="M315:M322" si="9">IF(L315="SPLIT",0.65,1)</f>
        <v>1</v>
      </c>
      <c r="N315">
        <f t="shared" ref="N315:N322" si="10">IF(L315="SPLIT",0.35,0)</f>
        <v>0</v>
      </c>
      <c r="O315" s="1" t="str">
        <f>IFERROR((Table26[[#This Row],[MCC.ENT]]*Table26[[#This Row],[TOTAL]])," ")</f>
        <v xml:space="preserve"> </v>
      </c>
      <c r="P315" s="1" t="str">
        <f>IFERROR((Table26[[#This Row],[L.L.]]*Table26[[#This Row],[TOTAL]])," ")</f>
        <v xml:space="preserve"> </v>
      </c>
      <c r="Q315" s="1" t="str">
        <f>IFERROR((Table26[[#This Row],[QTY/A]]*Table26[[#This Row],[$/UOM]])," ")</f>
        <v xml:space="preserve"> </v>
      </c>
    </row>
    <row r="316" spans="1:26" x14ac:dyDescent="0.25">
      <c r="A316" s="89"/>
      <c r="E316" t="str">
        <f t="shared" si="6"/>
        <v xml:space="preserve"> </v>
      </c>
      <c r="I316" t="str">
        <f>IFERROR(VLOOKUP(Table26[[#This Row],[OPERATION]],OPTBL[],2,FALSE)," ")</f>
        <v xml:space="preserve"> </v>
      </c>
      <c r="J316" s="1" t="str">
        <f>IFERROR(VLOOKUP(H316,OPTBL[],3,FALSE)," ")</f>
        <v xml:space="preserve"> </v>
      </c>
      <c r="K316" s="89"/>
      <c r="M316">
        <f t="shared" si="9"/>
        <v>1</v>
      </c>
      <c r="N316">
        <f t="shared" si="10"/>
        <v>0</v>
      </c>
      <c r="O316" s="1" t="str">
        <f>IFERROR((Table26[[#This Row],[MCC.ENT]]*Table26[[#This Row],[TOTAL]])," ")</f>
        <v xml:space="preserve"> </v>
      </c>
      <c r="P316" s="1" t="str">
        <f>IFERROR((Table26[[#This Row],[L.L.]]*Table26[[#This Row],[TOTAL]])," ")</f>
        <v xml:space="preserve"> </v>
      </c>
      <c r="Q316" s="1" t="str">
        <f>IFERROR((Table26[[#This Row],[QTY/A]]*Table26[[#This Row],[$/UOM]])," ")</f>
        <v xml:space="preserve"> </v>
      </c>
    </row>
    <row r="317" spans="1:26" x14ac:dyDescent="0.25">
      <c r="A317" s="89"/>
      <c r="E317" t="str">
        <f t="shared" si="6"/>
        <v xml:space="preserve"> </v>
      </c>
      <c r="I317" t="str">
        <f>IFERROR(VLOOKUP(Table26[[#This Row],[OPERATION]],OPTBL[],2,FALSE)," ")</f>
        <v xml:space="preserve"> </v>
      </c>
      <c r="J317" s="1" t="str">
        <f>IFERROR(VLOOKUP(H317,OPTBL[],3,FALSE)," ")</f>
        <v xml:space="preserve"> </v>
      </c>
      <c r="K317" s="89"/>
      <c r="M317">
        <f t="shared" si="9"/>
        <v>1</v>
      </c>
      <c r="N317">
        <f t="shared" si="10"/>
        <v>0</v>
      </c>
      <c r="O317" s="1" t="str">
        <f>IFERROR((Table26[[#This Row],[MCC.ENT]]*Table26[[#This Row],[TOTAL]])," ")</f>
        <v xml:space="preserve"> </v>
      </c>
      <c r="P317" s="1" t="str">
        <f>IFERROR((Table26[[#This Row],[L.L.]]*Table26[[#This Row],[TOTAL]])," ")</f>
        <v xml:space="preserve"> </v>
      </c>
      <c r="Q317" s="1" t="str">
        <f>IFERROR((Table26[[#This Row],[QTY/A]]*Table26[[#This Row],[$/UOM]])," ")</f>
        <v xml:space="preserve"> </v>
      </c>
    </row>
    <row r="318" spans="1:26" x14ac:dyDescent="0.25">
      <c r="A318" s="89"/>
      <c r="E318" t="str">
        <f t="shared" si="6"/>
        <v xml:space="preserve"> </v>
      </c>
      <c r="I318" t="str">
        <f>IFERROR(VLOOKUP(Table26[[#This Row],[OPERATION]],OPTBL[],2,FALSE)," ")</f>
        <v xml:space="preserve"> </v>
      </c>
      <c r="J318" s="1" t="str">
        <f>IFERROR(VLOOKUP(H318,OPTBL[],3,FALSE)," ")</f>
        <v xml:space="preserve"> </v>
      </c>
      <c r="K318" s="89"/>
      <c r="M318">
        <f t="shared" si="9"/>
        <v>1</v>
      </c>
      <c r="N318">
        <f t="shared" si="10"/>
        <v>0</v>
      </c>
      <c r="O318" s="1" t="str">
        <f>IFERROR((Table26[[#This Row],[MCC.ENT]]*Table26[[#This Row],[TOTAL]])," ")</f>
        <v xml:space="preserve"> </v>
      </c>
      <c r="P318" s="1" t="str">
        <f>IFERROR((Table26[[#This Row],[L.L.]]*Table26[[#This Row],[TOTAL]])," ")</f>
        <v xml:space="preserve"> </v>
      </c>
      <c r="Q318" s="1" t="str">
        <f>IFERROR((Table26[[#This Row],[QTY/A]]*Table26[[#This Row],[$/UOM]])," ")</f>
        <v xml:space="preserve"> </v>
      </c>
    </row>
    <row r="319" spans="1:26" x14ac:dyDescent="0.25">
      <c r="A319" s="89"/>
      <c r="E319" t="str">
        <f t="shared" si="6"/>
        <v xml:space="preserve"> </v>
      </c>
      <c r="I319" t="str">
        <f>IFERROR(VLOOKUP(Table26[[#This Row],[OPERATION]],OPTBL[],2,FALSE)," ")</f>
        <v xml:space="preserve"> </v>
      </c>
      <c r="J319" s="1" t="str">
        <f>IFERROR(VLOOKUP(H319,OPTBL[],3,FALSE)," ")</f>
        <v xml:space="preserve"> </v>
      </c>
      <c r="K319" s="89"/>
      <c r="M319">
        <f t="shared" si="9"/>
        <v>1</v>
      </c>
      <c r="N319">
        <f t="shared" si="10"/>
        <v>0</v>
      </c>
      <c r="O319" s="1" t="str">
        <f>IFERROR((Table26[[#This Row],[MCC.ENT]]*Table26[[#This Row],[TOTAL]])," ")</f>
        <v xml:space="preserve"> </v>
      </c>
      <c r="P319" s="1" t="str">
        <f>IFERROR((Table26[[#This Row],[L.L.]]*Table26[[#This Row],[TOTAL]])," ")</f>
        <v xml:space="preserve"> </v>
      </c>
      <c r="Q319" s="1" t="str">
        <f>IFERROR((Table26[[#This Row],[QTY/A]]*Table26[[#This Row],[$/UOM]])," ")</f>
        <v xml:space="preserve"> </v>
      </c>
    </row>
    <row r="320" spans="1:26" x14ac:dyDescent="0.25">
      <c r="A320" s="89"/>
      <c r="E320" t="str">
        <f t="shared" si="6"/>
        <v xml:space="preserve"> </v>
      </c>
      <c r="I320" t="str">
        <f>IFERROR(VLOOKUP(Table26[[#This Row],[OPERATION]],OPTBL[],2,FALSE)," ")</f>
        <v xml:space="preserve"> </v>
      </c>
      <c r="J320" s="1" t="str">
        <f>IFERROR(VLOOKUP(H320,OPTBL[],3,FALSE)," ")</f>
        <v xml:space="preserve"> </v>
      </c>
      <c r="K320" s="89"/>
      <c r="M320">
        <f t="shared" si="9"/>
        <v>1</v>
      </c>
      <c r="N320">
        <f t="shared" si="10"/>
        <v>0</v>
      </c>
      <c r="O320" s="1" t="str">
        <f>IFERROR((Table26[[#This Row],[MCC.ENT]]*Table26[[#This Row],[TOTAL]])," ")</f>
        <v xml:space="preserve"> </v>
      </c>
      <c r="P320" s="1" t="str">
        <f>IFERROR((Table26[[#This Row],[L.L.]]*Table26[[#This Row],[TOTAL]])," ")</f>
        <v xml:space="preserve"> </v>
      </c>
      <c r="Q320" s="1" t="str">
        <f>IFERROR((Table26[[#This Row],[QTY/A]]*Table26[[#This Row],[$/UOM]])," ")</f>
        <v xml:space="preserve"> </v>
      </c>
    </row>
    <row r="321" spans="1:17" x14ac:dyDescent="0.25">
      <c r="A321" s="89"/>
      <c r="E321" t="str">
        <f t="shared" si="6"/>
        <v xml:space="preserve"> </v>
      </c>
      <c r="I321" t="str">
        <f>IFERROR(VLOOKUP(Table26[[#This Row],[OPERATION]],OPTBL[],2,FALSE)," ")</f>
        <v xml:space="preserve"> </v>
      </c>
      <c r="J321" s="1" t="str">
        <f>IFERROR(VLOOKUP(H321,OPTBL[],3,FALSE)," ")</f>
        <v xml:space="preserve"> </v>
      </c>
      <c r="K321" s="89"/>
      <c r="M321">
        <f t="shared" si="9"/>
        <v>1</v>
      </c>
      <c r="N321">
        <f t="shared" si="10"/>
        <v>0</v>
      </c>
      <c r="O321" s="1" t="str">
        <f>IFERROR((Table26[[#This Row],[MCC.ENT]]*Table26[[#This Row],[TOTAL]])," ")</f>
        <v xml:space="preserve"> </v>
      </c>
      <c r="P321" s="1" t="str">
        <f>IFERROR((Table26[[#This Row],[L.L.]]*Table26[[#This Row],[TOTAL]])," ")</f>
        <v xml:space="preserve"> </v>
      </c>
      <c r="Q321" s="1" t="str">
        <f>IFERROR((Table26[[#This Row],[QTY/A]]*Table26[[#This Row],[$/UOM]])," ")</f>
        <v xml:space="preserve"> </v>
      </c>
    </row>
    <row r="322" spans="1:17" x14ac:dyDescent="0.25">
      <c r="A322" s="89"/>
      <c r="E322" t="str">
        <f t="shared" si="6"/>
        <v xml:space="preserve"> </v>
      </c>
      <c r="I322" t="str">
        <f>IFERROR(VLOOKUP(Table26[[#This Row],[OPERATION]],OPTBL[],2,FALSE)," ")</f>
        <v xml:space="preserve"> </v>
      </c>
      <c r="J322" s="1" t="str">
        <f>IFERROR(VLOOKUP(H322,OPTBL[],3,FALSE)," ")</f>
        <v xml:space="preserve"> </v>
      </c>
      <c r="K322" s="89"/>
      <c r="M322">
        <f t="shared" si="9"/>
        <v>1</v>
      </c>
      <c r="N322">
        <f t="shared" si="10"/>
        <v>0</v>
      </c>
      <c r="O322" s="1" t="str">
        <f>IFERROR((Table26[[#This Row],[MCC.ENT]]*Table26[[#This Row],[TOTAL]])," ")</f>
        <v xml:space="preserve"> </v>
      </c>
      <c r="P322" s="1" t="str">
        <f>IFERROR((Table26[[#This Row],[L.L.]]*Table26[[#This Row],[TOTAL]])," ")</f>
        <v xml:space="preserve"> </v>
      </c>
      <c r="Q322" s="1" t="str">
        <f>IFERROR((Table26[[#This Row],[QTY/A]]*Table26[[#This Row],[$/UOM]])," ")</f>
        <v xml:space="preserve"> </v>
      </c>
    </row>
    <row r="323" spans="1:17" x14ac:dyDescent="0.25">
      <c r="A323" s="89"/>
      <c r="E323" t="str">
        <f t="shared" si="6"/>
        <v xml:space="preserve"> </v>
      </c>
      <c r="I323" t="str">
        <f>IFERROR(VLOOKUP(Table26[[#This Row],[OPERATION]],OPTBL[],2,FALSE)," ")</f>
        <v xml:space="preserve"> </v>
      </c>
      <c r="J323" s="1" t="str">
        <f>IFERROR(VLOOKUP(H323,OPTBL[],3,FALSE)," ")</f>
        <v xml:space="preserve"> </v>
      </c>
      <c r="K323" s="89"/>
      <c r="M323">
        <f t="shared" ref="M323:M330" si="11">IF(L323="SPLIT",0.65,1)</f>
        <v>1</v>
      </c>
      <c r="N323">
        <f t="shared" ref="N323:N330" si="12">IF(L323="SPLIT",0.35,0)</f>
        <v>0</v>
      </c>
      <c r="O323" s="1" t="str">
        <f>IFERROR((Table26[[#This Row],[MCC.ENT]]*Table26[[#This Row],[TOTAL]])," ")</f>
        <v xml:space="preserve"> </v>
      </c>
      <c r="P323" s="1" t="str">
        <f>IFERROR((Table26[[#This Row],[L.L.]]*Table26[[#This Row],[TOTAL]])," ")</f>
        <v xml:space="preserve"> </v>
      </c>
      <c r="Q323" s="1" t="str">
        <f>IFERROR((Table26[[#This Row],[QTY/A]]*Table26[[#This Row],[$/UOM]])," ")</f>
        <v xml:space="preserve"> </v>
      </c>
    </row>
    <row r="324" spans="1:17" x14ac:dyDescent="0.25">
      <c r="A324" s="89"/>
      <c r="E324" t="str">
        <f t="shared" si="6"/>
        <v xml:space="preserve"> </v>
      </c>
      <c r="I324" t="str">
        <f>IFERROR(VLOOKUP(Table26[[#This Row],[OPERATION]],OPTBL[],2,FALSE)," ")</f>
        <v xml:space="preserve"> </v>
      </c>
      <c r="J324" s="1" t="str">
        <f>IFERROR(VLOOKUP(H324,OPTBL[],3,FALSE)," ")</f>
        <v xml:space="preserve"> </v>
      </c>
      <c r="K324" s="89"/>
      <c r="M324">
        <f t="shared" si="11"/>
        <v>1</v>
      </c>
      <c r="N324">
        <f t="shared" si="12"/>
        <v>0</v>
      </c>
      <c r="O324" s="1" t="str">
        <f>IFERROR((Table26[[#This Row],[MCC.ENT]]*Table26[[#This Row],[TOTAL]])," ")</f>
        <v xml:space="preserve"> </v>
      </c>
      <c r="P324" s="1" t="str">
        <f>IFERROR((Table26[[#This Row],[L.L.]]*Table26[[#This Row],[TOTAL]])," ")</f>
        <v xml:space="preserve"> </v>
      </c>
      <c r="Q324" s="1" t="str">
        <f>IFERROR((Table26[[#This Row],[QTY/A]]*Table26[[#This Row],[$/UOM]])," ")</f>
        <v xml:space="preserve"> </v>
      </c>
    </row>
    <row r="325" spans="1:17" x14ac:dyDescent="0.25">
      <c r="A325" s="89"/>
      <c r="E325" t="str">
        <f t="shared" si="6"/>
        <v xml:space="preserve"> </v>
      </c>
      <c r="I325" t="str">
        <f>IFERROR(VLOOKUP(Table26[[#This Row],[OPERATION]],OPTBL[],2,FALSE)," ")</f>
        <v xml:space="preserve"> </v>
      </c>
      <c r="J325" s="1" t="str">
        <f>IFERROR(VLOOKUP(H325,OPTBL[],3,FALSE)," ")</f>
        <v xml:space="preserve"> </v>
      </c>
      <c r="K325" s="89"/>
      <c r="M325">
        <f t="shared" si="11"/>
        <v>1</v>
      </c>
      <c r="N325">
        <f t="shared" si="12"/>
        <v>0</v>
      </c>
      <c r="O325" s="1" t="str">
        <f>IFERROR((Table26[[#This Row],[MCC.ENT]]*Table26[[#This Row],[TOTAL]])," ")</f>
        <v xml:space="preserve"> </v>
      </c>
      <c r="P325" s="1" t="str">
        <f>IFERROR((Table26[[#This Row],[L.L.]]*Table26[[#This Row],[TOTAL]])," ")</f>
        <v xml:space="preserve"> </v>
      </c>
      <c r="Q325" s="1" t="str">
        <f>IFERROR((Table26[[#This Row],[QTY/A]]*Table26[[#This Row],[$/UOM]])," ")</f>
        <v xml:space="preserve"> </v>
      </c>
    </row>
    <row r="326" spans="1:17" x14ac:dyDescent="0.25">
      <c r="A326" s="89"/>
      <c r="E326" t="str">
        <f t="shared" si="6"/>
        <v xml:space="preserve"> </v>
      </c>
      <c r="I326" t="str">
        <f>IFERROR(VLOOKUP(Table26[[#This Row],[OPERATION]],OPTBL[],2,FALSE)," ")</f>
        <v xml:space="preserve"> </v>
      </c>
      <c r="J326" s="1" t="str">
        <f>IFERROR(VLOOKUP(H326,OPTBL[],3,FALSE)," ")</f>
        <v xml:space="preserve"> </v>
      </c>
      <c r="K326" s="89"/>
      <c r="M326">
        <f t="shared" si="11"/>
        <v>1</v>
      </c>
      <c r="N326">
        <f t="shared" si="12"/>
        <v>0</v>
      </c>
      <c r="O326" s="1" t="str">
        <f>IFERROR((Table26[[#This Row],[MCC.ENT]]*Table26[[#This Row],[TOTAL]])," ")</f>
        <v xml:space="preserve"> </v>
      </c>
      <c r="P326" s="1" t="str">
        <f>IFERROR((Table26[[#This Row],[L.L.]]*Table26[[#This Row],[TOTAL]])," ")</f>
        <v xml:space="preserve"> </v>
      </c>
      <c r="Q326" s="1" t="str">
        <f>IFERROR((Table26[[#This Row],[QTY/A]]*Table26[[#This Row],[$/UOM]])," ")</f>
        <v xml:space="preserve"> </v>
      </c>
    </row>
    <row r="327" spans="1:17" x14ac:dyDescent="0.25">
      <c r="A327" s="89"/>
      <c r="E327" t="str">
        <f t="shared" si="6"/>
        <v xml:space="preserve"> </v>
      </c>
      <c r="I327" t="str">
        <f>IFERROR(VLOOKUP(Table26[[#This Row],[OPERATION]],OPTBL[],2,FALSE)," ")</f>
        <v xml:space="preserve"> </v>
      </c>
      <c r="J327" s="1" t="str">
        <f>IFERROR(VLOOKUP(H327,OPTBL[],3,FALSE)," ")</f>
        <v xml:space="preserve"> </v>
      </c>
      <c r="K327" s="89"/>
      <c r="M327">
        <f t="shared" si="11"/>
        <v>1</v>
      </c>
      <c r="N327">
        <f t="shared" si="12"/>
        <v>0</v>
      </c>
      <c r="O327" s="1" t="str">
        <f>IFERROR((Table26[[#This Row],[MCC.ENT]]*Table26[[#This Row],[TOTAL]])," ")</f>
        <v xml:space="preserve"> </v>
      </c>
      <c r="P327" s="1" t="str">
        <f>IFERROR((Table26[[#This Row],[L.L.]]*Table26[[#This Row],[TOTAL]])," ")</f>
        <v xml:space="preserve"> </v>
      </c>
      <c r="Q327" s="1" t="str">
        <f>IFERROR((Table26[[#This Row],[QTY/A]]*Table26[[#This Row],[$/UOM]])," ")</f>
        <v xml:space="preserve"> </v>
      </c>
    </row>
    <row r="328" spans="1:17" x14ac:dyDescent="0.25">
      <c r="A328" s="89"/>
      <c r="E328" t="str">
        <f t="shared" si="6"/>
        <v xml:space="preserve"> </v>
      </c>
      <c r="I328" t="str">
        <f>IFERROR(VLOOKUP(Table26[[#This Row],[OPERATION]],OPTBL[],2,FALSE)," ")</f>
        <v xml:space="preserve"> </v>
      </c>
      <c r="J328" s="1" t="str">
        <f>IFERROR(VLOOKUP(H328,OPTBL[],3,FALSE)," ")</f>
        <v xml:space="preserve"> </v>
      </c>
      <c r="K328" s="89"/>
      <c r="M328">
        <f t="shared" si="11"/>
        <v>1</v>
      </c>
      <c r="N328">
        <f t="shared" si="12"/>
        <v>0</v>
      </c>
      <c r="O328" s="1" t="str">
        <f>IFERROR((Table26[[#This Row],[MCC.ENT]]*Table26[[#This Row],[TOTAL]])," ")</f>
        <v xml:space="preserve"> </v>
      </c>
      <c r="P328" s="1" t="str">
        <f>IFERROR((Table26[[#This Row],[L.L.]]*Table26[[#This Row],[TOTAL]])," ")</f>
        <v xml:space="preserve"> </v>
      </c>
      <c r="Q328" s="1" t="str">
        <f>IFERROR((Table26[[#This Row],[QTY/A]]*Table26[[#This Row],[$/UOM]])," ")</f>
        <v xml:space="preserve"> </v>
      </c>
    </row>
    <row r="329" spans="1:17" x14ac:dyDescent="0.25">
      <c r="A329" s="89"/>
      <c r="E329" t="str">
        <f t="shared" si="6"/>
        <v xml:space="preserve"> </v>
      </c>
      <c r="I329" t="str">
        <f>IFERROR(VLOOKUP(Table26[[#This Row],[OPERATION]],OPTBL[],2,FALSE)," ")</f>
        <v xml:space="preserve"> </v>
      </c>
      <c r="J329" s="1" t="str">
        <f>IFERROR(VLOOKUP(H329,OPTBL[],3,FALSE)," ")</f>
        <v xml:space="preserve"> </v>
      </c>
      <c r="K329" s="89"/>
      <c r="M329">
        <f t="shared" si="11"/>
        <v>1</v>
      </c>
      <c r="N329">
        <f t="shared" si="12"/>
        <v>0</v>
      </c>
      <c r="O329" s="1" t="str">
        <f>IFERROR((Table26[[#This Row],[MCC.ENT]]*Table26[[#This Row],[TOTAL]])," ")</f>
        <v xml:space="preserve"> </v>
      </c>
      <c r="P329" s="1" t="str">
        <f>IFERROR((Table26[[#This Row],[L.L.]]*Table26[[#This Row],[TOTAL]])," ")</f>
        <v xml:space="preserve"> </v>
      </c>
      <c r="Q329" s="1" t="str">
        <f>IFERROR((Table26[[#This Row],[QTY/A]]*Table26[[#This Row],[$/UOM]])," ")</f>
        <v xml:space="preserve"> </v>
      </c>
    </row>
    <row r="330" spans="1:17" x14ac:dyDescent="0.25">
      <c r="A330" s="89"/>
      <c r="E330" t="str">
        <f t="shared" si="6"/>
        <v xml:space="preserve"> </v>
      </c>
      <c r="I330" t="str">
        <f>IFERROR(VLOOKUP(Table26[[#This Row],[OPERATION]],OPTBL[],2,FALSE)," ")</f>
        <v xml:space="preserve"> </v>
      </c>
      <c r="J330" s="1" t="str">
        <f>IFERROR(VLOOKUP(H330,OPTBL[],3,FALSE)," ")</f>
        <v xml:space="preserve"> </v>
      </c>
      <c r="K330" s="89"/>
      <c r="M330">
        <f t="shared" si="11"/>
        <v>1</v>
      </c>
      <c r="N330">
        <f t="shared" si="12"/>
        <v>0</v>
      </c>
      <c r="O330" s="1" t="str">
        <f>IFERROR((Table26[[#This Row],[MCC.ENT]]*Table26[[#This Row],[TOTAL]])," ")</f>
        <v xml:space="preserve"> </v>
      </c>
      <c r="P330" s="1" t="str">
        <f>IFERROR((Table26[[#This Row],[L.L.]]*Table26[[#This Row],[TOTAL]])," ")</f>
        <v xml:space="preserve"> </v>
      </c>
      <c r="Q330" s="1" t="str">
        <f>IFERROR((Table26[[#This Row],[QTY/A]]*Table26[[#This Row],[$/UOM]])," ")</f>
        <v xml:space="preserve"> </v>
      </c>
    </row>
    <row r="331" spans="1:17" x14ac:dyDescent="0.25">
      <c r="A331" s="89"/>
      <c r="E331" t="str">
        <f t="shared" si="6"/>
        <v xml:space="preserve"> </v>
      </c>
      <c r="I331" t="str">
        <f>IFERROR(VLOOKUP(Table26[[#This Row],[OPERATION]],OPTBL[],2,FALSE)," ")</f>
        <v xml:space="preserve"> </v>
      </c>
      <c r="J331" s="1" t="str">
        <f>IFERROR(VLOOKUP(H331,OPTBL[],3,FALSE)," ")</f>
        <v xml:space="preserve"> </v>
      </c>
      <c r="K331" s="89"/>
      <c r="M331">
        <f t="shared" si="7"/>
        <v>1</v>
      </c>
      <c r="N331">
        <f t="shared" si="8"/>
        <v>0</v>
      </c>
      <c r="O331" s="1" t="str">
        <f>IFERROR((Table26[[#This Row],[MCC.ENT]]*Table26[[#This Row],[TOTAL]])," ")</f>
        <v xml:space="preserve"> </v>
      </c>
      <c r="P331" s="1" t="str">
        <f>IFERROR((Table26[[#This Row],[L.L.]]*Table26[[#This Row],[TOTAL]])," ")</f>
        <v xml:space="preserve"> </v>
      </c>
      <c r="Q331" s="1" t="str">
        <f>IFERROR((Table26[[#This Row],[QTY/A]]*Table26[[#This Row],[$/UOM]])," ")</f>
        <v xml:space="preserve"> </v>
      </c>
    </row>
    <row r="332" spans="1:17" x14ac:dyDescent="0.25">
      <c r="A332" s="89"/>
      <c r="E332" t="str">
        <f t="shared" si="6"/>
        <v xml:space="preserve"> </v>
      </c>
      <c r="I332" t="str">
        <f>IFERROR(VLOOKUP(Table26[[#This Row],[OPERATION]],OPTBL[],2,FALSE)," ")</f>
        <v xml:space="preserve"> </v>
      </c>
      <c r="J332" s="1" t="str">
        <f>IFERROR(VLOOKUP(H332,OPTBL[],3,FALSE)," ")</f>
        <v xml:space="preserve"> </v>
      </c>
      <c r="K332" s="89"/>
      <c r="M332">
        <f t="shared" si="7"/>
        <v>1</v>
      </c>
      <c r="N332">
        <f t="shared" si="8"/>
        <v>0</v>
      </c>
      <c r="O332" s="1" t="str">
        <f>IFERROR((Table26[[#This Row],[MCC.ENT]]*Table26[[#This Row],[TOTAL]])," ")</f>
        <v xml:space="preserve"> </v>
      </c>
      <c r="P332" s="1" t="str">
        <f>IFERROR((Table26[[#This Row],[L.L.]]*Table26[[#This Row],[TOTAL]])," ")</f>
        <v xml:space="preserve"> </v>
      </c>
      <c r="Q332" s="1" t="str">
        <f>IFERROR((Table26[[#This Row],[QTY/A]]*Table26[[#This Row],[$/UOM]])," ")</f>
        <v xml:space="preserve"> </v>
      </c>
    </row>
    <row r="333" spans="1:17" x14ac:dyDescent="0.25">
      <c r="A333" s="89"/>
      <c r="E333" t="str">
        <f t="shared" si="6"/>
        <v xml:space="preserve"> </v>
      </c>
      <c r="I333" t="str">
        <f>IFERROR(VLOOKUP(Table26[[#This Row],[OPERATION]],OPTBL[],2,FALSE)," ")</f>
        <v xml:space="preserve"> </v>
      </c>
      <c r="J333" s="1" t="str">
        <f>IFERROR(VLOOKUP(H333,OPTBL[],3,FALSE)," ")</f>
        <v xml:space="preserve"> </v>
      </c>
      <c r="K333" s="89"/>
      <c r="M333">
        <f t="shared" si="7"/>
        <v>1</v>
      </c>
      <c r="N333">
        <f t="shared" si="8"/>
        <v>0</v>
      </c>
      <c r="O333" s="1" t="str">
        <f>IFERROR((Table26[[#This Row],[MCC.ENT]]*Table26[[#This Row],[TOTAL]])," ")</f>
        <v xml:space="preserve"> </v>
      </c>
      <c r="P333" s="1" t="str">
        <f>IFERROR((Table26[[#This Row],[L.L.]]*Table26[[#This Row],[TOTAL]])," ")</f>
        <v xml:space="preserve"> </v>
      </c>
      <c r="Q333" s="1" t="str">
        <f>IFERROR((Table26[[#This Row],[QTY/A]]*Table26[[#This Row],[$/UOM]])," ")</f>
        <v xml:space="preserve"> </v>
      </c>
    </row>
    <row r="334" spans="1:17" x14ac:dyDescent="0.25">
      <c r="A334" s="89"/>
      <c r="E334" t="str">
        <f t="shared" si="6"/>
        <v xml:space="preserve"> </v>
      </c>
      <c r="I334" t="str">
        <f>IFERROR(VLOOKUP(Table26[[#This Row],[OPERATION]],OPTBL[],2,FALSE)," ")</f>
        <v xml:space="preserve"> </v>
      </c>
      <c r="J334" s="1" t="str">
        <f>IFERROR(VLOOKUP(H334,OPTBL[],3,FALSE)," ")</f>
        <v xml:space="preserve"> </v>
      </c>
      <c r="K334" s="89"/>
      <c r="M334">
        <f t="shared" si="7"/>
        <v>1</v>
      </c>
      <c r="N334">
        <f t="shared" si="8"/>
        <v>0</v>
      </c>
      <c r="O334" s="1" t="str">
        <f>IFERROR((Table26[[#This Row],[MCC.ENT]]*Table26[[#This Row],[TOTAL]])," ")</f>
        <v xml:space="preserve"> </v>
      </c>
      <c r="P334" s="1" t="str">
        <f>IFERROR((Table26[[#This Row],[L.L.]]*Table26[[#This Row],[TOTAL]])," ")</f>
        <v xml:space="preserve"> </v>
      </c>
      <c r="Q334" s="1" t="str">
        <f>IFERROR((Table26[[#This Row],[QTY/A]]*Table26[[#This Row],[$/UOM]])," ")</f>
        <v xml:space="preserve"> </v>
      </c>
    </row>
    <row r="335" spans="1:17" x14ac:dyDescent="0.25">
      <c r="A335" s="89"/>
      <c r="E335" t="str">
        <f t="shared" si="6"/>
        <v xml:space="preserve"> </v>
      </c>
      <c r="I335" t="str">
        <f>IFERROR(VLOOKUP(Table26[[#This Row],[OPERATION]],OPTBL[],2,FALSE)," ")</f>
        <v xml:space="preserve"> </v>
      </c>
      <c r="J335" s="1" t="str">
        <f>IFERROR(VLOOKUP(H335,OPTBL[],3,FALSE)," ")</f>
        <v xml:space="preserve"> </v>
      </c>
      <c r="K335" s="89"/>
      <c r="M335">
        <f t="shared" si="7"/>
        <v>1</v>
      </c>
      <c r="N335">
        <f t="shared" si="8"/>
        <v>0</v>
      </c>
      <c r="O335" s="1" t="str">
        <f>IFERROR((Table26[[#This Row],[MCC.ENT]]*Table26[[#This Row],[TOTAL]])," ")</f>
        <v xml:space="preserve"> </v>
      </c>
      <c r="P335" s="1" t="str">
        <f>IFERROR((Table26[[#This Row],[L.L.]]*Table26[[#This Row],[TOTAL]])," ")</f>
        <v xml:space="preserve"> </v>
      </c>
      <c r="Q335" s="1" t="str">
        <f>IFERROR((Table26[[#This Row],[QTY/A]]*Table26[[#This Row],[$/UOM]])," ")</f>
        <v xml:space="preserve"> </v>
      </c>
    </row>
    <row r="336" spans="1:17" x14ac:dyDescent="0.25">
      <c r="A336" s="89"/>
      <c r="E336" t="str">
        <f t="shared" si="6"/>
        <v xml:space="preserve"> </v>
      </c>
      <c r="I336" t="str">
        <f>IFERROR(VLOOKUP(Table26[[#This Row],[OPERATION]],OPTBL[],2,FALSE)," ")</f>
        <v xml:space="preserve"> </v>
      </c>
      <c r="J336" s="1" t="str">
        <f>IFERROR(VLOOKUP(H336,OPTBL[],3,FALSE)," ")</f>
        <v xml:space="preserve"> </v>
      </c>
      <c r="K336" s="89"/>
      <c r="M336">
        <f t="shared" si="7"/>
        <v>1</v>
      </c>
      <c r="N336">
        <f t="shared" si="8"/>
        <v>0</v>
      </c>
      <c r="O336" s="1" t="str">
        <f>IFERROR((Table26[[#This Row],[MCC.ENT]]*Table26[[#This Row],[TOTAL]])," ")</f>
        <v xml:space="preserve"> </v>
      </c>
      <c r="P336" s="1" t="str">
        <f>IFERROR((Table26[[#This Row],[L.L.]]*Table26[[#This Row],[TOTAL]])," ")</f>
        <v xml:space="preserve"> </v>
      </c>
      <c r="Q336" s="1" t="str">
        <f>IFERROR((Table26[[#This Row],[QTY/A]]*Table26[[#This Row],[$/UOM]])," ")</f>
        <v xml:space="preserve"> </v>
      </c>
    </row>
    <row r="337" spans="1:26" x14ac:dyDescent="0.25">
      <c r="A337" s="89"/>
      <c r="E337" t="str">
        <f t="shared" si="6"/>
        <v xml:space="preserve"> </v>
      </c>
      <c r="I337" t="str">
        <f>IFERROR(VLOOKUP(Table26[[#This Row],[OPERATION]],OPTBL[],2,FALSE)," ")</f>
        <v xml:space="preserve"> </v>
      </c>
      <c r="J337" s="1" t="str">
        <f>IFERROR(VLOOKUP(H337,OPTBL[],3,FALSE)," ")</f>
        <v xml:space="preserve"> </v>
      </c>
      <c r="K337" s="89"/>
      <c r="M337">
        <f t="shared" si="7"/>
        <v>1</v>
      </c>
      <c r="N337">
        <f t="shared" si="8"/>
        <v>0</v>
      </c>
      <c r="O337" s="1" t="str">
        <f>IFERROR((Table26[[#This Row],[MCC.ENT]]*Table26[[#This Row],[TOTAL]])," ")</f>
        <v xml:space="preserve"> </v>
      </c>
      <c r="P337" s="1" t="str">
        <f>IFERROR((Table26[[#This Row],[L.L.]]*Table26[[#This Row],[TOTAL]])," ")</f>
        <v xml:space="preserve"> </v>
      </c>
      <c r="Q337" s="1" t="str">
        <f>IFERROR((Table26[[#This Row],[QTY/A]]*Table26[[#This Row],[$/UOM]])," ")</f>
        <v xml:space="preserve"> </v>
      </c>
    </row>
    <row r="338" spans="1:26" x14ac:dyDescent="0.25">
      <c r="A338" s="89"/>
      <c r="E338" t="str">
        <f t="shared" si="6"/>
        <v xml:space="preserve"> </v>
      </c>
      <c r="I338" t="str">
        <f>IFERROR(VLOOKUP(Table26[[#This Row],[OPERATION]],OPTBL[],2,FALSE)," ")</f>
        <v xml:space="preserve"> </v>
      </c>
      <c r="J338" s="1" t="str">
        <f>IFERROR(VLOOKUP(H338,OPTBL[],3,FALSE)," ")</f>
        <v xml:space="preserve"> </v>
      </c>
      <c r="K338" s="89"/>
      <c r="M338">
        <f>IF(L338="SPLIT",0.65,1)</f>
        <v>1</v>
      </c>
      <c r="N338">
        <f>IF(L338="SPLIT",0.35,0)</f>
        <v>0</v>
      </c>
      <c r="O338" s="1" t="str">
        <f>IFERROR((Table26[[#This Row],[MCC.ENT]]*Table26[[#This Row],[TOTAL]])," ")</f>
        <v xml:space="preserve"> </v>
      </c>
      <c r="P338" s="1" t="str">
        <f>IFERROR((Table26[[#This Row],[L.L.]]*Table26[[#This Row],[TOTAL]])," ")</f>
        <v xml:space="preserve"> </v>
      </c>
      <c r="Q338" s="1" t="str">
        <f>IFERROR((Table26[[#This Row],[QTY/A]]*Table26[[#This Row],[$/UOM]])," ")</f>
        <v xml:space="preserve"> </v>
      </c>
    </row>
    <row r="339" spans="1:26" x14ac:dyDescent="0.25">
      <c r="A339" s="89"/>
      <c r="E339" t="str">
        <f t="shared" si="6"/>
        <v xml:space="preserve"> </v>
      </c>
      <c r="I339" t="str">
        <f>IFERROR(VLOOKUP(Table26[[#This Row],[OPERATION]],OPTBL[],2,FALSE)," ")</f>
        <v xml:space="preserve"> </v>
      </c>
      <c r="J339" s="1" t="str">
        <f>IFERROR(VLOOKUP(H339,OPTBL[],3,FALSE)," ")</f>
        <v xml:space="preserve"> </v>
      </c>
      <c r="K339" s="89"/>
      <c r="M339">
        <f>IF(L339="SPLIT",0.65,1)</f>
        <v>1</v>
      </c>
      <c r="N339">
        <f>IF(L339="SPLIT",0.35,0)</f>
        <v>0</v>
      </c>
      <c r="O339" s="1" t="str">
        <f>IFERROR((Table26[[#This Row],[MCC.ENT]]*Table26[[#This Row],[TOTAL]])," ")</f>
        <v xml:space="preserve"> </v>
      </c>
      <c r="P339" s="1" t="str">
        <f>IFERROR((Table26[[#This Row],[L.L.]]*Table26[[#This Row],[TOTAL]])," ")</f>
        <v xml:space="preserve"> </v>
      </c>
      <c r="Q339" s="1" t="str">
        <f>IFERROR((Table26[[#This Row],[QTY/A]]*Table26[[#This Row],[$/UOM]])," ")</f>
        <v xml:space="preserve"> </v>
      </c>
    </row>
    <row r="340" spans="1:26" x14ac:dyDescent="0.25">
      <c r="A340" s="89"/>
      <c r="K340" s="89"/>
    </row>
    <row r="341" spans="1:26" x14ac:dyDescent="0.25">
      <c r="A341" s="91"/>
      <c r="K341" s="91"/>
    </row>
    <row r="342" spans="1:26" x14ac:dyDescent="0.25">
      <c r="A342" s="91"/>
      <c r="K342" s="91"/>
    </row>
    <row r="343" spans="1:26" ht="23.25" x14ac:dyDescent="0.25">
      <c r="A343" s="2" t="s">
        <v>283</v>
      </c>
      <c r="B343" s="2" t="s">
        <v>469</v>
      </c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54"/>
      <c r="Z343" s="54"/>
    </row>
    <row r="344" spans="1:26" x14ac:dyDescent="0.25">
      <c r="A344" s="3" t="s">
        <v>440</v>
      </c>
      <c r="B344" s="3" t="s">
        <v>442</v>
      </c>
      <c r="C344" s="3" t="s">
        <v>476</v>
      </c>
      <c r="D344" s="3" t="s">
        <v>443</v>
      </c>
      <c r="E344" s="3" t="s">
        <v>444</v>
      </c>
      <c r="F344" s="3" t="s">
        <v>115</v>
      </c>
      <c r="G344" s="3" t="s">
        <v>116</v>
      </c>
      <c r="H344" s="3" t="s">
        <v>118</v>
      </c>
      <c r="I344" s="3" t="s">
        <v>477</v>
      </c>
      <c r="J344" s="3" t="s">
        <v>478</v>
      </c>
      <c r="K344" s="3" t="s">
        <v>446</v>
      </c>
      <c r="L344" s="3" t="s">
        <v>447</v>
      </c>
      <c r="M344" s="3" t="s">
        <v>448</v>
      </c>
      <c r="N344" s="3" t="s">
        <v>449</v>
      </c>
      <c r="O344" s="3" t="s">
        <v>450</v>
      </c>
      <c r="P344" s="4" t="s">
        <v>451</v>
      </c>
      <c r="Q344" s="3" t="s">
        <v>479</v>
      </c>
      <c r="R344" s="5" t="s">
        <v>453</v>
      </c>
      <c r="S344" s="3" t="s">
        <v>454</v>
      </c>
      <c r="T344" s="5" t="s">
        <v>455</v>
      </c>
      <c r="U344" s="5" t="s">
        <v>456</v>
      </c>
      <c r="V344" s="3" t="s">
        <v>457</v>
      </c>
      <c r="W344" s="3" t="s">
        <v>20</v>
      </c>
      <c r="X344" s="3" t="s">
        <v>458</v>
      </c>
      <c r="Y344" s="5" t="s">
        <v>459</v>
      </c>
      <c r="Z344" s="5" t="s">
        <v>460</v>
      </c>
    </row>
    <row r="345" spans="1:26" x14ac:dyDescent="0.25">
      <c r="A345" s="55"/>
      <c r="B345" s="56"/>
      <c r="C345" s="56"/>
      <c r="D345" s="56"/>
      <c r="E345" s="56"/>
      <c r="F345" s="56"/>
      <c r="G345" s="56" t="s">
        <v>32</v>
      </c>
      <c r="H345" s="56" t="s">
        <v>94</v>
      </c>
      <c r="I345" s="56" t="s">
        <v>283</v>
      </c>
      <c r="J345" s="56"/>
      <c r="K345" s="57"/>
      <c r="L345" s="58"/>
      <c r="M345" s="30">
        <f>K345-L345</f>
        <v>0</v>
      </c>
      <c r="N345" s="65"/>
      <c r="O345" s="56"/>
      <c r="P345" s="66"/>
      <c r="Q345" s="67"/>
      <c r="R345" s="40">
        <f>M345/56</f>
        <v>0</v>
      </c>
      <c r="S345" s="74"/>
      <c r="T345" s="40">
        <f>R345*P345</f>
        <v>0</v>
      </c>
      <c r="U345" s="40">
        <f>R345-S345-T345</f>
        <v>0</v>
      </c>
      <c r="V345" s="77" t="s">
        <v>297</v>
      </c>
      <c r="W345" s="78">
        <f>IF(V345="SPLIT",0.65,1)</f>
        <v>1</v>
      </c>
      <c r="X345" s="79">
        <f>IF(V345="SPLIT",0.35,0)</f>
        <v>0</v>
      </c>
      <c r="Y345" s="12">
        <f>U345*W345</f>
        <v>0</v>
      </c>
      <c r="Z345" s="12">
        <f>U345*X345</f>
        <v>0</v>
      </c>
    </row>
    <row r="346" spans="1:26" x14ac:dyDescent="0.25">
      <c r="A346" s="55"/>
      <c r="B346" s="56"/>
      <c r="C346" s="56"/>
      <c r="D346" s="56"/>
      <c r="E346" s="59"/>
      <c r="F346" s="56" t="s">
        <v>74</v>
      </c>
      <c r="G346" s="56" t="s">
        <v>32</v>
      </c>
      <c r="H346" s="59" t="s">
        <v>95</v>
      </c>
      <c r="I346" s="56"/>
      <c r="J346" s="56"/>
      <c r="K346" s="60"/>
      <c r="L346" s="61"/>
      <c r="M346" s="9">
        <f>K346-L346</f>
        <v>0</v>
      </c>
      <c r="N346" s="68"/>
      <c r="O346" s="59"/>
      <c r="P346" s="69"/>
      <c r="Q346" s="70"/>
      <c r="R346" s="40">
        <f t="shared" ref="R346:R360" si="13">M346/56</f>
        <v>0</v>
      </c>
      <c r="S346" s="75"/>
      <c r="T346" s="12">
        <f>R346*P346</f>
        <v>0</v>
      </c>
      <c r="U346" s="12">
        <f t="shared" ref="U346:U360" si="14">R346-S346-T346</f>
        <v>0</v>
      </c>
      <c r="V346" s="80"/>
      <c r="W346" s="81"/>
      <c r="X346" s="82"/>
      <c r="Y346" s="12">
        <f>U346*W346</f>
        <v>0</v>
      </c>
      <c r="Z346" s="12">
        <f>U346*X346</f>
        <v>0</v>
      </c>
    </row>
    <row r="347" spans="1:26" x14ac:dyDescent="0.25">
      <c r="A347" s="55"/>
      <c r="B347" s="56"/>
      <c r="C347" s="56"/>
      <c r="D347" s="56"/>
      <c r="E347" s="59"/>
      <c r="F347" s="56" t="s">
        <v>74</v>
      </c>
      <c r="G347" s="56"/>
      <c r="H347" s="59"/>
      <c r="I347" s="56"/>
      <c r="J347" s="56"/>
      <c r="K347" s="60"/>
      <c r="L347" s="61"/>
      <c r="M347" s="9">
        <f t="shared" ref="M347:M360" si="15">K347-L347</f>
        <v>0</v>
      </c>
      <c r="N347" s="68"/>
      <c r="O347" s="59"/>
      <c r="P347" s="69"/>
      <c r="Q347" s="70"/>
      <c r="R347" s="40">
        <f t="shared" si="13"/>
        <v>0</v>
      </c>
      <c r="S347" s="75"/>
      <c r="T347" s="12">
        <f t="shared" ref="T347:T360" si="16">R347*P347</f>
        <v>0</v>
      </c>
      <c r="U347" s="12">
        <f t="shared" si="14"/>
        <v>0</v>
      </c>
      <c r="V347" s="80"/>
      <c r="W347" s="81"/>
      <c r="X347" s="82"/>
      <c r="Y347" s="12">
        <f t="shared" ref="Y347:Y360" si="17">U347*W347</f>
        <v>0</v>
      </c>
      <c r="Z347" s="12">
        <f t="shared" ref="Z347:Z360" si="18">U347*X347</f>
        <v>0</v>
      </c>
    </row>
    <row r="348" spans="1:26" x14ac:dyDescent="0.25">
      <c r="A348" s="55"/>
      <c r="B348" s="56"/>
      <c r="C348" s="56"/>
      <c r="D348" s="56"/>
      <c r="E348" s="59"/>
      <c r="F348" s="56"/>
      <c r="G348" s="56"/>
      <c r="H348" s="59"/>
      <c r="I348" s="56"/>
      <c r="J348" s="56"/>
      <c r="K348" s="60"/>
      <c r="L348" s="61"/>
      <c r="M348" s="9">
        <f t="shared" si="15"/>
        <v>0</v>
      </c>
      <c r="N348" s="68"/>
      <c r="O348" s="59"/>
      <c r="P348" s="69"/>
      <c r="Q348" s="70"/>
      <c r="R348" s="40">
        <f t="shared" si="13"/>
        <v>0</v>
      </c>
      <c r="S348" s="75"/>
      <c r="T348" s="12">
        <f t="shared" si="16"/>
        <v>0</v>
      </c>
      <c r="U348" s="12">
        <f t="shared" si="14"/>
        <v>0</v>
      </c>
      <c r="V348" s="80"/>
      <c r="W348" s="81"/>
      <c r="X348" s="82"/>
      <c r="Y348" s="12">
        <f t="shared" si="17"/>
        <v>0</v>
      </c>
      <c r="Z348" s="12">
        <f t="shared" si="18"/>
        <v>0</v>
      </c>
    </row>
    <row r="349" spans="1:26" x14ac:dyDescent="0.25">
      <c r="A349" s="55"/>
      <c r="B349" s="56"/>
      <c r="C349" s="56"/>
      <c r="D349" s="56"/>
      <c r="E349" s="59"/>
      <c r="F349" s="56"/>
      <c r="G349" s="56"/>
      <c r="H349" s="59"/>
      <c r="I349" s="56"/>
      <c r="J349" s="56"/>
      <c r="K349" s="60"/>
      <c r="L349" s="61"/>
      <c r="M349" s="9">
        <f t="shared" si="15"/>
        <v>0</v>
      </c>
      <c r="N349" s="68"/>
      <c r="O349" s="59"/>
      <c r="P349" s="69"/>
      <c r="Q349" s="70"/>
      <c r="R349" s="40">
        <f t="shared" si="13"/>
        <v>0</v>
      </c>
      <c r="S349" s="75"/>
      <c r="T349" s="12">
        <f t="shared" si="16"/>
        <v>0</v>
      </c>
      <c r="U349" s="12">
        <f t="shared" si="14"/>
        <v>0</v>
      </c>
      <c r="V349" s="80"/>
      <c r="W349" s="81"/>
      <c r="X349" s="82"/>
      <c r="Y349" s="12">
        <f t="shared" si="17"/>
        <v>0</v>
      </c>
      <c r="Z349" s="12">
        <f t="shared" si="18"/>
        <v>0</v>
      </c>
    </row>
    <row r="350" spans="1:26" x14ac:dyDescent="0.25">
      <c r="A350" s="55"/>
      <c r="B350" s="56"/>
      <c r="C350" s="56"/>
      <c r="D350" s="56"/>
      <c r="E350" s="59"/>
      <c r="F350" s="56"/>
      <c r="G350" s="56"/>
      <c r="H350" s="59"/>
      <c r="I350" s="56"/>
      <c r="J350" s="56"/>
      <c r="K350" s="60"/>
      <c r="L350" s="61"/>
      <c r="M350" s="9">
        <f t="shared" si="15"/>
        <v>0</v>
      </c>
      <c r="N350" s="68"/>
      <c r="O350" s="59"/>
      <c r="P350" s="69"/>
      <c r="Q350" s="70"/>
      <c r="R350" s="40">
        <f t="shared" si="13"/>
        <v>0</v>
      </c>
      <c r="S350" s="75"/>
      <c r="T350" s="12">
        <f t="shared" si="16"/>
        <v>0</v>
      </c>
      <c r="U350" s="12">
        <f t="shared" si="14"/>
        <v>0</v>
      </c>
      <c r="V350" s="80"/>
      <c r="W350" s="81"/>
      <c r="X350" s="82"/>
      <c r="Y350" s="12">
        <f t="shared" si="17"/>
        <v>0</v>
      </c>
      <c r="Z350" s="12">
        <f t="shared" si="18"/>
        <v>0</v>
      </c>
    </row>
    <row r="351" spans="1:26" x14ac:dyDescent="0.25">
      <c r="A351" s="55"/>
      <c r="B351" s="56"/>
      <c r="C351" s="56"/>
      <c r="D351" s="56"/>
      <c r="E351" s="59"/>
      <c r="F351" s="56"/>
      <c r="G351" s="56"/>
      <c r="H351" s="59"/>
      <c r="I351" s="56"/>
      <c r="J351" s="56"/>
      <c r="K351" s="60"/>
      <c r="L351" s="61"/>
      <c r="M351" s="9">
        <f t="shared" si="15"/>
        <v>0</v>
      </c>
      <c r="N351" s="68"/>
      <c r="O351" s="59"/>
      <c r="P351" s="69"/>
      <c r="Q351" s="70"/>
      <c r="R351" s="40">
        <f t="shared" si="13"/>
        <v>0</v>
      </c>
      <c r="S351" s="75"/>
      <c r="T351" s="12">
        <f t="shared" si="16"/>
        <v>0</v>
      </c>
      <c r="U351" s="12">
        <f t="shared" si="14"/>
        <v>0</v>
      </c>
      <c r="V351" s="80"/>
      <c r="W351" s="81"/>
      <c r="X351" s="82"/>
      <c r="Y351" s="12">
        <f t="shared" si="17"/>
        <v>0</v>
      </c>
      <c r="Z351" s="12">
        <f t="shared" si="18"/>
        <v>0</v>
      </c>
    </row>
    <row r="352" spans="1:26" x14ac:dyDescent="0.25">
      <c r="A352" s="55"/>
      <c r="B352" s="56"/>
      <c r="C352" s="56"/>
      <c r="D352" s="56"/>
      <c r="E352" s="59"/>
      <c r="F352" s="56"/>
      <c r="G352" s="56"/>
      <c r="H352" s="59"/>
      <c r="I352" s="56"/>
      <c r="J352" s="56"/>
      <c r="K352" s="60"/>
      <c r="L352" s="61"/>
      <c r="M352" s="9">
        <f t="shared" si="15"/>
        <v>0</v>
      </c>
      <c r="N352" s="68"/>
      <c r="O352" s="59"/>
      <c r="P352" s="69"/>
      <c r="Q352" s="70"/>
      <c r="R352" s="40">
        <f t="shared" si="13"/>
        <v>0</v>
      </c>
      <c r="S352" s="75"/>
      <c r="T352" s="12">
        <f t="shared" si="16"/>
        <v>0</v>
      </c>
      <c r="U352" s="12">
        <f t="shared" si="14"/>
        <v>0</v>
      </c>
      <c r="V352" s="80"/>
      <c r="W352" s="81"/>
      <c r="X352" s="82"/>
      <c r="Y352" s="12">
        <f t="shared" si="17"/>
        <v>0</v>
      </c>
      <c r="Z352" s="12">
        <f t="shared" si="18"/>
        <v>0</v>
      </c>
    </row>
    <row r="353" spans="1:26" x14ac:dyDescent="0.25">
      <c r="A353" s="55"/>
      <c r="B353" s="56"/>
      <c r="C353" s="56"/>
      <c r="D353" s="56"/>
      <c r="E353" s="59"/>
      <c r="F353" s="56"/>
      <c r="G353" s="56"/>
      <c r="H353" s="59"/>
      <c r="I353" s="56"/>
      <c r="J353" s="56"/>
      <c r="K353" s="60"/>
      <c r="L353" s="61"/>
      <c r="M353" s="9">
        <f t="shared" si="15"/>
        <v>0</v>
      </c>
      <c r="N353" s="68"/>
      <c r="O353" s="59"/>
      <c r="P353" s="69"/>
      <c r="Q353" s="70"/>
      <c r="R353" s="40">
        <f t="shared" si="13"/>
        <v>0</v>
      </c>
      <c r="S353" s="75"/>
      <c r="T353" s="12">
        <f t="shared" si="16"/>
        <v>0</v>
      </c>
      <c r="U353" s="12">
        <f t="shared" si="14"/>
        <v>0</v>
      </c>
      <c r="V353" s="80"/>
      <c r="W353" s="81"/>
      <c r="X353" s="82"/>
      <c r="Y353" s="12">
        <f t="shared" si="17"/>
        <v>0</v>
      </c>
      <c r="Z353" s="12">
        <f t="shared" si="18"/>
        <v>0</v>
      </c>
    </row>
    <row r="354" spans="1:26" x14ac:dyDescent="0.25">
      <c r="A354" s="55"/>
      <c r="B354" s="56"/>
      <c r="C354" s="56"/>
      <c r="D354" s="56"/>
      <c r="E354" s="59"/>
      <c r="F354" s="56"/>
      <c r="G354" s="56"/>
      <c r="H354" s="59"/>
      <c r="I354" s="56"/>
      <c r="J354" s="56"/>
      <c r="K354" s="60"/>
      <c r="L354" s="61"/>
      <c r="M354" s="9">
        <f t="shared" si="15"/>
        <v>0</v>
      </c>
      <c r="N354" s="68"/>
      <c r="O354" s="59"/>
      <c r="P354" s="69"/>
      <c r="Q354" s="70"/>
      <c r="R354" s="40">
        <f t="shared" si="13"/>
        <v>0</v>
      </c>
      <c r="S354" s="75"/>
      <c r="T354" s="12">
        <f t="shared" si="16"/>
        <v>0</v>
      </c>
      <c r="U354" s="12">
        <f t="shared" si="14"/>
        <v>0</v>
      </c>
      <c r="V354" s="80"/>
      <c r="W354" s="81"/>
      <c r="X354" s="82"/>
      <c r="Y354" s="12">
        <f t="shared" si="17"/>
        <v>0</v>
      </c>
      <c r="Z354" s="12">
        <f t="shared" si="18"/>
        <v>0</v>
      </c>
    </row>
    <row r="355" spans="1:26" x14ac:dyDescent="0.25">
      <c r="A355" s="55"/>
      <c r="B355" s="56"/>
      <c r="C355" s="56"/>
      <c r="D355" s="56"/>
      <c r="E355" s="59"/>
      <c r="F355" s="56"/>
      <c r="G355" s="56"/>
      <c r="H355" s="59"/>
      <c r="I355" s="56"/>
      <c r="J355" s="56"/>
      <c r="K355" s="60"/>
      <c r="L355" s="61"/>
      <c r="M355" s="9">
        <f t="shared" si="15"/>
        <v>0</v>
      </c>
      <c r="N355" s="68"/>
      <c r="O355" s="59"/>
      <c r="P355" s="69"/>
      <c r="Q355" s="70"/>
      <c r="R355" s="40">
        <f t="shared" si="13"/>
        <v>0</v>
      </c>
      <c r="S355" s="75"/>
      <c r="T355" s="12">
        <f t="shared" si="16"/>
        <v>0</v>
      </c>
      <c r="U355" s="12">
        <f t="shared" si="14"/>
        <v>0</v>
      </c>
      <c r="V355" s="80"/>
      <c r="W355" s="81"/>
      <c r="X355" s="82"/>
      <c r="Y355" s="12">
        <f t="shared" si="17"/>
        <v>0</v>
      </c>
      <c r="Z355" s="12">
        <f t="shared" si="18"/>
        <v>0</v>
      </c>
    </row>
    <row r="356" spans="1:26" x14ac:dyDescent="0.25">
      <c r="A356" s="55"/>
      <c r="B356" s="56"/>
      <c r="C356" s="56"/>
      <c r="D356" s="56"/>
      <c r="E356" s="59"/>
      <c r="F356" s="56"/>
      <c r="G356" s="56"/>
      <c r="H356" s="59"/>
      <c r="I356" s="56"/>
      <c r="J356" s="56"/>
      <c r="K356" s="60"/>
      <c r="L356" s="61"/>
      <c r="M356" s="9">
        <f t="shared" si="15"/>
        <v>0</v>
      </c>
      <c r="N356" s="68"/>
      <c r="O356" s="59"/>
      <c r="P356" s="69"/>
      <c r="Q356" s="70"/>
      <c r="R356" s="40">
        <f t="shared" si="13"/>
        <v>0</v>
      </c>
      <c r="S356" s="75"/>
      <c r="T356" s="12">
        <f t="shared" si="16"/>
        <v>0</v>
      </c>
      <c r="U356" s="12">
        <f t="shared" si="14"/>
        <v>0</v>
      </c>
      <c r="V356" s="80"/>
      <c r="W356" s="81"/>
      <c r="X356" s="82"/>
      <c r="Y356" s="12">
        <f t="shared" si="17"/>
        <v>0</v>
      </c>
      <c r="Z356" s="12">
        <f t="shared" si="18"/>
        <v>0</v>
      </c>
    </row>
    <row r="357" spans="1:26" x14ac:dyDescent="0.25">
      <c r="A357" s="55"/>
      <c r="B357" s="56"/>
      <c r="C357" s="56"/>
      <c r="D357" s="56"/>
      <c r="E357" s="59"/>
      <c r="F357" s="56"/>
      <c r="G357" s="56"/>
      <c r="H357" s="59"/>
      <c r="I357" s="56"/>
      <c r="J357" s="56"/>
      <c r="K357" s="60"/>
      <c r="L357" s="61"/>
      <c r="M357" s="9">
        <f t="shared" si="15"/>
        <v>0</v>
      </c>
      <c r="N357" s="68"/>
      <c r="O357" s="59"/>
      <c r="P357" s="69"/>
      <c r="Q357" s="70"/>
      <c r="R357" s="40">
        <f t="shared" si="13"/>
        <v>0</v>
      </c>
      <c r="S357" s="75"/>
      <c r="T357" s="12">
        <f t="shared" si="16"/>
        <v>0</v>
      </c>
      <c r="U357" s="12">
        <f t="shared" si="14"/>
        <v>0</v>
      </c>
      <c r="V357" s="80"/>
      <c r="W357" s="81"/>
      <c r="X357" s="82"/>
      <c r="Y357" s="12">
        <f t="shared" si="17"/>
        <v>0</v>
      </c>
      <c r="Z357" s="12">
        <f t="shared" si="18"/>
        <v>0</v>
      </c>
    </row>
    <row r="358" spans="1:26" x14ac:dyDescent="0.25">
      <c r="A358" s="55"/>
      <c r="B358" s="56"/>
      <c r="C358" s="56"/>
      <c r="D358" s="56"/>
      <c r="E358" s="59"/>
      <c r="F358" s="56"/>
      <c r="G358" s="56"/>
      <c r="H358" s="59"/>
      <c r="I358" s="56"/>
      <c r="J358" s="56"/>
      <c r="K358" s="60"/>
      <c r="L358" s="61"/>
      <c r="M358" s="9">
        <f t="shared" si="15"/>
        <v>0</v>
      </c>
      <c r="N358" s="68"/>
      <c r="O358" s="59"/>
      <c r="P358" s="69"/>
      <c r="Q358" s="70"/>
      <c r="R358" s="40">
        <f t="shared" si="13"/>
        <v>0</v>
      </c>
      <c r="S358" s="75"/>
      <c r="T358" s="12">
        <f t="shared" si="16"/>
        <v>0</v>
      </c>
      <c r="U358" s="12">
        <f t="shared" si="14"/>
        <v>0</v>
      </c>
      <c r="V358" s="80"/>
      <c r="W358" s="81"/>
      <c r="X358" s="82"/>
      <c r="Y358" s="12">
        <f t="shared" si="17"/>
        <v>0</v>
      </c>
      <c r="Z358" s="12">
        <f t="shared" si="18"/>
        <v>0</v>
      </c>
    </row>
    <row r="359" spans="1:26" x14ac:dyDescent="0.25">
      <c r="A359" s="55"/>
      <c r="B359" s="56"/>
      <c r="C359" s="56"/>
      <c r="D359" s="56"/>
      <c r="E359" s="59"/>
      <c r="F359" s="56"/>
      <c r="G359" s="56"/>
      <c r="H359" s="59"/>
      <c r="I359" s="56"/>
      <c r="J359" s="56"/>
      <c r="K359" s="60"/>
      <c r="L359" s="61"/>
      <c r="M359" s="9">
        <f t="shared" si="15"/>
        <v>0</v>
      </c>
      <c r="N359" s="68"/>
      <c r="O359" s="59"/>
      <c r="P359" s="69"/>
      <c r="Q359" s="70"/>
      <c r="R359" s="40">
        <f t="shared" si="13"/>
        <v>0</v>
      </c>
      <c r="S359" s="75"/>
      <c r="T359" s="12">
        <f t="shared" si="16"/>
        <v>0</v>
      </c>
      <c r="U359" s="12">
        <f t="shared" si="14"/>
        <v>0</v>
      </c>
      <c r="V359" s="80"/>
      <c r="W359" s="81"/>
      <c r="X359" s="82"/>
      <c r="Y359" s="12">
        <f t="shared" si="17"/>
        <v>0</v>
      </c>
      <c r="Z359" s="12">
        <f t="shared" si="18"/>
        <v>0</v>
      </c>
    </row>
    <row r="360" spans="1:26" x14ac:dyDescent="0.25">
      <c r="A360" s="55"/>
      <c r="B360" s="56"/>
      <c r="C360" s="56"/>
      <c r="D360" s="56"/>
      <c r="E360" s="62"/>
      <c r="F360" s="56"/>
      <c r="G360" s="56"/>
      <c r="H360" s="62"/>
      <c r="I360" s="56"/>
      <c r="J360" s="56"/>
      <c r="K360" s="63"/>
      <c r="L360" s="64"/>
      <c r="M360" s="22">
        <f t="shared" si="15"/>
        <v>0</v>
      </c>
      <c r="N360" s="71"/>
      <c r="O360" s="62"/>
      <c r="P360" s="72"/>
      <c r="Q360" s="73"/>
      <c r="R360" s="40">
        <f t="shared" si="13"/>
        <v>0</v>
      </c>
      <c r="S360" s="76"/>
      <c r="T360" s="41">
        <f t="shared" si="16"/>
        <v>0</v>
      </c>
      <c r="U360" s="41">
        <f t="shared" si="14"/>
        <v>0</v>
      </c>
      <c r="V360" s="83"/>
      <c r="W360" s="84"/>
      <c r="X360" s="85"/>
      <c r="Y360" s="12">
        <f t="shared" si="17"/>
        <v>0</v>
      </c>
      <c r="Z360" s="12">
        <f t="shared" si="18"/>
        <v>0</v>
      </c>
    </row>
    <row r="361" spans="1:26" x14ac:dyDescent="0.25">
      <c r="A361" s="15" t="s">
        <v>468</v>
      </c>
      <c r="B361" s="15"/>
      <c r="C361" s="15"/>
      <c r="D361" s="15"/>
      <c r="E361" s="15"/>
      <c r="F361" s="15"/>
      <c r="G361" s="15"/>
      <c r="H361" s="15"/>
      <c r="I361" s="15"/>
      <c r="J361" s="15"/>
      <c r="K361" s="15">
        <f>SUBTOTAL(109,HARVESTTEMPLATE2[Gross])</f>
        <v>0</v>
      </c>
      <c r="L361" s="15"/>
      <c r="M361" s="15">
        <f>SUBTOTAL(109,HARVESTTEMPLATE2[Net])</f>
        <v>0</v>
      </c>
      <c r="N361" s="15"/>
      <c r="O361" s="15"/>
      <c r="P361" s="16">
        <f>SUBTOTAL(109,HARVESTTEMPLATE2[Dockage])</f>
        <v>0</v>
      </c>
      <c r="Q361" s="15"/>
      <c r="R361" s="15"/>
      <c r="S361" s="15"/>
      <c r="T361" s="15"/>
      <c r="U361" s="15"/>
      <c r="V361" s="15"/>
      <c r="W361" s="16">
        <f>SUBTOTAL(109,HARVESTTEMPLATE2[MCC. ENT.])</f>
        <v>1</v>
      </c>
      <c r="X361" s="16">
        <f>SUBTOTAL(109,HARVESTTEMPLATE2[L.L.])</f>
        <v>0</v>
      </c>
      <c r="Y361" s="15"/>
      <c r="Z361" s="15"/>
    </row>
    <row r="366" spans="1:26" x14ac:dyDescent="0.25">
      <c r="A366" s="731" t="s">
        <v>480</v>
      </c>
      <c r="B366" s="731"/>
      <c r="C366" s="731"/>
      <c r="D366" s="731"/>
      <c r="E366" s="731"/>
      <c r="F366" s="93"/>
      <c r="G366" s="93"/>
      <c r="H366" s="93"/>
      <c r="I366" s="93"/>
      <c r="J366" s="93"/>
      <c r="K366" s="93"/>
      <c r="L366" s="93"/>
      <c r="M366" s="93"/>
      <c r="N366" s="93"/>
      <c r="O366" s="93"/>
    </row>
    <row r="367" spans="1:26" x14ac:dyDescent="0.25">
      <c r="A367" s="731"/>
      <c r="B367" s="731"/>
      <c r="C367" s="731"/>
      <c r="D367" s="731"/>
      <c r="E367" s="731"/>
      <c r="F367" s="93"/>
      <c r="G367" s="93"/>
      <c r="H367" s="93"/>
      <c r="I367" s="93"/>
      <c r="J367" s="93"/>
      <c r="K367" s="93"/>
      <c r="L367" s="93"/>
      <c r="M367" s="93"/>
      <c r="N367" s="93"/>
      <c r="O367" s="93"/>
    </row>
    <row r="368" spans="1:26" x14ac:dyDescent="0.25">
      <c r="A368" s="92" t="s">
        <v>481</v>
      </c>
      <c r="B368" s="92" t="s">
        <v>482</v>
      </c>
      <c r="C368" s="92" t="s">
        <v>118</v>
      </c>
      <c r="D368" s="92" t="s">
        <v>119</v>
      </c>
      <c r="E368" s="92" t="s">
        <v>483</v>
      </c>
      <c r="F368" s="92" t="s">
        <v>484</v>
      </c>
      <c r="G368" s="92" t="s">
        <v>485</v>
      </c>
      <c r="H368" s="92" t="s">
        <v>477</v>
      </c>
      <c r="I368" s="92" t="s">
        <v>478</v>
      </c>
      <c r="J368" s="92" t="s">
        <v>486</v>
      </c>
      <c r="K368" s="92" t="s">
        <v>487</v>
      </c>
      <c r="L368" s="92" t="s">
        <v>488</v>
      </c>
      <c r="M368" s="92" t="s">
        <v>489</v>
      </c>
      <c r="N368" s="92" t="s">
        <v>490</v>
      </c>
      <c r="O368" s="92" t="s">
        <v>423</v>
      </c>
    </row>
    <row r="369" spans="1:15" x14ac:dyDescent="0.25">
      <c r="A369" s="94"/>
      <c r="B369" s="94"/>
      <c r="C369" s="94"/>
      <c r="D369" s="94"/>
      <c r="E369" s="94"/>
      <c r="F369" s="94"/>
      <c r="G369" s="94"/>
      <c r="H369" s="97"/>
      <c r="I369" s="97"/>
      <c r="J369" s="97"/>
      <c r="K369" s="97"/>
      <c r="L369" s="97"/>
      <c r="M369" s="97"/>
      <c r="N369" s="97"/>
      <c r="O369" s="97"/>
    </row>
    <row r="370" spans="1:15" x14ac:dyDescent="0.25">
      <c r="A370" s="94"/>
      <c r="B370" s="94"/>
      <c r="C370" s="94"/>
      <c r="D370" s="94"/>
      <c r="E370" s="94"/>
      <c r="F370" s="94"/>
      <c r="G370" s="94"/>
      <c r="H370" s="94"/>
      <c r="I370" s="94"/>
      <c r="J370" s="94"/>
      <c r="K370" s="94"/>
      <c r="L370" s="94"/>
      <c r="M370" s="94"/>
      <c r="N370" s="94"/>
      <c r="O370" s="94"/>
    </row>
    <row r="371" spans="1:15" x14ac:dyDescent="0.25">
      <c r="A371" s="94"/>
      <c r="B371" s="94"/>
      <c r="C371" s="94"/>
      <c r="D371" s="94"/>
      <c r="E371" s="94"/>
      <c r="F371" s="94"/>
      <c r="G371" s="94"/>
      <c r="H371" s="94"/>
      <c r="I371" s="94"/>
      <c r="J371" s="94"/>
      <c r="K371" s="94"/>
      <c r="L371" s="94"/>
      <c r="M371" s="94"/>
      <c r="N371" s="94"/>
      <c r="O371" s="94"/>
    </row>
    <row r="372" spans="1:15" x14ac:dyDescent="0.25">
      <c r="A372" s="94"/>
      <c r="B372" s="94"/>
      <c r="C372" s="94"/>
      <c r="D372" s="94"/>
      <c r="E372" s="94"/>
      <c r="F372" s="94"/>
      <c r="G372" s="94"/>
      <c r="H372" s="94"/>
      <c r="I372" s="94"/>
      <c r="J372" s="94"/>
      <c r="K372" s="94"/>
      <c r="L372" s="94"/>
      <c r="M372" s="94"/>
      <c r="N372" s="94"/>
      <c r="O372" s="94"/>
    </row>
    <row r="373" spans="1:15" x14ac:dyDescent="0.25">
      <c r="A373" s="94"/>
      <c r="B373" s="94"/>
      <c r="C373" s="94"/>
      <c r="D373" s="94"/>
      <c r="E373" s="94"/>
      <c r="F373" s="94"/>
      <c r="G373" s="94"/>
      <c r="H373" s="94"/>
      <c r="I373" s="94"/>
      <c r="J373" s="94"/>
      <c r="K373" s="94"/>
      <c r="L373" s="94"/>
      <c r="M373" s="94"/>
      <c r="N373" s="94"/>
      <c r="O373" s="94"/>
    </row>
    <row r="374" spans="1:15" x14ac:dyDescent="0.25">
      <c r="A374" s="94"/>
      <c r="B374" s="94"/>
      <c r="C374" s="94"/>
      <c r="D374" s="94"/>
      <c r="E374" s="94"/>
      <c r="F374" s="94"/>
      <c r="G374" s="94"/>
      <c r="H374" s="94"/>
      <c r="I374" s="94"/>
      <c r="J374" s="94"/>
      <c r="K374" s="94"/>
      <c r="L374" s="94"/>
      <c r="M374" s="94"/>
      <c r="N374" s="94"/>
      <c r="O374" s="94"/>
    </row>
    <row r="375" spans="1:15" x14ac:dyDescent="0.25">
      <c r="A375" s="94"/>
      <c r="B375" s="94"/>
      <c r="C375" s="94"/>
      <c r="D375" s="94"/>
      <c r="E375" s="94"/>
      <c r="F375" s="94"/>
      <c r="G375" s="94"/>
      <c r="H375" s="94"/>
      <c r="I375" s="94"/>
      <c r="J375" s="94"/>
      <c r="K375" s="94"/>
      <c r="L375" s="94"/>
      <c r="M375" s="94"/>
      <c r="N375" s="94"/>
      <c r="O375" s="94"/>
    </row>
    <row r="376" spans="1:15" x14ac:dyDescent="0.25">
      <c r="A376" s="94"/>
      <c r="B376" s="94"/>
      <c r="C376" s="94"/>
      <c r="D376" s="94"/>
      <c r="E376" s="94"/>
      <c r="F376" s="94"/>
      <c r="G376" s="94"/>
      <c r="H376" s="94"/>
      <c r="I376" s="94"/>
      <c r="J376" s="94"/>
      <c r="K376" s="94"/>
      <c r="L376" s="94"/>
      <c r="M376" s="94"/>
      <c r="N376" s="94"/>
      <c r="O376" s="94"/>
    </row>
    <row r="377" spans="1:15" x14ac:dyDescent="0.25">
      <c r="A377" s="94"/>
      <c r="B377" s="94"/>
      <c r="C377" s="94"/>
      <c r="D377" s="94"/>
      <c r="E377" s="94"/>
      <c r="F377" s="94"/>
      <c r="G377" s="94"/>
      <c r="H377" s="94"/>
      <c r="I377" s="94"/>
      <c r="J377" s="94"/>
      <c r="K377" s="94"/>
      <c r="L377" s="94"/>
      <c r="M377" s="94"/>
      <c r="N377" s="94"/>
      <c r="O377" s="94"/>
    </row>
    <row r="378" spans="1:15" x14ac:dyDescent="0.25">
      <c r="A378" s="94"/>
      <c r="B378" s="94"/>
      <c r="C378" s="94"/>
      <c r="D378" s="94"/>
      <c r="E378" s="94"/>
      <c r="F378" s="94"/>
      <c r="G378" s="94"/>
      <c r="H378" s="94"/>
      <c r="I378" s="94"/>
      <c r="J378" s="94"/>
      <c r="K378" s="94"/>
      <c r="L378" s="94"/>
      <c r="M378" s="94"/>
      <c r="N378" s="94"/>
      <c r="O378" s="94"/>
    </row>
    <row r="379" spans="1:15" x14ac:dyDescent="0.25">
      <c r="A379" s="94"/>
      <c r="B379" s="94"/>
      <c r="C379" s="94"/>
      <c r="D379" s="94"/>
      <c r="E379" s="94"/>
      <c r="F379" s="94"/>
      <c r="G379" s="94"/>
      <c r="H379" s="94"/>
      <c r="I379" s="94"/>
      <c r="J379" s="94"/>
      <c r="K379" s="94"/>
      <c r="L379" s="94"/>
      <c r="M379" s="94"/>
      <c r="N379" s="94"/>
      <c r="O379" s="94"/>
    </row>
    <row r="380" spans="1:15" x14ac:dyDescent="0.25">
      <c r="A380" s="94"/>
      <c r="B380" s="94"/>
      <c r="C380" s="94"/>
      <c r="D380" s="94"/>
      <c r="E380" s="94"/>
      <c r="F380" s="94"/>
      <c r="G380" s="94"/>
      <c r="H380" s="94"/>
      <c r="I380" s="94"/>
      <c r="J380" s="94"/>
      <c r="K380" s="94"/>
      <c r="L380" s="94"/>
      <c r="M380" s="94"/>
      <c r="N380" s="94"/>
      <c r="O380" s="94"/>
    </row>
    <row r="381" spans="1:15" x14ac:dyDescent="0.25">
      <c r="A381" s="94"/>
      <c r="B381" s="94"/>
      <c r="C381" s="94"/>
      <c r="D381" s="94"/>
      <c r="E381" s="94"/>
      <c r="F381" s="94"/>
      <c r="G381" s="94"/>
      <c r="H381" s="98"/>
      <c r="I381" s="98"/>
      <c r="J381" s="98"/>
      <c r="K381" s="98"/>
      <c r="L381" s="98"/>
      <c r="M381" s="98"/>
      <c r="N381" s="98"/>
      <c r="O381" s="98"/>
    </row>
    <row r="382" spans="1:15" x14ac:dyDescent="0.25">
      <c r="A382" s="95" t="s">
        <v>38</v>
      </c>
      <c r="B382" s="95"/>
      <c r="C382" s="95"/>
      <c r="D382" s="95"/>
      <c r="E382" s="95"/>
      <c r="F382" s="95"/>
      <c r="G382" s="95"/>
      <c r="I382" s="95"/>
      <c r="J382" s="95"/>
      <c r="K382" s="95"/>
      <c r="L382" s="95"/>
      <c r="M382" s="95"/>
      <c r="N382" s="95"/>
      <c r="O382" s="95">
        <f>SUBTOTAL(103,Table11[Total L.L.])</f>
        <v>0</v>
      </c>
    </row>
    <row r="383" spans="1:15" x14ac:dyDescent="0.25">
      <c r="A383" s="92"/>
      <c r="B383" s="92"/>
      <c r="C383" s="92"/>
      <c r="D383" s="92"/>
      <c r="E383" s="92"/>
      <c r="F383" s="92"/>
      <c r="G383" s="92"/>
      <c r="I383" s="92"/>
      <c r="J383" s="92"/>
      <c r="K383" s="92"/>
      <c r="L383" s="92"/>
      <c r="M383" s="92"/>
      <c r="N383" s="92"/>
      <c r="O383" s="92"/>
    </row>
    <row r="384" spans="1:15" x14ac:dyDescent="0.25">
      <c r="A384" s="92"/>
      <c r="B384" s="92"/>
      <c r="C384" s="92"/>
      <c r="D384" s="92"/>
      <c r="E384" s="92"/>
      <c r="F384" s="92"/>
      <c r="G384" s="92"/>
      <c r="I384" s="92"/>
      <c r="J384" s="92"/>
      <c r="K384" s="92"/>
      <c r="L384" s="92"/>
      <c r="M384" s="92"/>
      <c r="N384" s="92"/>
      <c r="O384" s="92"/>
    </row>
    <row r="385" spans="1:15" x14ac:dyDescent="0.25">
      <c r="A385" s="92"/>
      <c r="B385" s="92"/>
      <c r="C385" s="92"/>
      <c r="D385" s="92"/>
      <c r="E385" s="92"/>
      <c r="F385" s="92"/>
      <c r="G385" s="92"/>
      <c r="I385" s="92"/>
      <c r="J385" s="92"/>
      <c r="K385" s="92"/>
      <c r="L385" s="92"/>
      <c r="M385" s="92"/>
      <c r="N385" s="92"/>
      <c r="O385" s="92"/>
    </row>
    <row r="386" spans="1:15" x14ac:dyDescent="0.25">
      <c r="A386" s="92" t="s">
        <v>491</v>
      </c>
      <c r="B386" s="92"/>
      <c r="C386" s="92"/>
      <c r="D386" s="92"/>
      <c r="E386" s="92"/>
      <c r="F386" s="92"/>
      <c r="G386" s="92"/>
      <c r="I386" s="92"/>
      <c r="J386" s="92"/>
      <c r="K386" s="92"/>
      <c r="L386" s="92"/>
      <c r="M386" s="92"/>
      <c r="N386" s="92"/>
      <c r="O386" s="92"/>
    </row>
    <row r="387" spans="1:15" x14ac:dyDescent="0.25">
      <c r="A387" s="92" t="s">
        <v>492</v>
      </c>
      <c r="B387" s="92"/>
      <c r="C387" s="92"/>
      <c r="D387" s="92"/>
      <c r="E387" s="92"/>
      <c r="F387" s="92"/>
      <c r="G387" s="92"/>
      <c r="I387" s="92"/>
      <c r="J387" s="92"/>
      <c r="K387" s="92"/>
      <c r="L387" s="92"/>
      <c r="M387" s="92"/>
      <c r="N387" s="92"/>
      <c r="O387" s="92"/>
    </row>
    <row r="388" spans="1:15" x14ac:dyDescent="0.25">
      <c r="A388" s="92" t="s">
        <v>493</v>
      </c>
      <c r="B388" s="92"/>
      <c r="C388" s="92"/>
      <c r="D388" s="92"/>
      <c r="E388" s="92"/>
      <c r="F388" s="92"/>
      <c r="G388" s="92"/>
      <c r="I388" s="92"/>
      <c r="J388" s="92"/>
      <c r="K388" s="92"/>
      <c r="L388" s="92"/>
      <c r="M388" s="92"/>
      <c r="N388" s="92"/>
      <c r="O388" s="92"/>
    </row>
    <row r="389" spans="1:15" x14ac:dyDescent="0.25">
      <c r="A389" s="92" t="s">
        <v>494</v>
      </c>
      <c r="B389" s="92"/>
      <c r="C389" s="92"/>
      <c r="D389" s="92"/>
      <c r="E389" s="92"/>
      <c r="F389" s="92"/>
      <c r="G389" s="92"/>
      <c r="I389" s="92"/>
      <c r="J389" s="92"/>
      <c r="K389" s="92"/>
      <c r="L389" s="92"/>
      <c r="M389" s="92"/>
      <c r="N389" s="92"/>
      <c r="O389" s="92"/>
    </row>
    <row r="391" spans="1:15" x14ac:dyDescent="0.25">
      <c r="A391" t="s">
        <v>495</v>
      </c>
    </row>
    <row r="392" spans="1:15" x14ac:dyDescent="0.25">
      <c r="A392" t="s">
        <v>282</v>
      </c>
      <c r="B392" t="s">
        <v>496</v>
      </c>
    </row>
    <row r="393" spans="1:15" x14ac:dyDescent="0.25">
      <c r="A393" t="s">
        <v>491</v>
      </c>
      <c r="B393" t="s">
        <v>497</v>
      </c>
    </row>
    <row r="394" spans="1:15" x14ac:dyDescent="0.25">
      <c r="A394" t="s">
        <v>491</v>
      </c>
      <c r="B394" t="s">
        <v>498</v>
      </c>
    </row>
    <row r="395" spans="1:15" x14ac:dyDescent="0.25">
      <c r="A395" t="s">
        <v>491</v>
      </c>
      <c r="B395" t="s">
        <v>499</v>
      </c>
    </row>
    <row r="396" spans="1:15" x14ac:dyDescent="0.25">
      <c r="A396" t="s">
        <v>491</v>
      </c>
      <c r="B396" t="s">
        <v>500</v>
      </c>
    </row>
    <row r="397" spans="1:15" x14ac:dyDescent="0.25">
      <c r="A397" t="s">
        <v>491</v>
      </c>
      <c r="B397" t="s">
        <v>501</v>
      </c>
    </row>
    <row r="398" spans="1:15" x14ac:dyDescent="0.25">
      <c r="A398" t="s">
        <v>491</v>
      </c>
      <c r="B398" t="s">
        <v>502</v>
      </c>
    </row>
    <row r="399" spans="1:15" x14ac:dyDescent="0.25">
      <c r="A399" t="s">
        <v>491</v>
      </c>
      <c r="B399" t="s">
        <v>503</v>
      </c>
    </row>
    <row r="400" spans="1:15" x14ac:dyDescent="0.25">
      <c r="A400" t="s">
        <v>491</v>
      </c>
      <c r="B400" t="s">
        <v>504</v>
      </c>
    </row>
    <row r="401" spans="1:2" x14ac:dyDescent="0.25">
      <c r="A401" t="s">
        <v>491</v>
      </c>
      <c r="B401" t="s">
        <v>505</v>
      </c>
    </row>
    <row r="402" spans="1:2" x14ac:dyDescent="0.25">
      <c r="A402" t="s">
        <v>491</v>
      </c>
      <c r="B402" t="s">
        <v>506</v>
      </c>
    </row>
    <row r="403" spans="1:2" x14ac:dyDescent="0.25">
      <c r="A403" t="s">
        <v>491</v>
      </c>
      <c r="B403" t="s">
        <v>507</v>
      </c>
    </row>
    <row r="404" spans="1:2" x14ac:dyDescent="0.25">
      <c r="A404" t="s">
        <v>492</v>
      </c>
      <c r="B404" t="s">
        <v>508</v>
      </c>
    </row>
    <row r="405" spans="1:2" x14ac:dyDescent="0.25">
      <c r="A405" t="s">
        <v>492</v>
      </c>
      <c r="B405" t="s">
        <v>509</v>
      </c>
    </row>
    <row r="406" spans="1:2" x14ac:dyDescent="0.25">
      <c r="A406" t="s">
        <v>492</v>
      </c>
      <c r="B406" t="s">
        <v>504</v>
      </c>
    </row>
    <row r="407" spans="1:2" x14ac:dyDescent="0.25">
      <c r="A407" t="s">
        <v>492</v>
      </c>
      <c r="B407" t="s">
        <v>510</v>
      </c>
    </row>
    <row r="408" spans="1:2" x14ac:dyDescent="0.25">
      <c r="A408" t="s">
        <v>492</v>
      </c>
      <c r="B408" t="s">
        <v>511</v>
      </c>
    </row>
    <row r="409" spans="1:2" x14ac:dyDescent="0.25">
      <c r="A409" t="s">
        <v>492</v>
      </c>
      <c r="B409" t="s">
        <v>512</v>
      </c>
    </row>
    <row r="410" spans="1:2" x14ac:dyDescent="0.25">
      <c r="A410" t="s">
        <v>492</v>
      </c>
      <c r="B410" t="s">
        <v>513</v>
      </c>
    </row>
    <row r="411" spans="1:2" x14ac:dyDescent="0.25">
      <c r="A411" t="s">
        <v>492</v>
      </c>
      <c r="B411" t="s">
        <v>514</v>
      </c>
    </row>
    <row r="412" spans="1:2" x14ac:dyDescent="0.25">
      <c r="A412" t="s">
        <v>492</v>
      </c>
      <c r="B412" t="s">
        <v>515</v>
      </c>
    </row>
    <row r="413" spans="1:2" x14ac:dyDescent="0.25">
      <c r="A413" t="s">
        <v>492</v>
      </c>
      <c r="B413" t="s">
        <v>516</v>
      </c>
    </row>
    <row r="414" spans="1:2" x14ac:dyDescent="0.25">
      <c r="A414" t="s">
        <v>493</v>
      </c>
      <c r="B414" t="s">
        <v>502</v>
      </c>
    </row>
    <row r="415" spans="1:2" x14ac:dyDescent="0.25">
      <c r="A415" t="s">
        <v>493</v>
      </c>
      <c r="B415" t="s">
        <v>517</v>
      </c>
    </row>
    <row r="416" spans="1:2" x14ac:dyDescent="0.25">
      <c r="A416" t="s">
        <v>493</v>
      </c>
      <c r="B416" t="s">
        <v>518</v>
      </c>
    </row>
    <row r="417" spans="1:2" x14ac:dyDescent="0.25">
      <c r="A417" t="s">
        <v>493</v>
      </c>
      <c r="B417" t="s">
        <v>503</v>
      </c>
    </row>
    <row r="418" spans="1:2" x14ac:dyDescent="0.25">
      <c r="A418" t="s">
        <v>493</v>
      </c>
      <c r="B418" t="s">
        <v>504</v>
      </c>
    </row>
    <row r="419" spans="1:2" x14ac:dyDescent="0.25">
      <c r="A419" t="s">
        <v>493</v>
      </c>
      <c r="B419" t="s">
        <v>519</v>
      </c>
    </row>
    <row r="420" spans="1:2" x14ac:dyDescent="0.25">
      <c r="A420" t="s">
        <v>493</v>
      </c>
      <c r="B420" t="s">
        <v>520</v>
      </c>
    </row>
    <row r="421" spans="1:2" x14ac:dyDescent="0.25">
      <c r="A421" t="s">
        <v>494</v>
      </c>
      <c r="B421" t="s">
        <v>497</v>
      </c>
    </row>
    <row r="422" spans="1:2" x14ac:dyDescent="0.25">
      <c r="A422" t="s">
        <v>494</v>
      </c>
      <c r="B422" t="s">
        <v>521</v>
      </c>
    </row>
    <row r="423" spans="1:2" x14ac:dyDescent="0.25">
      <c r="A423" t="s">
        <v>494</v>
      </c>
      <c r="B423" t="s">
        <v>522</v>
      </c>
    </row>
    <row r="424" spans="1:2" x14ac:dyDescent="0.25">
      <c r="A424" t="s">
        <v>494</v>
      </c>
      <c r="B424" t="s">
        <v>498</v>
      </c>
    </row>
    <row r="425" spans="1:2" x14ac:dyDescent="0.25">
      <c r="A425" t="s">
        <v>494</v>
      </c>
      <c r="B425" t="s">
        <v>519</v>
      </c>
    </row>
    <row r="426" spans="1:2" x14ac:dyDescent="0.25">
      <c r="A426" t="s">
        <v>494</v>
      </c>
      <c r="B426" t="s">
        <v>520</v>
      </c>
    </row>
  </sheetData>
  <mergeCells count="2">
    <mergeCell ref="A184:D184"/>
    <mergeCell ref="A366:E367"/>
  </mergeCells>
  <phoneticPr fontId="26" type="noConversion"/>
  <conditionalFormatting sqref="A59:C60 A62:C63">
    <cfRule type="containsText" dxfId="2103" priority="205" operator="containsText" text="PEARL MILLET">
      <formula>NOT(ISERROR(SEARCH("PEARL MILLET",A59)))</formula>
    </cfRule>
    <cfRule type="containsText" dxfId="2102" priority="206" operator="containsText" text="PROSO MILLET">
      <formula>NOT(ISERROR(SEARCH("PROSO MILLET",A59)))</formula>
    </cfRule>
    <cfRule type="containsText" dxfId="2101" priority="207" operator="containsText" text="GOLDEN GERMAN">
      <formula>NOT(ISERROR(SEARCH("GOLDEN GERMAN",A59)))</formula>
    </cfRule>
    <cfRule type="containsText" dxfId="2100" priority="208" operator="containsText" text="BUILDING SITE">
      <formula>NOT(ISERROR(SEARCH("BUILDING SITE",A59)))</formula>
    </cfRule>
    <cfRule type="containsText" dxfId="2099" priority="209" operator="containsText" text="WASTE">
      <formula>NOT(ISERROR(SEARCH("WASTE",A59)))</formula>
    </cfRule>
    <cfRule type="containsText" dxfId="2098" priority="210" operator="containsText" text="PASTURE">
      <formula>NOT(ISERROR(SEARCH("PASTURE",A59)))</formula>
    </cfRule>
    <cfRule type="cellIs" dxfId="2097" priority="211" operator="equal">
      <formula>"FORG/ WHEAT"</formula>
    </cfRule>
    <cfRule type="cellIs" dxfId="2096" priority="212" operator="equal">
      <formula>"FALL GRAZED"</formula>
    </cfRule>
    <cfRule type="cellIs" dxfId="2095" priority="213" operator="equal">
      <formula>"FALLOW"</formula>
    </cfRule>
    <cfRule type="cellIs" dxfId="2094" priority="214" operator="equal">
      <formula>"FALL GRAZED"</formula>
    </cfRule>
    <cfRule type="cellIs" dxfId="2093" priority="215" operator="equal">
      <formula>"TRITICALE"</formula>
    </cfRule>
    <cfRule type="cellIs" dxfId="2092" priority="216" operator="equal">
      <formula>"SORGHUM"</formula>
    </cfRule>
    <cfRule type="cellIs" dxfId="2091" priority="217" operator="equal">
      <formula>"OAT/WHEAT"</formula>
    </cfRule>
    <cfRule type="cellIs" dxfId="2090" priority="218" operator="equal">
      <formula>"SPRING GRAZED"</formula>
    </cfRule>
    <cfRule type="cellIs" dxfId="2089" priority="219" operator="equal">
      <formula>"WHEAT"</formula>
    </cfRule>
    <cfRule type="cellIs" dxfId="2088" priority="220" operator="equal">
      <formula>"SORGHUM SUDAN"</formula>
    </cfRule>
    <cfRule type="cellIs" dxfId="2087" priority="221" operator="equal">
      <formula>"CORN"</formula>
    </cfRule>
  </conditionalFormatting>
  <conditionalFormatting sqref="E59:E60">
    <cfRule type="containsText" dxfId="2086" priority="188" operator="containsText" text="PEARL MILLET">
      <formula>NOT(ISERROR(SEARCH("PEARL MILLET",E59)))</formula>
    </cfRule>
    <cfRule type="containsText" dxfId="2085" priority="189" operator="containsText" text="PROSO MILLET">
      <formula>NOT(ISERROR(SEARCH("PROSO MILLET",E59)))</formula>
    </cfRule>
    <cfRule type="containsText" dxfId="2084" priority="190" operator="containsText" text="GOLDEN GERMAN">
      <formula>NOT(ISERROR(SEARCH("GOLDEN GERMAN",E59)))</formula>
    </cfRule>
    <cfRule type="containsText" dxfId="2083" priority="191" operator="containsText" text="BUILDING SITE">
      <formula>NOT(ISERROR(SEARCH("BUILDING SITE",E59)))</formula>
    </cfRule>
    <cfRule type="containsText" dxfId="2082" priority="192" operator="containsText" text="WASTE">
      <formula>NOT(ISERROR(SEARCH("WASTE",E59)))</formula>
    </cfRule>
    <cfRule type="containsText" dxfId="2081" priority="193" operator="containsText" text="PASTURE">
      <formula>NOT(ISERROR(SEARCH("PASTURE",E59)))</formula>
    </cfRule>
    <cfRule type="cellIs" dxfId="2080" priority="194" operator="equal">
      <formula>"FORG/ WHEAT"</formula>
    </cfRule>
    <cfRule type="cellIs" dxfId="2079" priority="195" operator="equal">
      <formula>"FALL GRAZED"</formula>
    </cfRule>
    <cfRule type="cellIs" dxfId="2078" priority="196" operator="equal">
      <formula>"FALLOW"</formula>
    </cfRule>
    <cfRule type="cellIs" dxfId="2077" priority="197" operator="equal">
      <formula>"FALL GRAZED"</formula>
    </cfRule>
    <cfRule type="cellIs" dxfId="2076" priority="198" operator="equal">
      <formula>"TRITICALE"</formula>
    </cfRule>
    <cfRule type="cellIs" dxfId="2075" priority="199" operator="equal">
      <formula>"SORGHUM"</formula>
    </cfRule>
    <cfRule type="cellIs" dxfId="2074" priority="200" operator="equal">
      <formula>"OAT/WHEAT"</formula>
    </cfRule>
    <cfRule type="cellIs" dxfId="2073" priority="201" operator="equal">
      <formula>"SPRING GRAZED"</formula>
    </cfRule>
    <cfRule type="cellIs" dxfId="2072" priority="202" operator="equal">
      <formula>"WHEAT"</formula>
    </cfRule>
    <cfRule type="cellIs" dxfId="2071" priority="203" operator="equal">
      <formula>"SORGHUM SUDAN"</formula>
    </cfRule>
    <cfRule type="cellIs" dxfId="2070" priority="204" operator="equal">
      <formula>"CORN"</formula>
    </cfRule>
  </conditionalFormatting>
  <conditionalFormatting sqref="E62:E63">
    <cfRule type="containsText" dxfId="2069" priority="154" operator="containsText" text="PEARL MILLET">
      <formula>NOT(ISERROR(SEARCH("PEARL MILLET",E62)))</formula>
    </cfRule>
    <cfRule type="containsText" dxfId="2068" priority="155" operator="containsText" text="PROSO MILLET">
      <formula>NOT(ISERROR(SEARCH("PROSO MILLET",E62)))</formula>
    </cfRule>
    <cfRule type="containsText" dxfId="2067" priority="156" operator="containsText" text="GOLDEN GERMAN">
      <formula>NOT(ISERROR(SEARCH("GOLDEN GERMAN",E62)))</formula>
    </cfRule>
    <cfRule type="containsText" dxfId="2066" priority="157" operator="containsText" text="BUILDING SITE">
      <formula>NOT(ISERROR(SEARCH("BUILDING SITE",E62)))</formula>
    </cfRule>
    <cfRule type="containsText" dxfId="2065" priority="158" operator="containsText" text="WASTE">
      <formula>NOT(ISERROR(SEARCH("WASTE",E62)))</formula>
    </cfRule>
    <cfRule type="containsText" dxfId="2064" priority="159" operator="containsText" text="PASTURE">
      <formula>NOT(ISERROR(SEARCH("PASTURE",E62)))</formula>
    </cfRule>
    <cfRule type="cellIs" dxfId="2063" priority="160" operator="equal">
      <formula>"FORG/ WHEAT"</formula>
    </cfRule>
    <cfRule type="cellIs" dxfId="2062" priority="161" operator="equal">
      <formula>"FALL GRAZED"</formula>
    </cfRule>
    <cfRule type="cellIs" dxfId="2061" priority="162" operator="equal">
      <formula>"FALLOW"</formula>
    </cfRule>
    <cfRule type="cellIs" dxfId="2060" priority="163" operator="equal">
      <formula>"FALL GRAZED"</formula>
    </cfRule>
    <cfRule type="cellIs" dxfId="2059" priority="164" operator="equal">
      <formula>"TRITICALE"</formula>
    </cfRule>
    <cfRule type="cellIs" dxfId="2058" priority="165" operator="equal">
      <formula>"SORGHUM"</formula>
    </cfRule>
    <cfRule type="cellIs" dxfId="2057" priority="166" operator="equal">
      <formula>"OAT/WHEAT"</formula>
    </cfRule>
    <cfRule type="cellIs" dxfId="2056" priority="167" operator="equal">
      <formula>"SPRING GRAZED"</formula>
    </cfRule>
    <cfRule type="cellIs" dxfId="2055" priority="168" operator="equal">
      <formula>"WHEAT"</formula>
    </cfRule>
    <cfRule type="cellIs" dxfId="2054" priority="169" operator="equal">
      <formula>"SORGHUM SUDAN"</formula>
    </cfRule>
    <cfRule type="cellIs" dxfId="2053" priority="170" operator="equal">
      <formula>"CORN"</formula>
    </cfRule>
  </conditionalFormatting>
  <conditionalFormatting sqref="D87:D88">
    <cfRule type="containsText" dxfId="2052" priority="103" operator="containsText" text="PEARL MILLET">
      <formula>NOT(ISERROR(SEARCH("PEARL MILLET",D87)))</formula>
    </cfRule>
    <cfRule type="containsText" dxfId="2051" priority="104" operator="containsText" text="PROSO MILLET">
      <formula>NOT(ISERROR(SEARCH("PROSO MILLET",D87)))</formula>
    </cfRule>
    <cfRule type="containsText" dxfId="2050" priority="105" operator="containsText" text="GOLDEN GERMAN">
      <formula>NOT(ISERROR(SEARCH("GOLDEN GERMAN",D87)))</formula>
    </cfRule>
    <cfRule type="containsText" dxfId="2049" priority="106" operator="containsText" text="BUILDING SITE">
      <formula>NOT(ISERROR(SEARCH("BUILDING SITE",D87)))</formula>
    </cfRule>
    <cfRule type="containsText" dxfId="2048" priority="107" operator="containsText" text="WASTE">
      <formula>NOT(ISERROR(SEARCH("WASTE",D87)))</formula>
    </cfRule>
    <cfRule type="containsText" dxfId="2047" priority="108" operator="containsText" text="PASTURE">
      <formula>NOT(ISERROR(SEARCH("PASTURE",D87)))</formula>
    </cfRule>
    <cfRule type="cellIs" dxfId="2046" priority="109" operator="equal">
      <formula>"FORG/ WHEAT"</formula>
    </cfRule>
    <cfRule type="cellIs" dxfId="2045" priority="110" operator="equal">
      <formula>"FALL GRAZED"</formula>
    </cfRule>
    <cfRule type="cellIs" dxfId="2044" priority="111" operator="equal">
      <formula>"FALLOW"</formula>
    </cfRule>
    <cfRule type="cellIs" dxfId="2043" priority="112" operator="equal">
      <formula>"FALL GRAZED"</formula>
    </cfRule>
    <cfRule type="cellIs" dxfId="2042" priority="113" operator="equal">
      <formula>"TRITICALE"</formula>
    </cfRule>
    <cfRule type="cellIs" dxfId="2041" priority="114" operator="equal">
      <formula>"SORGHUM"</formula>
    </cfRule>
    <cfRule type="cellIs" dxfId="2040" priority="115" operator="equal">
      <formula>"OAT/WHEAT"</formula>
    </cfRule>
    <cfRule type="cellIs" dxfId="2039" priority="116" operator="equal">
      <formula>"SPRING GRAZED"</formula>
    </cfRule>
    <cfRule type="cellIs" dxfId="2038" priority="117" operator="equal">
      <formula>"WHEAT"</formula>
    </cfRule>
    <cfRule type="cellIs" dxfId="2037" priority="118" operator="equal">
      <formula>"SORGHUM SUDAN"</formula>
    </cfRule>
    <cfRule type="cellIs" dxfId="2036" priority="119" operator="equal">
      <formula>"CORN"</formula>
    </cfRule>
  </conditionalFormatting>
  <conditionalFormatting sqref="D84:D85">
    <cfRule type="containsText" dxfId="2035" priority="86" operator="containsText" text="PEARL MILLET">
      <formula>NOT(ISERROR(SEARCH("PEARL MILLET",D84)))</formula>
    </cfRule>
    <cfRule type="containsText" dxfId="2034" priority="87" operator="containsText" text="PROSO MILLET">
      <formula>NOT(ISERROR(SEARCH("PROSO MILLET",D84)))</formula>
    </cfRule>
    <cfRule type="containsText" dxfId="2033" priority="88" operator="containsText" text="GOLDEN GERMAN">
      <formula>NOT(ISERROR(SEARCH("GOLDEN GERMAN",D84)))</formula>
    </cfRule>
    <cfRule type="containsText" dxfId="2032" priority="89" operator="containsText" text="BUILDING SITE">
      <formula>NOT(ISERROR(SEARCH("BUILDING SITE",D84)))</formula>
    </cfRule>
    <cfRule type="containsText" dxfId="2031" priority="90" operator="containsText" text="WASTE">
      <formula>NOT(ISERROR(SEARCH("WASTE",D84)))</formula>
    </cfRule>
    <cfRule type="containsText" dxfId="2030" priority="91" operator="containsText" text="PASTURE">
      <formula>NOT(ISERROR(SEARCH("PASTURE",D84)))</formula>
    </cfRule>
    <cfRule type="cellIs" dxfId="2029" priority="92" operator="equal">
      <formula>"FORG/ WHEAT"</formula>
    </cfRule>
    <cfRule type="cellIs" dxfId="2028" priority="93" operator="equal">
      <formula>"FALL GRAZED"</formula>
    </cfRule>
    <cfRule type="cellIs" dxfId="2027" priority="94" operator="equal">
      <formula>"FALLOW"</formula>
    </cfRule>
    <cfRule type="cellIs" dxfId="2026" priority="95" operator="equal">
      <formula>"FALL GRAZED"</formula>
    </cfRule>
    <cfRule type="cellIs" dxfId="2025" priority="96" operator="equal">
      <formula>"TRITICALE"</formula>
    </cfRule>
    <cfRule type="cellIs" dxfId="2024" priority="97" operator="equal">
      <formula>"SORGHUM"</formula>
    </cfRule>
    <cfRule type="cellIs" dxfId="2023" priority="98" operator="equal">
      <formula>"OAT/WHEAT"</formula>
    </cfRule>
    <cfRule type="cellIs" dxfId="2022" priority="99" operator="equal">
      <formula>"SPRING GRAZED"</formula>
    </cfRule>
    <cfRule type="cellIs" dxfId="2021" priority="100" operator="equal">
      <formula>"WHEAT"</formula>
    </cfRule>
    <cfRule type="cellIs" dxfId="2020" priority="101" operator="equal">
      <formula>"SORGHUM SUDAN"</formula>
    </cfRule>
    <cfRule type="cellIs" dxfId="2019" priority="102" operator="equal">
      <formula>"CORN"</formula>
    </cfRule>
  </conditionalFormatting>
  <conditionalFormatting sqref="D89:D91">
    <cfRule type="containsText" dxfId="2018" priority="69" operator="containsText" text="PEARL MILLET">
      <formula>NOT(ISERROR(SEARCH("PEARL MILLET",D89)))</formula>
    </cfRule>
    <cfRule type="containsText" dxfId="2017" priority="70" operator="containsText" text="PROSO MILLET">
      <formula>NOT(ISERROR(SEARCH("PROSO MILLET",D89)))</formula>
    </cfRule>
    <cfRule type="containsText" dxfId="2016" priority="71" operator="containsText" text="GOLDEN GERMAN">
      <formula>NOT(ISERROR(SEARCH("GOLDEN GERMAN",D89)))</formula>
    </cfRule>
    <cfRule type="containsText" dxfId="2015" priority="72" operator="containsText" text="BUILDING SITE">
      <formula>NOT(ISERROR(SEARCH("BUILDING SITE",D89)))</formula>
    </cfRule>
    <cfRule type="containsText" dxfId="2014" priority="73" operator="containsText" text="WASTE">
      <formula>NOT(ISERROR(SEARCH("WASTE",D89)))</formula>
    </cfRule>
    <cfRule type="containsText" dxfId="2013" priority="74" operator="containsText" text="PASTURE">
      <formula>NOT(ISERROR(SEARCH("PASTURE",D89)))</formula>
    </cfRule>
    <cfRule type="cellIs" dxfId="2012" priority="75" operator="equal">
      <formula>"FORG/ WHEAT"</formula>
    </cfRule>
    <cfRule type="cellIs" dxfId="2011" priority="76" operator="equal">
      <formula>"FALL GRAZED"</formula>
    </cfRule>
    <cfRule type="cellIs" dxfId="2010" priority="77" operator="equal">
      <formula>"FALLOW"</formula>
    </cfRule>
    <cfRule type="cellIs" dxfId="2009" priority="78" operator="equal">
      <formula>"FALL GRAZED"</formula>
    </cfRule>
    <cfRule type="cellIs" dxfId="2008" priority="79" operator="equal">
      <formula>"TRITICALE"</formula>
    </cfRule>
    <cfRule type="cellIs" dxfId="2007" priority="80" operator="equal">
      <formula>"SORGHUM"</formula>
    </cfRule>
    <cfRule type="cellIs" dxfId="2006" priority="81" operator="equal">
      <formula>"OAT/WHEAT"</formula>
    </cfRule>
    <cfRule type="cellIs" dxfId="2005" priority="82" operator="equal">
      <formula>"SPRING GRAZED"</formula>
    </cfRule>
    <cfRule type="cellIs" dxfId="2004" priority="83" operator="equal">
      <formula>"WHEAT"</formula>
    </cfRule>
    <cfRule type="cellIs" dxfId="2003" priority="84" operator="equal">
      <formula>"SORGHUM SUDAN"</formula>
    </cfRule>
    <cfRule type="cellIs" dxfId="2002" priority="85" operator="equal">
      <formula>"CORN"</formula>
    </cfRule>
  </conditionalFormatting>
  <conditionalFormatting sqref="D76:D77">
    <cfRule type="containsText" dxfId="2001" priority="52" operator="containsText" text="PEARL MILLET">
      <formula>NOT(ISERROR(SEARCH("PEARL MILLET",D76)))</formula>
    </cfRule>
    <cfRule type="containsText" dxfId="2000" priority="53" operator="containsText" text="PROSO MILLET">
      <formula>NOT(ISERROR(SEARCH("PROSO MILLET",D76)))</formula>
    </cfRule>
    <cfRule type="containsText" dxfId="1999" priority="54" operator="containsText" text="GOLDEN GERMAN">
      <formula>NOT(ISERROR(SEARCH("GOLDEN GERMAN",D76)))</formula>
    </cfRule>
    <cfRule type="containsText" dxfId="1998" priority="55" operator="containsText" text="BUILDING SITE">
      <formula>NOT(ISERROR(SEARCH("BUILDING SITE",D76)))</formula>
    </cfRule>
    <cfRule type="containsText" dxfId="1997" priority="56" operator="containsText" text="WASTE">
      <formula>NOT(ISERROR(SEARCH("WASTE",D76)))</formula>
    </cfRule>
    <cfRule type="containsText" dxfId="1996" priority="57" operator="containsText" text="PASTURE">
      <formula>NOT(ISERROR(SEARCH("PASTURE",D76)))</formula>
    </cfRule>
    <cfRule type="cellIs" dxfId="1995" priority="58" operator="equal">
      <formula>"FORG/ WHEAT"</formula>
    </cfRule>
    <cfRule type="cellIs" dxfId="1994" priority="59" operator="equal">
      <formula>"FALL GRAZED"</formula>
    </cfRule>
    <cfRule type="cellIs" dxfId="1993" priority="60" operator="equal">
      <formula>"FALLOW"</formula>
    </cfRule>
    <cfRule type="cellIs" dxfId="1992" priority="61" operator="equal">
      <formula>"FALL GRAZED"</formula>
    </cfRule>
    <cfRule type="cellIs" dxfId="1991" priority="62" operator="equal">
      <formula>"TRITICALE"</formula>
    </cfRule>
    <cfRule type="cellIs" dxfId="1990" priority="63" operator="equal">
      <formula>"SORGHUM"</formula>
    </cfRule>
    <cfRule type="cellIs" dxfId="1989" priority="64" operator="equal">
      <formula>"OAT/WHEAT"</formula>
    </cfRule>
    <cfRule type="cellIs" dxfId="1988" priority="65" operator="equal">
      <formula>"SPRING GRAZED"</formula>
    </cfRule>
    <cfRule type="cellIs" dxfId="1987" priority="66" operator="equal">
      <formula>"WHEAT"</formula>
    </cfRule>
    <cfRule type="cellIs" dxfId="1986" priority="67" operator="equal">
      <formula>"SORGHUM SUDAN"</formula>
    </cfRule>
    <cfRule type="cellIs" dxfId="1985" priority="68" operator="equal">
      <formula>"CORN"</formula>
    </cfRule>
  </conditionalFormatting>
  <conditionalFormatting sqref="D53:D63">
    <cfRule type="containsText" dxfId="1984" priority="35" operator="containsText" text="PEARL MILLET">
      <formula>NOT(ISERROR(SEARCH("PEARL MILLET",D53)))</formula>
    </cfRule>
    <cfRule type="containsText" dxfId="1983" priority="36" operator="containsText" text="PROSO MILLET">
      <formula>NOT(ISERROR(SEARCH("PROSO MILLET",D53)))</formula>
    </cfRule>
    <cfRule type="containsText" dxfId="1982" priority="37" operator="containsText" text="GOLDEN GERMAN">
      <formula>NOT(ISERROR(SEARCH("GOLDEN GERMAN",D53)))</formula>
    </cfRule>
    <cfRule type="containsText" dxfId="1981" priority="38" operator="containsText" text="BUILDING SITE">
      <formula>NOT(ISERROR(SEARCH("BUILDING SITE",D53)))</formula>
    </cfRule>
    <cfRule type="containsText" dxfId="1980" priority="39" operator="containsText" text="WASTE">
      <formula>NOT(ISERROR(SEARCH("WASTE",D53)))</formula>
    </cfRule>
    <cfRule type="containsText" dxfId="1979" priority="40" operator="containsText" text="PASTURE">
      <formula>NOT(ISERROR(SEARCH("PASTURE",D53)))</formula>
    </cfRule>
    <cfRule type="cellIs" dxfId="1978" priority="41" operator="equal">
      <formula>"FORG/ WHEAT"</formula>
    </cfRule>
    <cfRule type="cellIs" dxfId="1977" priority="42" operator="equal">
      <formula>"FALL GRAZED"</formula>
    </cfRule>
    <cfRule type="cellIs" dxfId="1976" priority="43" operator="equal">
      <formula>"FALLOW"</formula>
    </cfRule>
    <cfRule type="cellIs" dxfId="1975" priority="44" operator="equal">
      <formula>"FALL GRAZED"</formula>
    </cfRule>
    <cfRule type="cellIs" dxfId="1974" priority="45" operator="equal">
      <formula>"TRITICALE"</formula>
    </cfRule>
    <cfRule type="cellIs" dxfId="1973" priority="46" operator="equal">
      <formula>"SORGHUM"</formula>
    </cfRule>
    <cfRule type="cellIs" dxfId="1972" priority="47" operator="equal">
      <formula>"OAT/WHEAT"</formula>
    </cfRule>
    <cfRule type="cellIs" dxfId="1971" priority="48" operator="equal">
      <formula>"SPRING GRAZED"</formula>
    </cfRule>
    <cfRule type="cellIs" dxfId="1970" priority="49" operator="equal">
      <formula>"WHEAT"</formula>
    </cfRule>
    <cfRule type="cellIs" dxfId="1969" priority="50" operator="equal">
      <formula>"SORGHUM SUDAN"</formula>
    </cfRule>
    <cfRule type="cellIs" dxfId="1968" priority="51" operator="equal">
      <formula>"CORN"</formula>
    </cfRule>
  </conditionalFormatting>
  <conditionalFormatting sqref="D47 D51:D52">
    <cfRule type="containsText" dxfId="1967" priority="18" operator="containsText" text="PEARL MILLET">
      <formula>NOT(ISERROR(SEARCH("PEARL MILLET",D47)))</formula>
    </cfRule>
    <cfRule type="containsText" dxfId="1966" priority="19" operator="containsText" text="PROSO MILLET">
      <formula>NOT(ISERROR(SEARCH("PROSO MILLET",D47)))</formula>
    </cfRule>
    <cfRule type="containsText" dxfId="1965" priority="20" operator="containsText" text="GOLDEN GERMAN">
      <formula>NOT(ISERROR(SEARCH("GOLDEN GERMAN",D47)))</formula>
    </cfRule>
    <cfRule type="containsText" dxfId="1964" priority="21" operator="containsText" text="BUILDING SITE">
      <formula>NOT(ISERROR(SEARCH("BUILDING SITE",D47)))</formula>
    </cfRule>
    <cfRule type="containsText" dxfId="1963" priority="22" operator="containsText" text="WASTE">
      <formula>NOT(ISERROR(SEARCH("WASTE",D47)))</formula>
    </cfRule>
    <cfRule type="containsText" dxfId="1962" priority="23" operator="containsText" text="PASTURE">
      <formula>NOT(ISERROR(SEARCH("PASTURE",D47)))</formula>
    </cfRule>
    <cfRule type="cellIs" dxfId="1961" priority="24" operator="equal">
      <formula>"FORG/ WHEAT"</formula>
    </cfRule>
    <cfRule type="cellIs" dxfId="1960" priority="25" operator="equal">
      <formula>"FALL GRAZED"</formula>
    </cfRule>
    <cfRule type="cellIs" dxfId="1959" priority="26" operator="equal">
      <formula>"FALLOW"</formula>
    </cfRule>
    <cfRule type="cellIs" dxfId="1958" priority="27" operator="equal">
      <formula>"FALL GRAZED"</formula>
    </cfRule>
    <cfRule type="cellIs" dxfId="1957" priority="28" operator="equal">
      <formula>"TRITICALE"</formula>
    </cfRule>
    <cfRule type="cellIs" dxfId="1956" priority="29" operator="equal">
      <formula>"SORGHUM"</formula>
    </cfRule>
    <cfRule type="cellIs" dxfId="1955" priority="30" operator="equal">
      <formula>"OAT/WHEAT"</formula>
    </cfRule>
    <cfRule type="cellIs" dxfId="1954" priority="31" operator="equal">
      <formula>"SPRING GRAZED"</formula>
    </cfRule>
    <cfRule type="cellIs" dxfId="1953" priority="32" operator="equal">
      <formula>"WHEAT"</formula>
    </cfRule>
    <cfRule type="cellIs" dxfId="1952" priority="33" operator="equal">
      <formula>"SORGHUM SUDAN"</formula>
    </cfRule>
    <cfRule type="cellIs" dxfId="1951" priority="34" operator="equal">
      <formula>"CORN"</formula>
    </cfRule>
  </conditionalFormatting>
  <conditionalFormatting sqref="D50">
    <cfRule type="containsText" dxfId="1950" priority="1" operator="containsText" text="PEARL MILLET">
      <formula>NOT(ISERROR(SEARCH("PEARL MILLET",D50)))</formula>
    </cfRule>
    <cfRule type="containsText" dxfId="1949" priority="2" operator="containsText" text="PROSO MILLET">
      <formula>NOT(ISERROR(SEARCH("PROSO MILLET",D50)))</formula>
    </cfRule>
    <cfRule type="containsText" dxfId="1948" priority="3" operator="containsText" text="GOLDEN GERMAN">
      <formula>NOT(ISERROR(SEARCH("GOLDEN GERMAN",D50)))</formula>
    </cfRule>
    <cfRule type="containsText" dxfId="1947" priority="4" operator="containsText" text="BUILDING SITE">
      <formula>NOT(ISERROR(SEARCH("BUILDING SITE",D50)))</formula>
    </cfRule>
    <cfRule type="containsText" dxfId="1946" priority="5" operator="containsText" text="WASTE">
      <formula>NOT(ISERROR(SEARCH("WASTE",D50)))</formula>
    </cfRule>
    <cfRule type="containsText" dxfId="1945" priority="6" operator="containsText" text="PASTURE">
      <formula>NOT(ISERROR(SEARCH("PASTURE",D50)))</formula>
    </cfRule>
    <cfRule type="cellIs" dxfId="1944" priority="7" operator="equal">
      <formula>"FORG/ WHEAT"</formula>
    </cfRule>
    <cfRule type="cellIs" dxfId="1943" priority="8" operator="equal">
      <formula>"FALL GRAZED"</formula>
    </cfRule>
    <cfRule type="cellIs" dxfId="1942" priority="9" operator="equal">
      <formula>"FALLOW"</formula>
    </cfRule>
    <cfRule type="cellIs" dxfId="1941" priority="10" operator="equal">
      <formula>"FALL GRAZED"</formula>
    </cfRule>
    <cfRule type="cellIs" dxfId="1940" priority="11" operator="equal">
      <formula>"TRITICALE"</formula>
    </cfRule>
    <cfRule type="cellIs" dxfId="1939" priority="12" operator="equal">
      <formula>"SORGHUM"</formula>
    </cfRule>
    <cfRule type="cellIs" dxfId="1938" priority="13" operator="equal">
      <formula>"OAT/WHEAT"</formula>
    </cfRule>
    <cfRule type="cellIs" dxfId="1937" priority="14" operator="equal">
      <formula>"SPRING GRAZED"</formula>
    </cfRule>
    <cfRule type="cellIs" dxfId="1936" priority="15" operator="equal">
      <formula>"WHEAT"</formula>
    </cfRule>
    <cfRule type="cellIs" dxfId="1935" priority="16" operator="equal">
      <formula>"SORGHUM SUDAN"</formula>
    </cfRule>
    <cfRule type="cellIs" dxfId="1934" priority="17" operator="equal">
      <formula>"CORN"</formula>
    </cfRule>
  </conditionalFormatting>
  <dataValidations count="17">
    <dataValidation type="list" allowBlank="1" showInputMessage="1" showErrorMessage="1" sqref="H291:H306 J291 D311:D342 H345:H360 C369 I369" xr:uid="{62C72562-1DE1-4F82-B283-12A6276F88A1}">
      <formula1>INDIRECT(B291)</formula1>
    </dataValidation>
    <dataValidation type="list" allowBlank="1" showInputMessage="1" showErrorMessage="1" sqref="I292:J306" xr:uid="{EAB29831-276A-433A-8553-3926B266D05F}">
      <formula1>SEEDWHEAT</formula1>
    </dataValidation>
    <dataValidation type="list" allowBlank="1" showInputMessage="1" showErrorMessage="1" sqref="V292:V306 V346:V360" xr:uid="{1801A489-017D-4B6B-A197-5B7485501427}">
      <formula1>Share</formula1>
    </dataValidation>
    <dataValidation type="list" allowBlank="1" showInputMessage="1" showErrorMessage="1" sqref="D291:D306" xr:uid="{109395CD-FED1-45F0-A208-773398937A72}">
      <formula1>LOCATION</formula1>
    </dataValidation>
    <dataValidation type="list" allowBlank="1" showInputMessage="1" showErrorMessage="1" sqref="G292:G306" xr:uid="{6D9F6AF3-F232-40E1-8C2A-C3CE480194B1}">
      <formula1>FARMDEL</formula1>
    </dataValidation>
    <dataValidation type="list" allowBlank="1" showInputMessage="1" showErrorMessage="1" sqref="F292:F306" xr:uid="{D52353FC-5654-4B7C-9784-5A1C1393057C}">
      <formula1>CLIENTDEL</formula1>
    </dataValidation>
    <dataValidation type="list" allowBlank="1" showInputMessage="1" showErrorMessage="1" sqref="F291 B311:B342 F345:F360 A369" xr:uid="{563094D9-3504-4389-A24B-C25BA13536BD}">
      <formula1>CLIENT</formula1>
    </dataValidation>
    <dataValidation type="list" allowBlank="1" showInputMessage="1" showErrorMessage="1" sqref="G291 C311:C342 G346:G360" xr:uid="{28B0146B-8D63-4DC7-B116-CBB4A5552A7A}">
      <formula1>FARM</formula1>
    </dataValidation>
    <dataValidation type="list" allowBlank="1" showInputMessage="1" showErrorMessage="1" sqref="I291 I345:I360 H369" xr:uid="{BE928DAF-7F35-4BD8-8230-6655029F774A}">
      <formula1>CROP</formula1>
    </dataValidation>
    <dataValidation type="list" allowBlank="1" showInputMessage="1" showErrorMessage="1" sqref="V291 G311:G342 V345" xr:uid="{641110CA-6641-4786-8AFE-4F81FEB18F2C}">
      <formula1>SPLIT</formula1>
    </dataValidation>
    <dataValidation type="list" allowBlank="1" showInputMessage="1" showErrorMessage="1" sqref="H311:H342" xr:uid="{DDAEC9FC-BF05-4892-9E84-4967292663A4}">
      <formula1>INDIRECT(F311)</formula1>
    </dataValidation>
    <dataValidation type="list" allowBlank="1" showInputMessage="1" showErrorMessage="1" sqref="F311:F342" xr:uid="{7B399EFF-AA59-4F20-95E6-72EDDA2CEE9A}">
      <formula1>$A$163:$A$172</formula1>
    </dataValidation>
    <dataValidation type="list" allowBlank="1" showInputMessage="1" showErrorMessage="1" sqref="C345:C360" xr:uid="{3C678889-D2C0-487B-9FF0-869AD8030D1E}">
      <formula1>$A$275:$A$278</formula1>
    </dataValidation>
    <dataValidation type="list" allowBlank="1" showInputMessage="1" showErrorMessage="1" sqref="J345:J360" xr:uid="{2EA50BB8-4FF6-4BA7-8959-498E92F213F8}">
      <formula1>$G$149:$G$152</formula1>
    </dataValidation>
    <dataValidation type="list" allowBlank="1" showInputMessage="1" showErrorMessage="1" sqref="D345:D360" xr:uid="{97895690-5679-435E-87EC-6EA8323B9268}">
      <formula1>$B$275:$B$282</formula1>
    </dataValidation>
    <dataValidation type="list" allowBlank="1" showInputMessage="1" showErrorMessage="1" sqref="B369 G345" xr:uid="{F620E8E4-A3B3-4487-A45F-7A3511DD972B}">
      <formula1>FARMS</formula1>
    </dataValidation>
    <dataValidation type="list" allowBlank="1" showInputMessage="1" showErrorMessage="1" sqref="B345:B360" xr:uid="{5EED10CD-9044-4D52-8AC6-F6D9ECAE05AC}">
      <formula1>$A$176:$A$180</formula1>
    </dataValidation>
  </dataValidations>
  <pageMargins left="0.7" right="0.7" top="0.75" bottom="0.75" header="0.3" footer="0.3"/>
  <pageSetup orientation="portrait" r:id="rId1"/>
  <ignoredErrors>
    <ignoredError sqref="E311" calculatedColumn="1"/>
    <ignoredError sqref="A176:A177" numberStoredAsText="1"/>
  </ignoredErrors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F8B71-6009-4A6B-B120-4B813E844D57}">
  <sheetPr codeName="Sheet3">
    <pageSetUpPr fitToPage="1"/>
  </sheetPr>
  <dimension ref="A1:AC426"/>
  <sheetViews>
    <sheetView topLeftCell="A186" zoomScale="75" zoomScaleNormal="75" workbookViewId="0">
      <selection activeCell="E205" sqref="E205"/>
    </sheetView>
  </sheetViews>
  <sheetFormatPr defaultColWidth="9.140625" defaultRowHeight="15" x14ac:dyDescent="0.25"/>
  <cols>
    <col min="1" max="1" width="17.42578125" style="92" customWidth="1"/>
    <col min="2" max="2" width="28.7109375" style="92" bestFit="1" customWidth="1"/>
    <col min="3" max="3" width="25.140625" style="92" bestFit="1" customWidth="1"/>
    <col min="4" max="4" width="20.7109375" style="92" bestFit="1" customWidth="1"/>
    <col min="5" max="5" width="13.42578125" style="92" customWidth="1"/>
    <col min="6" max="6" width="21.140625" style="92" customWidth="1"/>
    <col min="7" max="7" width="21" style="92" customWidth="1"/>
    <col min="8" max="8" width="21.85546875" style="92" bestFit="1" customWidth="1"/>
    <col min="9" max="9" width="17.5703125" style="92" bestFit="1" customWidth="1"/>
    <col min="10" max="10" width="16.140625" style="92" customWidth="1"/>
    <col min="11" max="11" width="16.7109375" style="92" bestFit="1" customWidth="1"/>
    <col min="12" max="12" width="15.85546875" style="92" bestFit="1" customWidth="1"/>
    <col min="13" max="13" width="20.140625" style="92" bestFit="1" customWidth="1"/>
    <col min="14" max="14" width="16.42578125" style="92" customWidth="1"/>
    <col min="15" max="15" width="21.28515625" style="92" bestFit="1" customWidth="1"/>
    <col min="16" max="16" width="14.5703125" style="92" customWidth="1"/>
    <col min="17" max="17" width="15.7109375" style="92" bestFit="1" customWidth="1"/>
    <col min="18" max="18" width="15.5703125" style="92" bestFit="1" customWidth="1"/>
    <col min="19" max="19" width="16.85546875" style="92" customWidth="1"/>
    <col min="20" max="20" width="13.42578125" style="92" customWidth="1"/>
    <col min="21" max="21" width="14.28515625" style="92" bestFit="1" customWidth="1"/>
    <col min="22" max="22" width="13" style="92" bestFit="1" customWidth="1"/>
    <col min="23" max="23" width="11.5703125" style="92" customWidth="1"/>
    <col min="24" max="25" width="16.140625" style="92" bestFit="1" customWidth="1"/>
    <col min="26" max="26" width="9.7109375" style="92" bestFit="1" customWidth="1"/>
    <col min="27" max="27" width="15.42578125" style="92" customWidth="1"/>
    <col min="28" max="28" width="14.5703125" style="92" bestFit="1" customWidth="1"/>
    <col min="29" max="16384" width="9.140625" style="92"/>
  </cols>
  <sheetData>
    <row r="1" spans="1:28" x14ac:dyDescent="0.25">
      <c r="A1" s="735" t="s">
        <v>523</v>
      </c>
      <c r="B1" s="735"/>
      <c r="C1" s="735"/>
      <c r="D1" s="735"/>
      <c r="E1" s="735"/>
      <c r="F1" s="735"/>
      <c r="G1" s="735"/>
      <c r="H1" s="735"/>
      <c r="I1" s="735"/>
      <c r="J1" s="735"/>
      <c r="K1" s="735"/>
      <c r="L1" s="507"/>
      <c r="M1" s="507"/>
      <c r="N1" s="507"/>
      <c r="O1" s="507"/>
      <c r="P1" s="507"/>
      <c r="Q1" s="507"/>
      <c r="R1" s="507"/>
      <c r="S1" s="507"/>
      <c r="T1" s="507"/>
      <c r="U1" s="507"/>
      <c r="V1" s="507"/>
      <c r="W1" s="507"/>
      <c r="X1" s="507"/>
      <c r="Y1" s="507"/>
      <c r="Z1" s="507"/>
      <c r="AA1" s="507"/>
      <c r="AB1" s="507"/>
    </row>
    <row r="2" spans="1:28" ht="53.25" customHeight="1" x14ac:dyDescent="0.25">
      <c r="A2" s="735"/>
      <c r="B2" s="735"/>
      <c r="C2" s="735"/>
      <c r="D2" s="735"/>
      <c r="E2" s="735"/>
      <c r="F2" s="735"/>
      <c r="G2" s="735"/>
      <c r="H2" s="735"/>
      <c r="I2" s="735"/>
      <c r="J2" s="735"/>
      <c r="K2" s="735"/>
      <c r="L2" s="428"/>
      <c r="M2" s="428"/>
      <c r="N2" s="428"/>
      <c r="O2" s="428"/>
      <c r="P2" s="428"/>
      <c r="Q2" s="428"/>
      <c r="R2" s="428"/>
      <c r="S2" s="428"/>
      <c r="T2" s="428"/>
      <c r="U2" s="428"/>
      <c r="V2" s="428"/>
      <c r="W2" s="428"/>
      <c r="X2" s="428"/>
      <c r="Y2" s="428"/>
      <c r="Z2" s="428"/>
      <c r="AA2" s="428"/>
      <c r="AB2" s="428"/>
    </row>
    <row r="3" spans="1:28" x14ac:dyDescent="0.25">
      <c r="A3" s="508" t="s">
        <v>470</v>
      </c>
      <c r="B3" s="508" t="s">
        <v>1</v>
      </c>
      <c r="C3" s="508" t="s">
        <v>2</v>
      </c>
      <c r="D3" s="508" t="s">
        <v>3</v>
      </c>
      <c r="E3" s="508" t="s">
        <v>42</v>
      </c>
      <c r="F3" s="509" t="s">
        <v>524</v>
      </c>
      <c r="G3" s="509" t="s">
        <v>525</v>
      </c>
      <c r="H3" s="509" t="s">
        <v>526</v>
      </c>
      <c r="I3" s="509" t="s">
        <v>527</v>
      </c>
      <c r="J3" s="509" t="s">
        <v>528</v>
      </c>
      <c r="K3" s="509" t="s">
        <v>529</v>
      </c>
      <c r="L3" s="507"/>
      <c r="M3" s="507"/>
      <c r="N3" s="507"/>
      <c r="O3" s="507"/>
      <c r="P3" s="507"/>
      <c r="Q3" s="507"/>
      <c r="R3" s="507"/>
      <c r="S3" s="507"/>
      <c r="T3" s="507"/>
      <c r="U3" s="507"/>
      <c r="V3" s="507"/>
      <c r="W3" s="507"/>
      <c r="X3" s="507"/>
      <c r="Y3" s="507"/>
      <c r="Z3" s="507"/>
      <c r="AA3" s="507"/>
      <c r="AB3" s="507"/>
    </row>
    <row r="4" spans="1:28" x14ac:dyDescent="0.25">
      <c r="A4" s="414"/>
      <c r="B4" s="414" t="s">
        <v>74</v>
      </c>
      <c r="C4" s="414" t="s">
        <v>32</v>
      </c>
      <c r="D4" s="414" t="s">
        <v>250</v>
      </c>
      <c r="E4" s="414">
        <f>VLOOKUP(D4,FFTBL[[Field]:[Acres]],2,FALSE)</f>
        <v>68.260000000000005</v>
      </c>
      <c r="F4" s="92" t="s">
        <v>530</v>
      </c>
      <c r="G4" s="92">
        <v>42</v>
      </c>
      <c r="H4" s="510">
        <f>Table91[[#This Row],[RENTAL RATE / ACRE]]*Table91[[#This Row],[ACRES]]</f>
        <v>2866.92</v>
      </c>
      <c r="I4" s="510">
        <f>Table91[[#This Row],[TOTAL RENT ]]</f>
        <v>2866.92</v>
      </c>
      <c r="J4" s="510">
        <f>Table91[[#This Row],[TOTAL RENT ]]-Table91[[#This Row],[AMOUNT PAID]]</f>
        <v>0</v>
      </c>
      <c r="K4" s="462"/>
      <c r="L4" s="507"/>
      <c r="M4" s="507"/>
      <c r="N4" s="507"/>
      <c r="O4" s="507"/>
      <c r="P4" s="507"/>
      <c r="Q4" s="507"/>
      <c r="R4" s="507"/>
      <c r="S4" s="507"/>
      <c r="T4" s="507"/>
      <c r="U4" s="507"/>
      <c r="V4" s="507"/>
      <c r="W4" s="507"/>
      <c r="X4" s="507"/>
      <c r="Y4" s="507"/>
      <c r="Z4" s="507"/>
      <c r="AA4" s="507"/>
      <c r="AB4" s="507"/>
    </row>
    <row r="5" spans="1:28" x14ac:dyDescent="0.25">
      <c r="A5" s="414"/>
      <c r="B5" s="414" t="s">
        <v>74</v>
      </c>
      <c r="C5" s="414" t="s">
        <v>32</v>
      </c>
      <c r="D5" s="414" t="s">
        <v>252</v>
      </c>
      <c r="E5" s="414">
        <f>VLOOKUP(D5,FFTBL[[Field]:[Acres]],2,FALSE)</f>
        <v>98.77</v>
      </c>
      <c r="F5" s="92" t="s">
        <v>531</v>
      </c>
      <c r="G5" s="92">
        <v>42</v>
      </c>
      <c r="H5" s="510">
        <f>Table91[[#This Row],[RENTAL RATE / ACRE]]*Table91[[#This Row],[ACRES]]</f>
        <v>4148.34</v>
      </c>
      <c r="I5" s="510">
        <f>Table91[[#This Row],[TOTAL RENT ]]</f>
        <v>4148.34</v>
      </c>
      <c r="J5" s="510">
        <f>Table91[[#This Row],[TOTAL RENT ]]-Table91[[#This Row],[AMOUNT PAID]]</f>
        <v>0</v>
      </c>
      <c r="K5" s="462"/>
      <c r="L5" s="507"/>
      <c r="M5" s="507"/>
      <c r="N5" s="507"/>
      <c r="O5" s="507"/>
      <c r="P5" s="507"/>
      <c r="Q5" s="507"/>
      <c r="R5" s="507"/>
      <c r="S5" s="507"/>
      <c r="T5" s="507"/>
      <c r="U5" s="507"/>
      <c r="V5" s="507"/>
      <c r="W5" s="507"/>
      <c r="X5" s="507"/>
      <c r="Y5" s="507"/>
      <c r="Z5" s="507"/>
      <c r="AA5" s="507"/>
      <c r="AB5" s="507"/>
    </row>
    <row r="6" spans="1:28" x14ac:dyDescent="0.25">
      <c r="A6" s="414"/>
      <c r="B6" s="414" t="s">
        <v>74</v>
      </c>
      <c r="C6" s="414" t="s">
        <v>32</v>
      </c>
      <c r="D6" s="414" t="s">
        <v>230</v>
      </c>
      <c r="E6" s="414">
        <f>VLOOKUP(D6,FFTBL[[Field]:[Acres]],2,FALSE)</f>
        <v>136.35</v>
      </c>
      <c r="F6" s="92" t="s">
        <v>531</v>
      </c>
      <c r="G6" s="92">
        <v>7.335</v>
      </c>
      <c r="H6" s="510">
        <f>Table91[[#This Row],[RENTAL RATE / ACRE]]*Table91[[#This Row],[ACRES]]</f>
        <v>1000.12725</v>
      </c>
      <c r="I6" s="510">
        <f>Table91[[#This Row],[TOTAL RENT ]]</f>
        <v>1000.12725</v>
      </c>
      <c r="J6" s="510">
        <f>Table91[[#This Row],[TOTAL RENT ]]-Table91[[#This Row],[AMOUNT PAID]]</f>
        <v>0</v>
      </c>
      <c r="K6" s="462"/>
      <c r="L6" s="507"/>
      <c r="M6" s="507"/>
      <c r="N6" s="507"/>
      <c r="O6" s="507"/>
      <c r="P6" s="507"/>
      <c r="Q6" s="507"/>
      <c r="R6" s="507"/>
      <c r="S6" s="507"/>
      <c r="T6" s="507"/>
      <c r="U6" s="507"/>
      <c r="V6" s="507"/>
      <c r="W6" s="507"/>
      <c r="X6" s="507"/>
      <c r="Y6" s="507"/>
      <c r="Z6" s="507"/>
      <c r="AA6" s="507"/>
      <c r="AB6" s="507"/>
    </row>
    <row r="7" spans="1:28" x14ac:dyDescent="0.25">
      <c r="A7" s="414"/>
      <c r="B7" s="414" t="s">
        <v>74</v>
      </c>
      <c r="C7" s="414" t="s">
        <v>21</v>
      </c>
      <c r="D7" s="414" t="s">
        <v>139</v>
      </c>
      <c r="E7" s="414">
        <f>VLOOKUP(D7,FFTBL[[Field]:[Acres]],2,FALSE)</f>
        <v>184.76</v>
      </c>
      <c r="F7" s="92" t="s">
        <v>530</v>
      </c>
      <c r="G7" s="92">
        <v>7.335</v>
      </c>
      <c r="H7" s="510">
        <f>Table91[[#This Row],[RENTAL RATE / ACRE]]*Table91[[#This Row],[ACRES]]</f>
        <v>1355.2146</v>
      </c>
      <c r="I7" s="510">
        <f>Table91[[#This Row],[TOTAL RENT ]]</f>
        <v>1355.2146</v>
      </c>
      <c r="J7" s="510">
        <f>Table91[[#This Row],[TOTAL RENT ]]-Table91[[#This Row],[AMOUNT PAID]]</f>
        <v>0</v>
      </c>
      <c r="K7" s="462"/>
      <c r="L7" s="507"/>
      <c r="M7" s="507"/>
      <c r="N7" s="507"/>
      <c r="O7" s="507"/>
      <c r="P7" s="507"/>
      <c r="Q7" s="507"/>
      <c r="R7" s="507"/>
      <c r="S7" s="507"/>
      <c r="T7" s="507"/>
      <c r="U7" s="507"/>
      <c r="V7" s="507"/>
      <c r="W7" s="507"/>
      <c r="X7" s="507"/>
      <c r="Y7" s="507"/>
      <c r="Z7" s="507"/>
      <c r="AA7" s="507"/>
      <c r="AB7" s="507"/>
    </row>
    <row r="8" spans="1:28" x14ac:dyDescent="0.25">
      <c r="A8" s="414"/>
      <c r="B8" s="414" t="s">
        <v>74</v>
      </c>
      <c r="C8" s="414" t="s">
        <v>21</v>
      </c>
      <c r="D8" s="414" t="s">
        <v>142</v>
      </c>
      <c r="E8" s="414">
        <f>VLOOKUP(D8,FFTBL[[Field]:[Acres]],2,FALSE)</f>
        <v>134.9</v>
      </c>
      <c r="F8" s="92" t="s">
        <v>531</v>
      </c>
      <c r="G8" s="92">
        <v>7.335</v>
      </c>
      <c r="H8" s="510">
        <f>Table91[[#This Row],[RENTAL RATE / ACRE]]*Table91[[#This Row],[ACRES]]</f>
        <v>989.49150000000009</v>
      </c>
      <c r="I8" s="510">
        <f>Table91[[#This Row],[TOTAL RENT ]]</f>
        <v>989.49150000000009</v>
      </c>
      <c r="J8" s="510">
        <f>Table91[[#This Row],[TOTAL RENT ]]-Table91[[#This Row],[AMOUNT PAID]]</f>
        <v>0</v>
      </c>
      <c r="K8" s="462"/>
      <c r="L8" s="507"/>
      <c r="M8" s="507"/>
      <c r="N8" s="507"/>
      <c r="O8" s="507"/>
      <c r="P8" s="507"/>
      <c r="Q8" s="507"/>
      <c r="R8" s="507"/>
      <c r="S8" s="507"/>
      <c r="T8" s="507"/>
      <c r="U8" s="507"/>
      <c r="V8" s="507"/>
      <c r="W8" s="507"/>
      <c r="X8" s="507"/>
      <c r="Y8" s="507"/>
      <c r="Z8" s="507"/>
      <c r="AA8" s="507"/>
      <c r="AB8" s="507"/>
    </row>
    <row r="9" spans="1:28" x14ac:dyDescent="0.25">
      <c r="A9" s="414"/>
      <c r="B9" s="414" t="s">
        <v>74</v>
      </c>
      <c r="C9" s="414" t="s">
        <v>21</v>
      </c>
      <c r="D9" s="414" t="s">
        <v>145</v>
      </c>
      <c r="E9" s="414">
        <f>VLOOKUP(D9,FFTBL[[Field]:[Acres]],2,FALSE)</f>
        <v>160.1</v>
      </c>
      <c r="F9" s="92" t="s">
        <v>531</v>
      </c>
      <c r="G9" s="92">
        <v>7.335</v>
      </c>
      <c r="H9" s="510">
        <f>Table91[[#This Row],[RENTAL RATE / ACRE]]*Table91[[#This Row],[ACRES]]</f>
        <v>1174.3335</v>
      </c>
      <c r="I9" s="510">
        <f>Table91[[#This Row],[TOTAL RENT ]]</f>
        <v>1174.3335</v>
      </c>
      <c r="J9" s="510">
        <f>Table91[[#This Row],[TOTAL RENT ]]-Table91[[#This Row],[AMOUNT PAID]]</f>
        <v>0</v>
      </c>
      <c r="K9" s="462"/>
      <c r="L9" s="507"/>
      <c r="M9" s="507"/>
      <c r="N9" s="507"/>
      <c r="O9" s="507"/>
      <c r="P9" s="507"/>
      <c r="Q9" s="507"/>
      <c r="R9" s="507"/>
      <c r="S9" s="507"/>
      <c r="T9" s="507"/>
      <c r="U9" s="507"/>
      <c r="V9" s="507"/>
      <c r="W9" s="507"/>
      <c r="X9" s="507"/>
      <c r="Y9" s="507"/>
      <c r="Z9" s="507"/>
      <c r="AA9" s="507"/>
      <c r="AB9" s="507"/>
    </row>
    <row r="10" spans="1:28" x14ac:dyDescent="0.25">
      <c r="A10" s="414"/>
      <c r="B10" s="414" t="s">
        <v>74</v>
      </c>
      <c r="C10" s="414" t="s">
        <v>35</v>
      </c>
      <c r="D10" s="414" t="s">
        <v>258</v>
      </c>
      <c r="E10" s="414">
        <f>VLOOKUP(D10,FFTBL[[Field]:[Acres]],2,FALSE)</f>
        <v>25.67</v>
      </c>
      <c r="F10" s="92" t="s">
        <v>530</v>
      </c>
      <c r="G10" s="92">
        <v>35.57</v>
      </c>
      <c r="H10" s="510">
        <f>Table91[[#This Row],[RENTAL RATE / ACRE]]*Table91[[#This Row],[ACRES]]</f>
        <v>913.08190000000002</v>
      </c>
      <c r="I10" s="510">
        <f>Table91[[#This Row],[TOTAL RENT ]]</f>
        <v>913.08190000000002</v>
      </c>
      <c r="J10" s="510">
        <f>Table91[[#This Row],[TOTAL RENT ]]-Table91[[#This Row],[AMOUNT PAID]]</f>
        <v>0</v>
      </c>
      <c r="K10" s="462"/>
      <c r="L10" s="507"/>
      <c r="M10" s="507"/>
      <c r="N10" s="507"/>
      <c r="O10" s="507"/>
      <c r="P10" s="507"/>
      <c r="Q10" s="507"/>
      <c r="R10" s="507"/>
      <c r="S10" s="507"/>
      <c r="T10" s="507"/>
      <c r="U10" s="507"/>
      <c r="V10" s="507"/>
      <c r="W10" s="507"/>
      <c r="X10" s="507"/>
      <c r="Y10" s="507"/>
      <c r="Z10" s="507"/>
      <c r="AA10" s="507"/>
      <c r="AB10" s="507"/>
    </row>
    <row r="11" spans="1:28" x14ac:dyDescent="0.25">
      <c r="A11" s="414"/>
      <c r="B11" s="414" t="s">
        <v>74</v>
      </c>
      <c r="C11" s="414" t="s">
        <v>35</v>
      </c>
      <c r="D11" s="414" t="s">
        <v>259</v>
      </c>
      <c r="E11" s="414">
        <f>VLOOKUP(D11,FFTBL[[Field]:[Acres]],2,FALSE)</f>
        <v>49.63</v>
      </c>
      <c r="F11" s="92" t="s">
        <v>531</v>
      </c>
      <c r="G11" s="92">
        <v>35.57</v>
      </c>
      <c r="H11" s="510">
        <f>Table91[[#This Row],[RENTAL RATE / ACRE]]*Table91[[#This Row],[ACRES]]</f>
        <v>1765.3391000000001</v>
      </c>
      <c r="I11" s="510">
        <f>Table91[[#This Row],[TOTAL RENT ]]</f>
        <v>1765.3391000000001</v>
      </c>
      <c r="J11" s="510">
        <f>Table91[[#This Row],[TOTAL RENT ]]-Table91[[#This Row],[AMOUNT PAID]]</f>
        <v>0</v>
      </c>
      <c r="K11" s="462"/>
      <c r="L11" s="507"/>
      <c r="M11" s="507"/>
      <c r="N11" s="507"/>
      <c r="O11" s="507"/>
      <c r="P11" s="507"/>
      <c r="Q11" s="507"/>
      <c r="R11" s="507"/>
      <c r="S11" s="507"/>
      <c r="T11" s="507"/>
      <c r="U11" s="507"/>
      <c r="V11" s="507"/>
      <c r="W11" s="507"/>
      <c r="X11" s="507"/>
      <c r="Y11" s="507"/>
      <c r="Z11" s="507"/>
      <c r="AA11" s="507"/>
      <c r="AB11" s="507"/>
    </row>
    <row r="12" spans="1:28" x14ac:dyDescent="0.25">
      <c r="A12" s="414"/>
      <c r="B12" s="414" t="s">
        <v>74</v>
      </c>
      <c r="C12" s="414" t="s">
        <v>35</v>
      </c>
      <c r="D12" s="414" t="s">
        <v>97</v>
      </c>
      <c r="E12" s="414">
        <f>VLOOKUP(D12,FFTBL[[Field]:[Acres]],2,FALSE)</f>
        <v>147.16</v>
      </c>
      <c r="F12" s="92" t="s">
        <v>531</v>
      </c>
      <c r="G12" s="92">
        <v>50</v>
      </c>
      <c r="H12" s="510">
        <f>Table91[[#This Row],[RENTAL RATE / ACRE]]*Table91[[#This Row],[ACRES]]</f>
        <v>7358</v>
      </c>
      <c r="I12" s="510">
        <f>Table91[[#This Row],[TOTAL RENT ]]</f>
        <v>7358</v>
      </c>
      <c r="J12" s="510">
        <f>Table91[[#This Row],[TOTAL RENT ]]-Table91[[#This Row],[AMOUNT PAID]]</f>
        <v>0</v>
      </c>
      <c r="K12" s="462"/>
      <c r="L12" s="507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7"/>
      <c r="AB12" s="507"/>
    </row>
    <row r="13" spans="1:28" x14ac:dyDescent="0.25">
      <c r="A13" s="414"/>
      <c r="B13" s="414" t="s">
        <v>74</v>
      </c>
      <c r="C13" s="414" t="s">
        <v>35</v>
      </c>
      <c r="D13" s="414" t="s">
        <v>98</v>
      </c>
      <c r="E13" s="414">
        <f>VLOOKUP(D13,FFTBL[[Field]:[Acres]],2,FALSE)</f>
        <v>4.18</v>
      </c>
      <c r="F13" s="92" t="s">
        <v>530</v>
      </c>
      <c r="G13" s="92">
        <v>50</v>
      </c>
      <c r="H13" s="510">
        <f>Table91[[#This Row],[RENTAL RATE / ACRE]]*Table91[[#This Row],[ACRES]]</f>
        <v>209</v>
      </c>
      <c r="I13" s="510">
        <f>Table91[[#This Row],[TOTAL RENT ]]</f>
        <v>209</v>
      </c>
      <c r="J13" s="510">
        <f>Table91[[#This Row],[TOTAL RENT ]]-Table91[[#This Row],[AMOUNT PAID]]</f>
        <v>0</v>
      </c>
      <c r="K13" s="462"/>
      <c r="L13" s="507"/>
      <c r="M13" s="507"/>
      <c r="N13" s="507"/>
      <c r="O13" s="507"/>
      <c r="P13" s="507"/>
      <c r="Q13" s="507"/>
      <c r="R13" s="507"/>
      <c r="S13" s="507"/>
      <c r="T13" s="507"/>
      <c r="U13" s="507"/>
      <c r="V13" s="507"/>
      <c r="W13" s="507"/>
      <c r="X13" s="507"/>
      <c r="Y13" s="507"/>
      <c r="Z13" s="507"/>
      <c r="AA13" s="507"/>
      <c r="AB13" s="507"/>
    </row>
    <row r="14" spans="1:28" x14ac:dyDescent="0.25">
      <c r="A14" s="414"/>
      <c r="B14" s="414" t="s">
        <v>74</v>
      </c>
      <c r="C14" s="414" t="s">
        <v>35</v>
      </c>
      <c r="D14" s="414" t="s">
        <v>37</v>
      </c>
      <c r="E14" s="414">
        <f>VLOOKUP(D14,FFTBL[[Field]:[Acres]],2,FALSE)</f>
        <v>157.69999999999999</v>
      </c>
      <c r="F14" s="92" t="s">
        <v>531</v>
      </c>
      <c r="G14" s="92">
        <v>50</v>
      </c>
      <c r="H14" s="510">
        <f>Table91[[#This Row],[RENTAL RATE / ACRE]]*Table91[[#This Row],[ACRES]]</f>
        <v>7884.9999999999991</v>
      </c>
      <c r="I14" s="510">
        <f>Table91[[#This Row],[TOTAL RENT ]]</f>
        <v>7884.9999999999991</v>
      </c>
      <c r="J14" s="510">
        <f>Table91[[#This Row],[TOTAL RENT ]]-Table91[[#This Row],[AMOUNT PAID]]</f>
        <v>0</v>
      </c>
      <c r="K14" s="462"/>
      <c r="L14" s="507"/>
      <c r="M14" s="507"/>
      <c r="N14" s="507"/>
      <c r="O14" s="507"/>
      <c r="P14" s="507"/>
      <c r="Q14" s="507"/>
      <c r="R14" s="507"/>
      <c r="S14" s="507"/>
      <c r="T14" s="507"/>
      <c r="U14" s="507"/>
      <c r="V14" s="507"/>
      <c r="W14" s="507"/>
      <c r="X14" s="507"/>
      <c r="Y14" s="507"/>
      <c r="Z14" s="507"/>
      <c r="AA14" s="507"/>
      <c r="AB14" s="507"/>
    </row>
    <row r="15" spans="1:28" x14ac:dyDescent="0.25">
      <c r="A15" s="414"/>
      <c r="B15" s="414" t="s">
        <v>74</v>
      </c>
      <c r="C15" s="414" t="s">
        <v>35</v>
      </c>
      <c r="D15" s="414" t="s">
        <v>260</v>
      </c>
      <c r="E15" s="414">
        <f>VLOOKUP(D15,FFTBL[[Field]:[Acres]],2,FALSE)</f>
        <v>149.6</v>
      </c>
      <c r="F15" s="92" t="s">
        <v>531</v>
      </c>
      <c r="G15" s="92">
        <v>43.01</v>
      </c>
      <c r="H15" s="510">
        <f>Table91[[#This Row],[RENTAL RATE / ACRE]]*Table91[[#This Row],[ACRES]]</f>
        <v>6434.2959999999994</v>
      </c>
      <c r="I15" s="510">
        <f>Table91[[#This Row],[TOTAL RENT ]]</f>
        <v>6434.2959999999994</v>
      </c>
      <c r="J15" s="510">
        <f>Table91[[#This Row],[TOTAL RENT ]]-Table91[[#This Row],[AMOUNT PAID]]</f>
        <v>0</v>
      </c>
      <c r="K15" s="462"/>
      <c r="L15" s="507"/>
      <c r="M15" s="507"/>
      <c r="N15" s="507"/>
      <c r="O15" s="507"/>
      <c r="P15" s="507"/>
      <c r="Q15" s="507"/>
      <c r="R15" s="507"/>
      <c r="S15" s="507"/>
      <c r="T15" s="507"/>
      <c r="U15" s="507"/>
      <c r="V15" s="507"/>
      <c r="W15" s="507"/>
      <c r="X15" s="507"/>
      <c r="Y15" s="507"/>
      <c r="Z15" s="507"/>
      <c r="AA15" s="507"/>
      <c r="AB15" s="507"/>
    </row>
    <row r="16" spans="1:28" x14ac:dyDescent="0.25">
      <c r="A16" s="414"/>
      <c r="B16" s="414"/>
      <c r="C16" s="414"/>
      <c r="D16" s="414"/>
      <c r="E16" s="414" t="e">
        <f>VLOOKUP(D16,FFTBL[[Field]:[Acres]],2,FALSE)</f>
        <v>#N/A</v>
      </c>
      <c r="H16" s="510" t="e">
        <f>Table91[[#This Row],[RENTAL RATE / ACRE]]*Table91[[#This Row],[ACRES]]</f>
        <v>#N/A</v>
      </c>
      <c r="I16" s="510" t="e">
        <f>Table91[[#This Row],[TOTAL RENT ]]</f>
        <v>#N/A</v>
      </c>
      <c r="J16" s="510" t="e">
        <f>Table91[[#This Row],[TOTAL RENT ]]-Table91[[#This Row],[AMOUNT PAID]]</f>
        <v>#N/A</v>
      </c>
      <c r="K16" s="462"/>
      <c r="L16" s="507"/>
      <c r="M16" s="507"/>
      <c r="N16" s="507"/>
      <c r="O16" s="507"/>
      <c r="P16" s="507"/>
      <c r="Q16" s="507"/>
      <c r="R16" s="507"/>
      <c r="S16" s="507"/>
      <c r="T16" s="507"/>
      <c r="U16" s="507"/>
      <c r="V16" s="507"/>
      <c r="W16" s="507"/>
      <c r="X16" s="507"/>
      <c r="Y16" s="507"/>
      <c r="Z16" s="507"/>
      <c r="AA16" s="507"/>
      <c r="AB16" s="507"/>
    </row>
    <row r="17" spans="1:28" x14ac:dyDescent="0.25">
      <c r="A17" s="414"/>
      <c r="B17" s="414"/>
      <c r="C17" s="414"/>
      <c r="D17" s="414"/>
      <c r="E17" s="414" t="e">
        <f>VLOOKUP(D17,FFTBL[[Field]:[Acres]],2,FALSE)</f>
        <v>#N/A</v>
      </c>
      <c r="H17" s="510" t="e">
        <f>Table91[[#This Row],[RENTAL RATE / ACRE]]*Table91[[#This Row],[ACRES]]</f>
        <v>#N/A</v>
      </c>
      <c r="I17" s="510" t="e">
        <f>Table91[[#This Row],[TOTAL RENT ]]</f>
        <v>#N/A</v>
      </c>
      <c r="J17" s="510" t="e">
        <f>Table91[[#This Row],[TOTAL RENT ]]-Table91[[#This Row],[AMOUNT PAID]]</f>
        <v>#N/A</v>
      </c>
      <c r="K17" s="462"/>
      <c r="L17" s="507"/>
      <c r="M17" s="507"/>
      <c r="N17" s="507"/>
      <c r="O17" s="507"/>
      <c r="P17" s="507"/>
      <c r="Q17" s="507"/>
      <c r="R17" s="507"/>
      <c r="S17" s="507"/>
      <c r="T17" s="507"/>
      <c r="U17" s="507"/>
      <c r="V17" s="507"/>
      <c r="W17" s="507"/>
      <c r="X17" s="507"/>
      <c r="Y17" s="507"/>
      <c r="Z17" s="507"/>
      <c r="AA17" s="507"/>
      <c r="AB17" s="507"/>
    </row>
    <row r="18" spans="1:28" x14ac:dyDescent="0.25">
      <c r="A18" s="414"/>
      <c r="B18" s="414"/>
      <c r="C18" s="414"/>
      <c r="D18" s="414"/>
      <c r="E18" s="414" t="e">
        <f>VLOOKUP(D18,FFTBL[[Field]:[Acres]],2,FALSE)</f>
        <v>#N/A</v>
      </c>
      <c r="H18" s="510" t="e">
        <f>Table91[[#This Row],[RENTAL RATE / ACRE]]*Table91[[#This Row],[ACRES]]</f>
        <v>#N/A</v>
      </c>
      <c r="I18" s="510" t="e">
        <f>Table91[[#This Row],[TOTAL RENT ]]</f>
        <v>#N/A</v>
      </c>
      <c r="J18" s="510" t="e">
        <f>Table91[[#This Row],[TOTAL RENT ]]-Table91[[#This Row],[AMOUNT PAID]]</f>
        <v>#N/A</v>
      </c>
      <c r="K18" s="462"/>
      <c r="L18" s="507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</row>
    <row r="19" spans="1:28" x14ac:dyDescent="0.25">
      <c r="A19" s="92" t="s">
        <v>38</v>
      </c>
      <c r="E19" s="92" t="e">
        <f>SUBTOTAL(109,Table91[ACRES])</f>
        <v>#N/A</v>
      </c>
      <c r="H19" s="510" t="e">
        <f>SUBTOTAL(109,Table91[[TOTAL RENT ]])</f>
        <v>#N/A</v>
      </c>
      <c r="I19" s="510" t="e">
        <f>SUBTOTAL(109,Table91[AMOUNT PAID])</f>
        <v>#N/A</v>
      </c>
      <c r="J19" s="510" t="e">
        <f>SUBTOTAL(109,Table91[AMT OWED])</f>
        <v>#N/A</v>
      </c>
      <c r="L19" s="507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</row>
    <row r="20" spans="1:28" ht="15" customHeight="1" x14ac:dyDescent="0.25">
      <c r="A20" s="734" t="s">
        <v>532</v>
      </c>
      <c r="B20" s="734"/>
      <c r="C20" s="734"/>
      <c r="D20" s="734"/>
      <c r="E20" s="734"/>
      <c r="F20" s="734"/>
      <c r="G20" s="734"/>
      <c r="H20" s="734"/>
      <c r="I20" s="734"/>
      <c r="J20" s="734"/>
      <c r="K20" s="734"/>
      <c r="L20" s="734"/>
      <c r="M20" s="734"/>
      <c r="N20" s="734"/>
      <c r="O20" s="734"/>
      <c r="P20" s="734"/>
      <c r="Q20" s="734"/>
      <c r="R20" s="734"/>
      <c r="S20" s="734"/>
      <c r="T20" s="734"/>
      <c r="U20" s="734"/>
      <c r="V20" s="734"/>
      <c r="W20" s="734"/>
      <c r="X20" s="734"/>
      <c r="Y20" s="734"/>
      <c r="Z20" s="507"/>
      <c r="AA20" s="507"/>
      <c r="AB20" s="507"/>
    </row>
    <row r="21" spans="1:28" ht="15" customHeight="1" x14ac:dyDescent="0.25">
      <c r="A21" s="734"/>
      <c r="B21" s="734"/>
      <c r="C21" s="734"/>
      <c r="D21" s="734"/>
      <c r="E21" s="734"/>
      <c r="F21" s="734"/>
      <c r="G21" s="734"/>
      <c r="H21" s="734"/>
      <c r="I21" s="734"/>
      <c r="J21" s="734"/>
      <c r="K21" s="734"/>
      <c r="L21" s="734"/>
      <c r="M21" s="734"/>
      <c r="N21" s="734"/>
      <c r="O21" s="734"/>
      <c r="P21" s="734"/>
      <c r="Q21" s="734"/>
      <c r="R21" s="734"/>
      <c r="S21" s="734"/>
      <c r="T21" s="734"/>
      <c r="U21" s="734"/>
      <c r="V21" s="734"/>
      <c r="W21" s="734"/>
      <c r="X21" s="734"/>
      <c r="Y21" s="734"/>
      <c r="Z21" s="507"/>
      <c r="AA21" s="507"/>
      <c r="AB21" s="507"/>
    </row>
    <row r="22" spans="1:28" ht="15" customHeight="1" x14ac:dyDescent="0.25">
      <c r="A22" s="734"/>
      <c r="B22" s="734"/>
      <c r="C22" s="734"/>
      <c r="D22" s="734"/>
      <c r="E22" s="734"/>
      <c r="F22" s="734"/>
      <c r="G22" s="734"/>
      <c r="H22" s="734"/>
      <c r="I22" s="734"/>
      <c r="J22" s="734"/>
      <c r="K22" s="734"/>
      <c r="L22" s="734"/>
      <c r="M22" s="734"/>
      <c r="N22" s="734"/>
      <c r="O22" s="734"/>
      <c r="P22" s="734"/>
      <c r="Q22" s="734"/>
      <c r="R22" s="734"/>
      <c r="S22" s="734"/>
      <c r="T22" s="734"/>
      <c r="U22" s="734"/>
      <c r="V22" s="734"/>
      <c r="W22" s="734"/>
      <c r="X22" s="734"/>
      <c r="Y22" s="734"/>
      <c r="Z22" s="507"/>
      <c r="AA22" s="507"/>
      <c r="AB22" s="507"/>
    </row>
    <row r="23" spans="1:28" ht="40.5" customHeight="1" x14ac:dyDescent="0.25">
      <c r="A23" s="734"/>
      <c r="B23" s="734"/>
      <c r="C23" s="734"/>
      <c r="D23" s="734"/>
      <c r="E23" s="734"/>
      <c r="F23" s="734"/>
      <c r="G23" s="734"/>
      <c r="H23" s="734"/>
      <c r="I23" s="734"/>
      <c r="J23" s="734"/>
      <c r="K23" s="734"/>
      <c r="L23" s="734"/>
      <c r="M23" s="734"/>
      <c r="N23" s="734"/>
      <c r="O23" s="734"/>
      <c r="P23" s="734"/>
      <c r="Q23" s="734"/>
      <c r="R23" s="734"/>
      <c r="S23" s="734"/>
      <c r="T23" s="734"/>
      <c r="U23" s="734"/>
      <c r="V23" s="734"/>
      <c r="W23" s="734"/>
      <c r="X23" s="734"/>
      <c r="Y23" s="734"/>
      <c r="Z23" s="507"/>
      <c r="AA23" s="507"/>
      <c r="AB23" s="507"/>
    </row>
    <row r="24" spans="1:28" x14ac:dyDescent="0.25">
      <c r="A24" s="493" t="s">
        <v>440</v>
      </c>
      <c r="B24" s="493" t="s">
        <v>477</v>
      </c>
      <c r="C24" s="493" t="s">
        <v>442</v>
      </c>
      <c r="D24" s="493" t="s">
        <v>443</v>
      </c>
      <c r="E24" s="493" t="s">
        <v>533</v>
      </c>
      <c r="F24" s="493" t="s">
        <v>115</v>
      </c>
      <c r="G24" s="493" t="s">
        <v>116</v>
      </c>
      <c r="H24" s="493" t="s">
        <v>118</v>
      </c>
      <c r="I24" s="493" t="s">
        <v>478</v>
      </c>
      <c r="J24" s="493" t="s">
        <v>446</v>
      </c>
      <c r="K24" s="493" t="s">
        <v>447</v>
      </c>
      <c r="L24" s="493" t="s">
        <v>448</v>
      </c>
      <c r="M24" s="493" t="s">
        <v>449</v>
      </c>
      <c r="N24" s="493" t="s">
        <v>450</v>
      </c>
      <c r="O24" s="494" t="s">
        <v>534</v>
      </c>
      <c r="P24" s="493" t="s">
        <v>535</v>
      </c>
      <c r="Q24" s="495" t="s">
        <v>536</v>
      </c>
      <c r="R24" s="493" t="s">
        <v>454</v>
      </c>
      <c r="S24" s="495" t="s">
        <v>537</v>
      </c>
      <c r="T24" s="495" t="s">
        <v>538</v>
      </c>
      <c r="U24" s="493" t="s">
        <v>457</v>
      </c>
      <c r="V24" s="493" t="s">
        <v>20</v>
      </c>
      <c r="W24" s="493" t="s">
        <v>458</v>
      </c>
      <c r="X24" s="495" t="s">
        <v>459</v>
      </c>
      <c r="Y24" s="495" t="s">
        <v>460</v>
      </c>
      <c r="Z24" s="507"/>
      <c r="AA24" s="507"/>
      <c r="AB24" s="507"/>
    </row>
    <row r="25" spans="1:28" x14ac:dyDescent="0.25">
      <c r="A25" s="496">
        <v>45848</v>
      </c>
      <c r="B25" s="496" t="s">
        <v>539</v>
      </c>
      <c r="C25" s="497"/>
      <c r="D25" s="415" t="s">
        <v>425</v>
      </c>
      <c r="E25" s="415" t="s">
        <v>540</v>
      </c>
      <c r="F25" s="415" t="s">
        <v>74</v>
      </c>
      <c r="G25" s="415" t="s">
        <v>21</v>
      </c>
      <c r="H25" s="415" t="s">
        <v>153</v>
      </c>
      <c r="I25" s="415"/>
      <c r="J25" s="415">
        <v>91120</v>
      </c>
      <c r="K25" s="416">
        <v>27660</v>
      </c>
      <c r="L25" s="417">
        <f t="shared" ref="L25:L70" si="0">J25-K25</f>
        <v>63460</v>
      </c>
      <c r="M25" s="418">
        <v>59.7</v>
      </c>
      <c r="N25" s="415">
        <v>9.6</v>
      </c>
      <c r="O25" s="419">
        <v>6.0000000000000001E-3</v>
      </c>
      <c r="P25" s="416">
        <v>13.3</v>
      </c>
      <c r="Q25" s="420">
        <f>WHEATHARVESTTBL[[#This Row],[Net]]/60</f>
        <v>1057.6666666666667</v>
      </c>
      <c r="R25" s="421">
        <v>0</v>
      </c>
      <c r="S25" s="422">
        <v>6.35</v>
      </c>
      <c r="T25" s="422">
        <f>WHEATHARVESTTBL[[#This Row],[GROSS BU]]-WHEATHARVESTTBL[[#This Row],[Dock BU]]</f>
        <v>1051.3166666666668</v>
      </c>
      <c r="U25" s="418" t="s">
        <v>300</v>
      </c>
      <c r="V25" s="423" cm="1">
        <f t="array" ref="V25">_xlfn.IFS(WHEATHARVESTTBL[[#This Row],[Shares]]="MCCENT",1,WHEATHARVESTTBL[[#This Row],[Shares]]="SHAREABLE",0.65)</f>
        <v>0.65</v>
      </c>
      <c r="W25" s="424" cm="1">
        <f t="array" ref="W25">_xlfn.IFS(WHEATHARVESTTBL[[#This Row],[Shares]]="MCCENT",0,WHEATHARVESTTBL[[#This Row],[Shares]]="SHAREABLE",0.35)</f>
        <v>0.35</v>
      </c>
      <c r="X25" s="422">
        <f t="shared" ref="X25:X70" si="1">T25*V25</f>
        <v>683.35583333333352</v>
      </c>
      <c r="Y25" s="422">
        <f t="shared" ref="Y25:Y70" si="2">T25*W25</f>
        <v>367.96083333333337</v>
      </c>
      <c r="Z25" s="507"/>
      <c r="AA25" s="507"/>
      <c r="AB25" s="507"/>
    </row>
    <row r="26" spans="1:28" x14ac:dyDescent="0.25">
      <c r="A26" s="496">
        <v>45848</v>
      </c>
      <c r="B26" s="496" t="s">
        <v>539</v>
      </c>
      <c r="C26" s="497"/>
      <c r="D26" s="415" t="s">
        <v>425</v>
      </c>
      <c r="E26" s="415" t="s">
        <v>541</v>
      </c>
      <c r="F26" s="415" t="s">
        <v>74</v>
      </c>
      <c r="G26" s="415" t="s">
        <v>21</v>
      </c>
      <c r="H26" s="415" t="s">
        <v>153</v>
      </c>
      <c r="I26" s="415"/>
      <c r="J26" s="415">
        <v>56460</v>
      </c>
      <c r="K26" s="415">
        <v>27460</v>
      </c>
      <c r="L26" s="417">
        <f>J26-K26</f>
        <v>29000</v>
      </c>
      <c r="M26" s="415">
        <v>59</v>
      </c>
      <c r="N26" s="415">
        <v>9.6</v>
      </c>
      <c r="O26" s="419">
        <v>7.0000000000000001E-3</v>
      </c>
      <c r="P26" s="415">
        <v>13</v>
      </c>
      <c r="Q26" s="420">
        <f>WHEATHARVESTTBL[[#This Row],[Net]]/60</f>
        <v>483.33333333333331</v>
      </c>
      <c r="R26" s="425">
        <v>0</v>
      </c>
      <c r="S26" s="422">
        <v>3.38</v>
      </c>
      <c r="T26" s="422">
        <f>WHEATHARVESTTBL[[#This Row],[GROSS BU]]-WHEATHARVESTTBL[[#This Row],[Dock BU]]</f>
        <v>479.95333333333332</v>
      </c>
      <c r="U26" s="415" t="s">
        <v>300</v>
      </c>
      <c r="V26" s="423" cm="1">
        <f t="array" ref="V26">_xlfn.IFS(WHEATHARVESTTBL[[#This Row],[Shares]]="MCCENT",1,WHEATHARVESTTBL[[#This Row],[Shares]]="SHAREABLE",0.65)</f>
        <v>0.65</v>
      </c>
      <c r="W26" s="424" cm="1">
        <f t="array" ref="W26">_xlfn.IFS(WHEATHARVESTTBL[[#This Row],[Shares]]="MCCENT",0,WHEATHARVESTTBL[[#This Row],[Shares]]="SHAREABLE",0.35)</f>
        <v>0.35</v>
      </c>
      <c r="X26" s="422">
        <f>T26*V26</f>
        <v>311.96966666666668</v>
      </c>
      <c r="Y26" s="422">
        <f>T26*W26</f>
        <v>167.98366666666666</v>
      </c>
      <c r="Z26" s="507"/>
      <c r="AA26" s="507"/>
      <c r="AB26" s="507"/>
    </row>
    <row r="27" spans="1:28" x14ac:dyDescent="0.25">
      <c r="A27" s="496">
        <v>45849</v>
      </c>
      <c r="B27" s="496" t="s">
        <v>539</v>
      </c>
      <c r="C27" s="497"/>
      <c r="D27" s="415" t="s">
        <v>425</v>
      </c>
      <c r="E27" s="415" t="s">
        <v>542</v>
      </c>
      <c r="F27" s="415" t="s">
        <v>74</v>
      </c>
      <c r="G27" s="415" t="s">
        <v>21</v>
      </c>
      <c r="H27" s="415" t="s">
        <v>153</v>
      </c>
      <c r="I27" s="415"/>
      <c r="J27" s="415">
        <v>91320</v>
      </c>
      <c r="K27" s="415">
        <v>27560</v>
      </c>
      <c r="L27" s="417">
        <f>J27-K27</f>
        <v>63760</v>
      </c>
      <c r="M27" s="415">
        <v>58.3</v>
      </c>
      <c r="N27" s="415">
        <v>10.3</v>
      </c>
      <c r="O27" s="419">
        <v>8.0000000000000002E-3</v>
      </c>
      <c r="P27" s="415">
        <v>13.4</v>
      </c>
      <c r="Q27" s="434">
        <f>WHEATHARVESTTBL[[#This Row],[Net]]/60</f>
        <v>1062.6666666666667</v>
      </c>
      <c r="R27" s="425">
        <v>0</v>
      </c>
      <c r="S27" s="422">
        <v>8.5</v>
      </c>
      <c r="T27" s="422">
        <f>WHEATHARVESTTBL[[#This Row],[GROSS BU]]-WHEATHARVESTTBL[[#This Row],[Dock BU]]</f>
        <v>1054.1666666666667</v>
      </c>
      <c r="U27" s="415" t="s">
        <v>300</v>
      </c>
      <c r="V27" s="423" cm="1">
        <f t="array" ref="V27">_xlfn.IFS(WHEATHARVESTTBL[[#This Row],[Shares]]="MCCENT",1,WHEATHARVESTTBL[[#This Row],[Shares]]="SHAREABLE",0.65)</f>
        <v>0.65</v>
      </c>
      <c r="W27" s="424" cm="1">
        <f t="array" ref="W27">_xlfn.IFS(WHEATHARVESTTBL[[#This Row],[Shares]]="MCCENT",0,WHEATHARVESTTBL[[#This Row],[Shares]]="SHAREABLE",0.35)</f>
        <v>0.35</v>
      </c>
      <c r="X27" s="422">
        <f>T27*V27</f>
        <v>685.20833333333337</v>
      </c>
      <c r="Y27" s="422">
        <f>T27*W27</f>
        <v>368.95833333333331</v>
      </c>
      <c r="Z27" s="507"/>
      <c r="AA27" s="507"/>
      <c r="AB27" s="507"/>
    </row>
    <row r="28" spans="1:28" x14ac:dyDescent="0.25">
      <c r="A28" s="496">
        <v>45849</v>
      </c>
      <c r="B28" s="496" t="s">
        <v>539</v>
      </c>
      <c r="C28" s="497"/>
      <c r="D28" s="415" t="s">
        <v>425</v>
      </c>
      <c r="E28" s="415" t="s">
        <v>543</v>
      </c>
      <c r="F28" s="415" t="s">
        <v>74</v>
      </c>
      <c r="G28" s="415" t="s">
        <v>21</v>
      </c>
      <c r="H28" s="415" t="s">
        <v>153</v>
      </c>
      <c r="I28" s="415"/>
      <c r="J28" s="415">
        <v>60860</v>
      </c>
      <c r="K28" s="416">
        <v>27500</v>
      </c>
      <c r="L28" s="417">
        <f t="shared" si="0"/>
        <v>33360</v>
      </c>
      <c r="M28" s="418">
        <v>59.7</v>
      </c>
      <c r="N28" s="415">
        <v>10.1</v>
      </c>
      <c r="O28" s="419">
        <v>0.01</v>
      </c>
      <c r="P28" s="416">
        <v>13.2</v>
      </c>
      <c r="Q28" s="434">
        <f>WHEATHARVESTTBL[[#This Row],[Net]]/60</f>
        <v>556</v>
      </c>
      <c r="R28" s="421">
        <v>0</v>
      </c>
      <c r="S28" s="422">
        <v>5.56</v>
      </c>
      <c r="T28" s="422">
        <f>WHEATHARVESTTBL[[#This Row],[GROSS BU]]-WHEATHARVESTTBL[[#This Row],[Dock BU]]</f>
        <v>550.44000000000005</v>
      </c>
      <c r="U28" s="415" t="s">
        <v>300</v>
      </c>
      <c r="V28" s="423" cm="1">
        <f t="array" ref="V28">_xlfn.IFS(WHEATHARVESTTBL[[#This Row],[Shares]]="MCCENT",1,WHEATHARVESTTBL[[#This Row],[Shares]]="SHAREABLE",0.65)</f>
        <v>0.65</v>
      </c>
      <c r="W28" s="424" cm="1">
        <f t="array" ref="W28">_xlfn.IFS(WHEATHARVESTTBL[[#This Row],[Shares]]="MCCENT",0,WHEATHARVESTTBL[[#This Row],[Shares]]="SHAREABLE",0.35)</f>
        <v>0.35</v>
      </c>
      <c r="X28" s="422">
        <f t="shared" si="1"/>
        <v>357.78600000000006</v>
      </c>
      <c r="Y28" s="422">
        <f t="shared" si="2"/>
        <v>192.654</v>
      </c>
      <c r="Z28" s="507"/>
      <c r="AA28" s="507"/>
      <c r="AB28" s="507"/>
    </row>
    <row r="29" spans="1:28" x14ac:dyDescent="0.25">
      <c r="A29" s="496">
        <v>45849</v>
      </c>
      <c r="B29" s="496" t="s">
        <v>539</v>
      </c>
      <c r="C29" s="497"/>
      <c r="D29" s="415" t="s">
        <v>425</v>
      </c>
      <c r="E29" s="415" t="s">
        <v>544</v>
      </c>
      <c r="F29" s="415" t="s">
        <v>74</v>
      </c>
      <c r="G29" s="415" t="s">
        <v>80</v>
      </c>
      <c r="H29" s="415" t="s">
        <v>277</v>
      </c>
      <c r="I29" s="415"/>
      <c r="J29" s="415">
        <v>89300</v>
      </c>
      <c r="K29" s="416">
        <v>27640</v>
      </c>
      <c r="L29" s="417">
        <f t="shared" si="0"/>
        <v>61660</v>
      </c>
      <c r="M29" s="418">
        <v>56.7</v>
      </c>
      <c r="N29" s="415">
        <v>9.1</v>
      </c>
      <c r="O29" s="419">
        <v>8.9999999999999993E-3</v>
      </c>
      <c r="P29" s="416">
        <v>14.6</v>
      </c>
      <c r="Q29" s="434">
        <f>WHEATHARVESTTBL[[#This Row],[Net]]/60</f>
        <v>1027.6666666666667</v>
      </c>
      <c r="R29" s="421">
        <v>0</v>
      </c>
      <c r="S29" s="422">
        <v>9.25</v>
      </c>
      <c r="T29" s="422">
        <f>WHEATHARVESTTBL[[#This Row],[GROSS BU]]-WHEATHARVESTTBL[[#This Row],[Dock BU]]</f>
        <v>1018.4166666666667</v>
      </c>
      <c r="U29" s="415" t="s">
        <v>300</v>
      </c>
      <c r="V29" s="423" cm="1">
        <f t="array" ref="V29">_xlfn.IFS(WHEATHARVESTTBL[[#This Row],[Shares]]="MCCENT",1,WHEATHARVESTTBL[[#This Row],[Shares]]="SHAREABLE",0.65)</f>
        <v>0.65</v>
      </c>
      <c r="W29" s="424" cm="1">
        <f t="array" ref="W29">_xlfn.IFS(WHEATHARVESTTBL[[#This Row],[Shares]]="MCCENT",0,WHEATHARVESTTBL[[#This Row],[Shares]]="SHAREABLE",0.35)</f>
        <v>0.35</v>
      </c>
      <c r="X29" s="422">
        <f t="shared" si="1"/>
        <v>661.97083333333342</v>
      </c>
      <c r="Y29" s="422">
        <f t="shared" si="2"/>
        <v>356.44583333333333</v>
      </c>
      <c r="Z29" s="507"/>
      <c r="AA29" s="507"/>
      <c r="AB29" s="507"/>
    </row>
    <row r="30" spans="1:28" x14ac:dyDescent="0.25">
      <c r="A30" s="496">
        <v>45849</v>
      </c>
      <c r="B30" s="496" t="s">
        <v>539</v>
      </c>
      <c r="C30" s="497"/>
      <c r="D30" s="415" t="s">
        <v>425</v>
      </c>
      <c r="E30" s="415" t="s">
        <v>545</v>
      </c>
      <c r="F30" s="415" t="s">
        <v>74</v>
      </c>
      <c r="G30" s="415" t="s">
        <v>80</v>
      </c>
      <c r="H30" s="415" t="s">
        <v>277</v>
      </c>
      <c r="I30" s="415"/>
      <c r="J30" s="415">
        <v>66460</v>
      </c>
      <c r="K30" s="416">
        <v>27920</v>
      </c>
      <c r="L30" s="417">
        <f t="shared" si="0"/>
        <v>38540</v>
      </c>
      <c r="M30" s="418">
        <v>58.6</v>
      </c>
      <c r="N30" s="415">
        <v>9.1</v>
      </c>
      <c r="O30" s="419">
        <v>7.0000000000000001E-3</v>
      </c>
      <c r="P30" s="416">
        <v>13.8</v>
      </c>
      <c r="Q30" s="434">
        <f>WHEATHARVESTTBL[[#This Row],[Net]]/60</f>
        <v>642.33333333333337</v>
      </c>
      <c r="R30" s="421">
        <v>0</v>
      </c>
      <c r="S30" s="422">
        <v>4.5</v>
      </c>
      <c r="T30" s="422">
        <f>WHEATHARVESTTBL[[#This Row],[GROSS BU]]-WHEATHARVESTTBL[[#This Row],[Dock BU]]</f>
        <v>637.83333333333337</v>
      </c>
      <c r="U30" s="415" t="s">
        <v>300</v>
      </c>
      <c r="V30" s="423" cm="1">
        <f t="array" ref="V30">_xlfn.IFS(WHEATHARVESTTBL[[#This Row],[Shares]]="MCCENT",1,WHEATHARVESTTBL[[#This Row],[Shares]]="SHAREABLE",0.65)</f>
        <v>0.65</v>
      </c>
      <c r="W30" s="424" cm="1">
        <f t="array" ref="W30">_xlfn.IFS(WHEATHARVESTTBL[[#This Row],[Shares]]="MCCENT",0,WHEATHARVESTTBL[[#This Row],[Shares]]="SHAREABLE",0.35)</f>
        <v>0.35</v>
      </c>
      <c r="X30" s="422">
        <f t="shared" si="1"/>
        <v>414.5916666666667</v>
      </c>
      <c r="Y30" s="422">
        <f t="shared" si="2"/>
        <v>223.24166666666667</v>
      </c>
      <c r="Z30" s="507"/>
      <c r="AA30" s="507"/>
      <c r="AB30" s="507"/>
    </row>
    <row r="31" spans="1:28" x14ac:dyDescent="0.25">
      <c r="A31" s="496">
        <v>45851</v>
      </c>
      <c r="B31" s="496" t="s">
        <v>539</v>
      </c>
      <c r="C31" s="497"/>
      <c r="D31" s="415" t="s">
        <v>425</v>
      </c>
      <c r="E31" s="415" t="s">
        <v>546</v>
      </c>
      <c r="F31" s="415" t="s">
        <v>74</v>
      </c>
      <c r="G31" s="415" t="s">
        <v>32</v>
      </c>
      <c r="H31" s="415" t="s">
        <v>235</v>
      </c>
      <c r="I31" s="415"/>
      <c r="J31" s="415">
        <v>93820</v>
      </c>
      <c r="K31" s="415">
        <v>27600</v>
      </c>
      <c r="L31" s="417">
        <f>J31-K31</f>
        <v>66220</v>
      </c>
      <c r="M31" s="415">
        <v>57.9</v>
      </c>
      <c r="N31" s="415">
        <v>13.1</v>
      </c>
      <c r="O31" s="419">
        <v>1.2E-2</v>
      </c>
      <c r="P31" s="415">
        <v>13.9</v>
      </c>
      <c r="Q31" s="434">
        <f>WHEATHARVESTTBL[[#This Row],[Net]]/60</f>
        <v>1103.6666666666667</v>
      </c>
      <c r="R31" s="425">
        <v>0</v>
      </c>
      <c r="S31" s="422">
        <v>13.24</v>
      </c>
      <c r="T31" s="422">
        <f>WHEATHARVESTTBL[[#This Row],[GROSS BU]]-WHEATHARVESTTBL[[#This Row],[Dock BU]]</f>
        <v>1090.4266666666667</v>
      </c>
      <c r="U31" s="415" t="s">
        <v>300</v>
      </c>
      <c r="V31" s="423">
        <v>0.65</v>
      </c>
      <c r="W31" s="424">
        <v>0.35</v>
      </c>
      <c r="X31" s="422">
        <f>T31*V31</f>
        <v>708.77733333333344</v>
      </c>
      <c r="Y31" s="422">
        <f>T31*W31</f>
        <v>381.64933333333335</v>
      </c>
      <c r="Z31" s="507"/>
      <c r="AA31" s="507"/>
      <c r="AB31" s="507"/>
    </row>
    <row r="32" spans="1:28" x14ac:dyDescent="0.25">
      <c r="A32" s="496">
        <v>45851</v>
      </c>
      <c r="B32" s="496" t="s">
        <v>539</v>
      </c>
      <c r="C32" s="497"/>
      <c r="D32" s="415" t="s">
        <v>425</v>
      </c>
      <c r="E32" s="415" t="s">
        <v>547</v>
      </c>
      <c r="F32" s="415" t="s">
        <v>74</v>
      </c>
      <c r="G32" s="415" t="s">
        <v>32</v>
      </c>
      <c r="H32" s="415" t="s">
        <v>235</v>
      </c>
      <c r="I32" s="415"/>
      <c r="J32" s="415">
        <v>89700</v>
      </c>
      <c r="K32" s="416">
        <v>29340</v>
      </c>
      <c r="L32" s="417">
        <f t="shared" si="0"/>
        <v>60360</v>
      </c>
      <c r="M32" s="418">
        <v>58</v>
      </c>
      <c r="N32" s="415">
        <v>12.2</v>
      </c>
      <c r="O32" s="419">
        <v>1.4E-2</v>
      </c>
      <c r="P32" s="416">
        <v>13.8</v>
      </c>
      <c r="Q32" s="420">
        <f>WHEATHARVESTTBL[[#This Row],[Net]]/60</f>
        <v>1006</v>
      </c>
      <c r="R32" s="421">
        <v>0</v>
      </c>
      <c r="S32" s="422">
        <v>14.08</v>
      </c>
      <c r="T32" s="422">
        <f>WHEATHARVESTTBL[[#This Row],[GROSS BU]]-WHEATHARVESTTBL[[#This Row],[Dock BU]]</f>
        <v>991.92</v>
      </c>
      <c r="U32" s="415" t="s">
        <v>300</v>
      </c>
      <c r="V32" s="423">
        <v>0.65</v>
      </c>
      <c r="W32" s="424">
        <v>0.35</v>
      </c>
      <c r="X32" s="422">
        <f t="shared" si="1"/>
        <v>644.74800000000005</v>
      </c>
      <c r="Y32" s="422">
        <f t="shared" si="2"/>
        <v>347.17199999999997</v>
      </c>
      <c r="Z32" s="507"/>
      <c r="AA32" s="507"/>
      <c r="AB32" s="507"/>
    </row>
    <row r="33" spans="1:28" x14ac:dyDescent="0.25">
      <c r="A33" s="496">
        <v>45851</v>
      </c>
      <c r="B33" s="496" t="s">
        <v>539</v>
      </c>
      <c r="C33" s="497"/>
      <c r="D33" s="415" t="s">
        <v>425</v>
      </c>
      <c r="E33" s="415" t="s">
        <v>548</v>
      </c>
      <c r="F33" s="415" t="s">
        <v>74</v>
      </c>
      <c r="G33" s="415" t="s">
        <v>32</v>
      </c>
      <c r="H33" s="415" t="s">
        <v>235</v>
      </c>
      <c r="I33" s="415"/>
      <c r="J33" s="415">
        <v>92840</v>
      </c>
      <c r="K33" s="416">
        <v>29500</v>
      </c>
      <c r="L33" s="417">
        <f t="shared" si="0"/>
        <v>63340</v>
      </c>
      <c r="M33" s="418">
        <v>58.9</v>
      </c>
      <c r="N33" s="415">
        <v>11.3</v>
      </c>
      <c r="O33" s="419">
        <v>1.4999999999999999E-2</v>
      </c>
      <c r="P33" s="416">
        <v>13.8</v>
      </c>
      <c r="Q33" s="420">
        <f>WHEATHARVESTTBL[[#This Row],[Net]]/60</f>
        <v>1055.6666666666667</v>
      </c>
      <c r="R33" s="421">
        <v>0</v>
      </c>
      <c r="S33" s="422">
        <v>15.84</v>
      </c>
      <c r="T33" s="422">
        <f>WHEATHARVESTTBL[[#This Row],[GROSS BU]]-WHEATHARVESTTBL[[#This Row],[Dock BU]]</f>
        <v>1039.8266666666668</v>
      </c>
      <c r="U33" s="415" t="s">
        <v>300</v>
      </c>
      <c r="V33" s="423" cm="1">
        <f t="array" ref="V33">_xlfn.IFS(WHEATHARVESTTBL[[#This Row],[Shares]]="MCCENT",1,WHEATHARVESTTBL[[#This Row],[Shares]]="SHAREABLE",0.65)</f>
        <v>0.65</v>
      </c>
      <c r="W33" s="424" cm="1">
        <f t="array" ref="W33">_xlfn.IFS(WHEATHARVESTTBL[[#This Row],[Shares]]="MCCENT",0,WHEATHARVESTTBL[[#This Row],[Shares]]="SHAREABLE",0.35)</f>
        <v>0.35</v>
      </c>
      <c r="X33" s="422">
        <f t="shared" si="1"/>
        <v>675.88733333333346</v>
      </c>
      <c r="Y33" s="422">
        <f t="shared" si="2"/>
        <v>363.93933333333337</v>
      </c>
      <c r="Z33" s="507"/>
      <c r="AA33" s="507"/>
      <c r="AB33" s="507"/>
    </row>
    <row r="34" spans="1:28" x14ac:dyDescent="0.25">
      <c r="A34" s="496">
        <v>45851</v>
      </c>
      <c r="B34" s="496" t="s">
        <v>539</v>
      </c>
      <c r="C34" s="497"/>
      <c r="D34" s="415" t="s">
        <v>425</v>
      </c>
      <c r="E34" s="415" t="s">
        <v>549</v>
      </c>
      <c r="F34" s="415" t="s">
        <v>74</v>
      </c>
      <c r="G34" s="415" t="s">
        <v>32</v>
      </c>
      <c r="H34" s="415" t="s">
        <v>235</v>
      </c>
      <c r="I34" s="415"/>
      <c r="J34" s="415">
        <v>91700</v>
      </c>
      <c r="K34" s="416">
        <v>27740</v>
      </c>
      <c r="L34" s="417">
        <f t="shared" si="0"/>
        <v>63960</v>
      </c>
      <c r="M34" s="418">
        <v>59.2</v>
      </c>
      <c r="N34" s="415">
        <v>10.9</v>
      </c>
      <c r="O34" s="419">
        <v>8.0000000000000002E-3</v>
      </c>
      <c r="P34" s="416">
        <v>14.2</v>
      </c>
      <c r="Q34" s="420">
        <f>WHEATHARVESTTBL[[#This Row],[Net]]/60</f>
        <v>1066</v>
      </c>
      <c r="R34" s="421">
        <v>0</v>
      </c>
      <c r="S34" s="422">
        <v>8.5299999999999994</v>
      </c>
      <c r="T34" s="422">
        <f>WHEATHARVESTTBL[[#This Row],[GROSS BU]]-WHEATHARVESTTBL[[#This Row],[Dock BU]]</f>
        <v>1057.47</v>
      </c>
      <c r="U34" s="415" t="s">
        <v>300</v>
      </c>
      <c r="V34" s="423" cm="1">
        <f t="array" ref="V34">_xlfn.IFS(WHEATHARVESTTBL[[#This Row],[Shares]]="MCCENT",1,WHEATHARVESTTBL[[#This Row],[Shares]]="SHAREABLE",0.65)</f>
        <v>0.65</v>
      </c>
      <c r="W34" s="424" cm="1">
        <f t="array" ref="W34">_xlfn.IFS(WHEATHARVESTTBL[[#This Row],[Shares]]="MCCENT",0,WHEATHARVESTTBL[[#This Row],[Shares]]="SHAREABLE",0.35)</f>
        <v>0.35</v>
      </c>
      <c r="X34" s="422">
        <f t="shared" si="1"/>
        <v>687.35550000000001</v>
      </c>
      <c r="Y34" s="422">
        <f t="shared" si="2"/>
        <v>370.11449999999996</v>
      </c>
      <c r="Z34" s="507"/>
      <c r="AA34" s="507"/>
      <c r="AB34" s="507"/>
    </row>
    <row r="35" spans="1:28" x14ac:dyDescent="0.25">
      <c r="A35" s="496">
        <v>45851</v>
      </c>
      <c r="B35" s="496" t="s">
        <v>539</v>
      </c>
      <c r="C35" s="497"/>
      <c r="D35" s="415" t="s">
        <v>425</v>
      </c>
      <c r="E35" s="415" t="s">
        <v>550</v>
      </c>
      <c r="F35" s="415" t="s">
        <v>74</v>
      </c>
      <c r="G35" s="415" t="s">
        <v>32</v>
      </c>
      <c r="H35" s="415" t="s">
        <v>235</v>
      </c>
      <c r="I35" s="415"/>
      <c r="J35" s="415">
        <v>84620</v>
      </c>
      <c r="K35" s="416">
        <v>29300</v>
      </c>
      <c r="L35" s="417">
        <f t="shared" si="0"/>
        <v>55320</v>
      </c>
      <c r="M35" s="418">
        <v>58.8</v>
      </c>
      <c r="N35" s="415">
        <v>11</v>
      </c>
      <c r="O35" s="419">
        <v>0.01</v>
      </c>
      <c r="P35" s="416">
        <v>14.2</v>
      </c>
      <c r="Q35" s="420">
        <f>WHEATHARVESTTBL[[#This Row],[Net]]/60</f>
        <v>922</v>
      </c>
      <c r="R35" s="421">
        <v>0</v>
      </c>
      <c r="S35" s="422">
        <v>9.2200000000000006</v>
      </c>
      <c r="T35" s="422">
        <f>WHEATHARVESTTBL[[#This Row],[GROSS BU]]-WHEATHARVESTTBL[[#This Row],[Dock BU]]</f>
        <v>912.78</v>
      </c>
      <c r="U35" s="415" t="s">
        <v>300</v>
      </c>
      <c r="V35" s="423" cm="1">
        <f t="array" ref="V35">_xlfn.IFS(WHEATHARVESTTBL[[#This Row],[Shares]]="MCCENT",1,WHEATHARVESTTBL[[#This Row],[Shares]]="SHAREABLE",0.65)</f>
        <v>0.65</v>
      </c>
      <c r="W35" s="424" cm="1">
        <f t="array" ref="W35">_xlfn.IFS(WHEATHARVESTTBL[[#This Row],[Shares]]="MCCENT",0,WHEATHARVESTTBL[[#This Row],[Shares]]="SHAREABLE",0.35)</f>
        <v>0.35</v>
      </c>
      <c r="X35" s="422">
        <f t="shared" si="1"/>
        <v>593.30700000000002</v>
      </c>
      <c r="Y35" s="422">
        <f t="shared" si="2"/>
        <v>319.47299999999996</v>
      </c>
      <c r="Z35" s="507"/>
      <c r="AA35" s="507"/>
      <c r="AB35" s="507"/>
    </row>
    <row r="36" spans="1:28" x14ac:dyDescent="0.25">
      <c r="A36" s="496">
        <v>45852</v>
      </c>
      <c r="B36" s="496" t="s">
        <v>539</v>
      </c>
      <c r="C36" s="497"/>
      <c r="D36" s="415" t="s">
        <v>431</v>
      </c>
      <c r="E36" s="415">
        <v>109687</v>
      </c>
      <c r="F36" s="415" t="s">
        <v>74</v>
      </c>
      <c r="G36" s="415" t="s">
        <v>32</v>
      </c>
      <c r="H36" s="415" t="s">
        <v>243</v>
      </c>
      <c r="I36" s="415"/>
      <c r="J36" s="415">
        <v>86060</v>
      </c>
      <c r="K36" s="416">
        <v>27500</v>
      </c>
      <c r="L36" s="417">
        <f t="shared" si="0"/>
        <v>58560</v>
      </c>
      <c r="M36" s="418">
        <v>58</v>
      </c>
      <c r="N36" s="415">
        <v>12.2</v>
      </c>
      <c r="O36" s="419">
        <v>1.8E-3</v>
      </c>
      <c r="P36" s="416">
        <v>14.2</v>
      </c>
      <c r="Q36" s="420">
        <f>WHEATHARVESTTBL[[#This Row],[Net]]/60</f>
        <v>976</v>
      </c>
      <c r="R36" s="421">
        <v>0</v>
      </c>
      <c r="S36" s="422">
        <v>1.47</v>
      </c>
      <c r="T36" s="422">
        <f>WHEATHARVESTTBL[[#This Row],[GROSS BU]]-WHEATHARVESTTBL[[#This Row],[Dock BU]]</f>
        <v>974.53</v>
      </c>
      <c r="U36" s="415" t="s">
        <v>300</v>
      </c>
      <c r="V36" s="423" cm="1">
        <f t="array" ref="V36">_xlfn.IFS(WHEATHARVESTTBL[[#This Row],[Shares]]="MCCENT",1,WHEATHARVESTTBL[[#This Row],[Shares]]="SHAREABLE",0.65)</f>
        <v>0.65</v>
      </c>
      <c r="W36" s="424" cm="1">
        <f t="array" ref="W36">_xlfn.IFS(WHEATHARVESTTBL[[#This Row],[Shares]]="MCCENT",0,WHEATHARVESTTBL[[#This Row],[Shares]]="SHAREABLE",0.35)</f>
        <v>0.35</v>
      </c>
      <c r="X36" s="422">
        <f t="shared" si="1"/>
        <v>633.44449999999995</v>
      </c>
      <c r="Y36" s="422">
        <f t="shared" si="2"/>
        <v>341.08549999999997</v>
      </c>
      <c r="Z36" s="507"/>
      <c r="AA36" s="507"/>
      <c r="AB36" s="507"/>
    </row>
    <row r="37" spans="1:28" x14ac:dyDescent="0.25">
      <c r="A37" s="496">
        <v>45852</v>
      </c>
      <c r="B37" s="496" t="s">
        <v>539</v>
      </c>
      <c r="C37" s="497"/>
      <c r="D37" s="415" t="s">
        <v>431</v>
      </c>
      <c r="E37" s="415">
        <v>109696</v>
      </c>
      <c r="F37" s="415" t="s">
        <v>74</v>
      </c>
      <c r="G37" s="415" t="s">
        <v>32</v>
      </c>
      <c r="H37" s="415" t="s">
        <v>243</v>
      </c>
      <c r="I37" s="415"/>
      <c r="J37" s="415">
        <v>88220</v>
      </c>
      <c r="K37" s="416">
        <v>27380</v>
      </c>
      <c r="L37" s="417">
        <f t="shared" si="0"/>
        <v>60840</v>
      </c>
      <c r="M37" s="418">
        <v>59</v>
      </c>
      <c r="N37" s="415">
        <v>12.1</v>
      </c>
      <c r="O37" s="419">
        <v>1.6999999999999999E-3</v>
      </c>
      <c r="P37" s="416">
        <v>14</v>
      </c>
      <c r="Q37" s="420">
        <f>WHEATHARVESTTBL[[#This Row],[Net]]/60</f>
        <v>1014</v>
      </c>
      <c r="R37" s="421">
        <v>0</v>
      </c>
      <c r="S37" s="422">
        <v>1.52</v>
      </c>
      <c r="T37" s="422">
        <f>WHEATHARVESTTBL[[#This Row],[GROSS BU]]-WHEATHARVESTTBL[[#This Row],[Dock BU]]</f>
        <v>1012.48</v>
      </c>
      <c r="U37" s="415" t="s">
        <v>300</v>
      </c>
      <c r="V37" s="423" cm="1">
        <f t="array" ref="V37">_xlfn.IFS(WHEATHARVESTTBL[[#This Row],[Shares]]="MCCENT",1,WHEATHARVESTTBL[[#This Row],[Shares]]="SHAREABLE",0.65)</f>
        <v>0.65</v>
      </c>
      <c r="W37" s="424" cm="1">
        <f t="array" ref="W37">_xlfn.IFS(WHEATHARVESTTBL[[#This Row],[Shares]]="MCCENT",0,WHEATHARVESTTBL[[#This Row],[Shares]]="SHAREABLE",0.35)</f>
        <v>0.35</v>
      </c>
      <c r="X37" s="422">
        <f t="shared" si="1"/>
        <v>658.11200000000008</v>
      </c>
      <c r="Y37" s="422">
        <f t="shared" si="2"/>
        <v>354.36799999999999</v>
      </c>
      <c r="Z37" s="507"/>
      <c r="AA37" s="507"/>
      <c r="AB37" s="507"/>
    </row>
    <row r="38" spans="1:28" x14ac:dyDescent="0.25">
      <c r="A38" s="496">
        <v>45852</v>
      </c>
      <c r="B38" s="496" t="s">
        <v>539</v>
      </c>
      <c r="C38" s="497"/>
      <c r="D38" s="415" t="s">
        <v>431</v>
      </c>
      <c r="E38" s="415">
        <v>109711</v>
      </c>
      <c r="F38" s="415" t="s">
        <v>74</v>
      </c>
      <c r="G38" s="415" t="s">
        <v>32</v>
      </c>
      <c r="H38" s="415" t="s">
        <v>243</v>
      </c>
      <c r="I38" s="415"/>
      <c r="J38" s="415">
        <v>94880</v>
      </c>
      <c r="K38" s="415">
        <v>27420</v>
      </c>
      <c r="L38" s="417">
        <f t="shared" si="0"/>
        <v>67460</v>
      </c>
      <c r="M38" s="415">
        <v>58</v>
      </c>
      <c r="N38" s="415">
        <v>11.4</v>
      </c>
      <c r="O38" s="419">
        <v>8.2000000000000007E-3</v>
      </c>
      <c r="P38" s="415">
        <v>13.8</v>
      </c>
      <c r="Q38" s="434">
        <f>WHEATHARVESTTBL[[#This Row],[Net]]/60</f>
        <v>1124.3333333333333</v>
      </c>
      <c r="R38" s="425">
        <v>0</v>
      </c>
      <c r="S38" s="422">
        <v>9.5500000000000007</v>
      </c>
      <c r="T38" s="422">
        <f>WHEATHARVESTTBL[[#This Row],[GROSS BU]]-WHEATHARVESTTBL[[#This Row],[Dock BU]]</f>
        <v>1114.7833333333333</v>
      </c>
      <c r="U38" s="415" t="s">
        <v>300</v>
      </c>
      <c r="V38" s="423" cm="1">
        <f t="array" ref="V38">_xlfn.IFS(WHEATHARVESTTBL[[#This Row],[Shares]]="MCCENT",1,WHEATHARVESTTBL[[#This Row],[Shares]]="SHAREABLE",0.65)</f>
        <v>0.65</v>
      </c>
      <c r="W38" s="424" cm="1">
        <f t="array" ref="W38">_xlfn.IFS(WHEATHARVESTTBL[[#This Row],[Shares]]="MCCENT",0,WHEATHARVESTTBL[[#This Row],[Shares]]="SHAREABLE",0.35)</f>
        <v>0.35</v>
      </c>
      <c r="X38" s="422">
        <f t="shared" si="1"/>
        <v>724.60916666666662</v>
      </c>
      <c r="Y38" s="422">
        <f t="shared" si="2"/>
        <v>390.17416666666662</v>
      </c>
      <c r="Z38" s="507"/>
      <c r="AA38" s="507"/>
      <c r="AB38" s="507"/>
    </row>
    <row r="39" spans="1:28" x14ac:dyDescent="0.25">
      <c r="A39" s="496">
        <v>45852</v>
      </c>
      <c r="B39" s="496" t="s">
        <v>539</v>
      </c>
      <c r="C39" s="497"/>
      <c r="D39" s="415" t="s">
        <v>431</v>
      </c>
      <c r="E39" s="415">
        <v>109727</v>
      </c>
      <c r="F39" s="415" t="s">
        <v>74</v>
      </c>
      <c r="G39" s="415" t="s">
        <v>32</v>
      </c>
      <c r="H39" s="415" t="s">
        <v>243</v>
      </c>
      <c r="I39" s="415"/>
      <c r="J39" s="415">
        <v>84700</v>
      </c>
      <c r="K39" s="415">
        <v>27120</v>
      </c>
      <c r="L39" s="417">
        <f t="shared" si="0"/>
        <v>57580</v>
      </c>
      <c r="M39" s="415">
        <v>59</v>
      </c>
      <c r="N39" s="415">
        <v>11.2</v>
      </c>
      <c r="O39" s="419">
        <v>9.1999999999999998E-3</v>
      </c>
      <c r="P39" s="415">
        <v>13.8</v>
      </c>
      <c r="Q39" s="434">
        <f>WHEATHARVESTTBL[[#This Row],[Net]]/60</f>
        <v>959.66666666666663</v>
      </c>
      <c r="R39" s="425">
        <v>0</v>
      </c>
      <c r="S39" s="422">
        <v>9.1199999999999992</v>
      </c>
      <c r="T39" s="422">
        <f>WHEATHARVESTTBL[[#This Row],[GROSS BU]]-WHEATHARVESTTBL[[#This Row],[Dock BU]]</f>
        <v>950.54666666666662</v>
      </c>
      <c r="U39" s="415" t="s">
        <v>300</v>
      </c>
      <c r="V39" s="423" cm="1">
        <f t="array" ref="V39">_xlfn.IFS(WHEATHARVESTTBL[[#This Row],[Shares]]="MCCENT",1,WHEATHARVESTTBL[[#This Row],[Shares]]="SHAREABLE",0.65)</f>
        <v>0.65</v>
      </c>
      <c r="W39" s="424" cm="1">
        <f t="array" ref="W39">_xlfn.IFS(WHEATHARVESTTBL[[#This Row],[Shares]]="MCCENT",0,WHEATHARVESTTBL[[#This Row],[Shares]]="SHAREABLE",0.35)</f>
        <v>0.35</v>
      </c>
      <c r="X39" s="422">
        <f t="shared" si="1"/>
        <v>617.85533333333331</v>
      </c>
      <c r="Y39" s="422">
        <f t="shared" si="2"/>
        <v>332.69133333333332</v>
      </c>
      <c r="Z39" s="507"/>
      <c r="AA39" s="507"/>
      <c r="AB39" s="507"/>
    </row>
    <row r="40" spans="1:28" x14ac:dyDescent="0.25">
      <c r="A40" s="496">
        <v>45852</v>
      </c>
      <c r="B40" s="496" t="s">
        <v>539</v>
      </c>
      <c r="C40" s="497"/>
      <c r="D40" s="415" t="s">
        <v>431</v>
      </c>
      <c r="E40" s="415">
        <v>109746</v>
      </c>
      <c r="F40" s="415" t="s">
        <v>74</v>
      </c>
      <c r="G40" s="415" t="s">
        <v>21</v>
      </c>
      <c r="H40" s="415" t="s">
        <v>132</v>
      </c>
      <c r="I40" s="415"/>
      <c r="J40" s="415">
        <v>92460</v>
      </c>
      <c r="K40" s="415">
        <v>27080</v>
      </c>
      <c r="L40" s="417">
        <f t="shared" si="0"/>
        <v>65380</v>
      </c>
      <c r="M40" s="415">
        <v>57</v>
      </c>
      <c r="N40" s="415">
        <v>10.7</v>
      </c>
      <c r="O40" s="419">
        <v>4.4999999999999997E-3</v>
      </c>
      <c r="P40" s="415">
        <v>13.1</v>
      </c>
      <c r="Q40" s="434">
        <f>WHEATHARVESTTBL[[#This Row],[Net]]/60</f>
        <v>1089.6666666666667</v>
      </c>
      <c r="R40" s="425">
        <v>0</v>
      </c>
      <c r="S40" s="422">
        <v>4.9000000000000004</v>
      </c>
      <c r="T40" s="422">
        <f>WHEATHARVESTTBL[[#This Row],[GROSS BU]]-WHEATHARVESTTBL[[#This Row],[Dock BU]]</f>
        <v>1084.7666666666667</v>
      </c>
      <c r="U40" s="415" t="s">
        <v>300</v>
      </c>
      <c r="V40" s="423" cm="1">
        <f t="array" ref="V40">_xlfn.IFS(WHEATHARVESTTBL[[#This Row],[Shares]]="MCCENT",1,WHEATHARVESTTBL[[#This Row],[Shares]]="SHAREABLE",0.65)</f>
        <v>0.65</v>
      </c>
      <c r="W40" s="424" cm="1">
        <f t="array" ref="W40">_xlfn.IFS(WHEATHARVESTTBL[[#This Row],[Shares]]="MCCENT",0,WHEATHARVESTTBL[[#This Row],[Shares]]="SHAREABLE",0.35)</f>
        <v>0.35</v>
      </c>
      <c r="X40" s="422">
        <f t="shared" si="1"/>
        <v>705.09833333333336</v>
      </c>
      <c r="Y40" s="422">
        <f t="shared" si="2"/>
        <v>379.66833333333329</v>
      </c>
      <c r="Z40" s="507"/>
      <c r="AA40" s="507"/>
      <c r="AB40" s="507"/>
    </row>
    <row r="41" spans="1:28" x14ac:dyDescent="0.25">
      <c r="A41" s="496">
        <v>45853</v>
      </c>
      <c r="B41" s="496" t="s">
        <v>539</v>
      </c>
      <c r="C41" s="497"/>
      <c r="D41" s="415" t="s">
        <v>431</v>
      </c>
      <c r="E41" s="415">
        <v>109762</v>
      </c>
      <c r="F41" s="415" t="s">
        <v>74</v>
      </c>
      <c r="G41" s="415" t="s">
        <v>21</v>
      </c>
      <c r="H41" s="415" t="s">
        <v>132</v>
      </c>
      <c r="I41" s="415"/>
      <c r="J41" s="415">
        <v>91520</v>
      </c>
      <c r="K41" s="415">
        <v>27320</v>
      </c>
      <c r="L41" s="417">
        <f t="shared" si="0"/>
        <v>64200</v>
      </c>
      <c r="M41" s="415">
        <v>58</v>
      </c>
      <c r="N41" s="415">
        <v>11.4</v>
      </c>
      <c r="O41" s="419">
        <v>2E-3</v>
      </c>
      <c r="P41" s="415">
        <v>12.8</v>
      </c>
      <c r="Q41" s="434">
        <f>WHEATHARVESTTBL[[#This Row],[Net]]/60</f>
        <v>1070</v>
      </c>
      <c r="R41" s="425">
        <v>0</v>
      </c>
      <c r="S41" s="422">
        <v>1.6</v>
      </c>
      <c r="T41" s="422">
        <f>WHEATHARVESTTBL[[#This Row],[GROSS BU]]-WHEATHARVESTTBL[[#This Row],[Dock BU]]</f>
        <v>1068.4000000000001</v>
      </c>
      <c r="U41" s="415" t="s">
        <v>300</v>
      </c>
      <c r="V41" s="423" cm="1">
        <f t="array" ref="V41">_xlfn.IFS(WHEATHARVESTTBL[[#This Row],[Shares]]="MCCENT",1,WHEATHARVESTTBL[[#This Row],[Shares]]="SHAREABLE",0.65)</f>
        <v>0.65</v>
      </c>
      <c r="W41" s="424" cm="1">
        <f t="array" ref="W41">_xlfn.IFS(WHEATHARVESTTBL[[#This Row],[Shares]]="MCCENT",0,WHEATHARVESTTBL[[#This Row],[Shares]]="SHAREABLE",0.35)</f>
        <v>0.35</v>
      </c>
      <c r="X41" s="422">
        <f t="shared" si="1"/>
        <v>694.46</v>
      </c>
      <c r="Y41" s="422">
        <f t="shared" si="2"/>
        <v>373.94</v>
      </c>
      <c r="Z41" s="507"/>
      <c r="AA41" s="507"/>
      <c r="AB41" s="507"/>
    </row>
    <row r="42" spans="1:28" x14ac:dyDescent="0.25">
      <c r="A42" s="496">
        <v>45853</v>
      </c>
      <c r="B42" s="496" t="s">
        <v>539</v>
      </c>
      <c r="C42" s="497"/>
      <c r="D42" s="415" t="s">
        <v>431</v>
      </c>
      <c r="E42" s="415">
        <v>109772</v>
      </c>
      <c r="F42" s="415" t="s">
        <v>74</v>
      </c>
      <c r="G42" s="415" t="s">
        <v>21</v>
      </c>
      <c r="H42" s="415" t="s">
        <v>132</v>
      </c>
      <c r="I42" s="415"/>
      <c r="J42" s="415">
        <v>93640</v>
      </c>
      <c r="K42" s="415">
        <v>27020</v>
      </c>
      <c r="L42" s="417">
        <f t="shared" si="0"/>
        <v>66620</v>
      </c>
      <c r="M42" s="415">
        <v>58</v>
      </c>
      <c r="N42" s="415">
        <v>10.8</v>
      </c>
      <c r="O42" s="419">
        <v>1.1000000000000001E-3</v>
      </c>
      <c r="P42" s="415">
        <v>12.4</v>
      </c>
      <c r="Q42" s="434">
        <f>WHEATHARVESTTBL[[#This Row],[Net]]/60</f>
        <v>1110.3333333333333</v>
      </c>
      <c r="R42" s="425">
        <v>0</v>
      </c>
      <c r="S42" s="422">
        <v>1.66</v>
      </c>
      <c r="T42" s="422">
        <f>WHEATHARVESTTBL[[#This Row],[GROSS BU]]-WHEATHARVESTTBL[[#This Row],[Dock BU]]</f>
        <v>1108.6733333333332</v>
      </c>
      <c r="U42" s="415" t="s">
        <v>300</v>
      </c>
      <c r="V42" s="423" cm="1">
        <f t="array" ref="V42">_xlfn.IFS(WHEATHARVESTTBL[[#This Row],[Shares]]="MCCENT",1,WHEATHARVESTTBL[[#This Row],[Shares]]="SHAREABLE",0.65)</f>
        <v>0.65</v>
      </c>
      <c r="W42" s="424" cm="1">
        <f t="array" ref="W42">_xlfn.IFS(WHEATHARVESTTBL[[#This Row],[Shares]]="MCCENT",0,WHEATHARVESTTBL[[#This Row],[Shares]]="SHAREABLE",0.35)</f>
        <v>0.35</v>
      </c>
      <c r="X42" s="422">
        <f t="shared" si="1"/>
        <v>720.63766666666663</v>
      </c>
      <c r="Y42" s="422">
        <f t="shared" si="2"/>
        <v>388.0356666666666</v>
      </c>
      <c r="Z42" s="507"/>
      <c r="AA42" s="507"/>
      <c r="AB42" s="507"/>
    </row>
    <row r="43" spans="1:28" x14ac:dyDescent="0.25">
      <c r="A43" s="496">
        <v>45853</v>
      </c>
      <c r="B43" s="496" t="s">
        <v>539</v>
      </c>
      <c r="C43" s="497"/>
      <c r="D43" s="415" t="s">
        <v>431</v>
      </c>
      <c r="E43" s="415">
        <v>109790</v>
      </c>
      <c r="F43" s="415" t="s">
        <v>74</v>
      </c>
      <c r="G43" s="415" t="s">
        <v>21</v>
      </c>
      <c r="H43" s="415" t="s">
        <v>132</v>
      </c>
      <c r="I43" s="415"/>
      <c r="J43" s="415">
        <v>90200</v>
      </c>
      <c r="K43" s="415">
        <v>63840</v>
      </c>
      <c r="L43" s="417">
        <f t="shared" si="0"/>
        <v>26360</v>
      </c>
      <c r="M43" s="415">
        <v>58</v>
      </c>
      <c r="N43" s="415">
        <v>10.4</v>
      </c>
      <c r="O43" s="419">
        <v>2.2000000000000001E-3</v>
      </c>
      <c r="P43" s="415">
        <v>12.8</v>
      </c>
      <c r="Q43" s="434">
        <f>WHEATHARVESTTBL[[#This Row],[Net]]/60</f>
        <v>439.33333333333331</v>
      </c>
      <c r="R43" s="425">
        <v>0</v>
      </c>
      <c r="S43" s="422">
        <v>1.1000000000000001</v>
      </c>
      <c r="T43" s="422">
        <f>WHEATHARVESTTBL[[#This Row],[GROSS BU]]-WHEATHARVESTTBL[[#This Row],[Dock BU]]</f>
        <v>438.23333333333329</v>
      </c>
      <c r="U43" s="415" t="s">
        <v>300</v>
      </c>
      <c r="V43" s="423" cm="1">
        <f t="array" ref="V43">_xlfn.IFS(WHEATHARVESTTBL[[#This Row],[Shares]]="MCCENT",1,WHEATHARVESTTBL[[#This Row],[Shares]]="SHAREABLE",0.65)</f>
        <v>0.65</v>
      </c>
      <c r="W43" s="424" cm="1">
        <f t="array" ref="W43">_xlfn.IFS(WHEATHARVESTTBL[[#This Row],[Shares]]="MCCENT",0,WHEATHARVESTTBL[[#This Row],[Shares]]="SHAREABLE",0.35)</f>
        <v>0.35</v>
      </c>
      <c r="X43" s="422">
        <f t="shared" si="1"/>
        <v>284.85166666666663</v>
      </c>
      <c r="Y43" s="422">
        <f t="shared" si="2"/>
        <v>153.38166666666663</v>
      </c>
      <c r="Z43" s="507"/>
      <c r="AA43" s="507"/>
      <c r="AB43" s="507"/>
    </row>
    <row r="44" spans="1:28" x14ac:dyDescent="0.25">
      <c r="A44" s="496">
        <v>45853</v>
      </c>
      <c r="B44" s="496" t="s">
        <v>539</v>
      </c>
      <c r="C44" s="497"/>
      <c r="D44" s="415" t="s">
        <v>431</v>
      </c>
      <c r="E44" s="415">
        <v>109812</v>
      </c>
      <c r="F44" s="415" t="s">
        <v>74</v>
      </c>
      <c r="G44" s="415" t="s">
        <v>28</v>
      </c>
      <c r="H44" s="415" t="s">
        <v>219</v>
      </c>
      <c r="I44" s="415"/>
      <c r="J44" s="415">
        <v>57540</v>
      </c>
      <c r="K44" s="415">
        <v>27160</v>
      </c>
      <c r="L44" s="417">
        <f t="shared" si="0"/>
        <v>30380</v>
      </c>
      <c r="M44" s="415">
        <v>54</v>
      </c>
      <c r="N44" s="415">
        <v>10.4</v>
      </c>
      <c r="O44" s="419">
        <v>2.0999999999999999E-3</v>
      </c>
      <c r="P44" s="415">
        <v>15.8</v>
      </c>
      <c r="Q44" s="434">
        <f>WHEATHARVESTTBL[[#This Row],[Net]]/60</f>
        <v>506.33333333333331</v>
      </c>
      <c r="R44" s="425">
        <v>0</v>
      </c>
      <c r="S44" s="422">
        <v>1.26</v>
      </c>
      <c r="T44" s="422">
        <f>WHEATHARVESTTBL[[#This Row],[GROSS BU]]-WHEATHARVESTTBL[[#This Row],[Dock BU]]</f>
        <v>505.07333333333332</v>
      </c>
      <c r="U44" s="415" t="s">
        <v>300</v>
      </c>
      <c r="V44" s="423" cm="1">
        <f t="array" ref="V44">_xlfn.IFS(WHEATHARVESTTBL[[#This Row],[Shares]]="MCCENT",1,WHEATHARVESTTBL[[#This Row],[Shares]]="SHAREABLE",0.65)</f>
        <v>0.65</v>
      </c>
      <c r="W44" s="424" cm="1">
        <f t="array" ref="W44">_xlfn.IFS(WHEATHARVESTTBL[[#This Row],[Shares]]="MCCENT",0,WHEATHARVESTTBL[[#This Row],[Shares]]="SHAREABLE",0.35)</f>
        <v>0.35</v>
      </c>
      <c r="X44" s="422">
        <f t="shared" si="1"/>
        <v>328.29766666666666</v>
      </c>
      <c r="Y44" s="422">
        <f t="shared" si="2"/>
        <v>176.77566666666667</v>
      </c>
      <c r="Z44" s="507"/>
      <c r="AA44" s="507"/>
      <c r="AB44" s="507"/>
    </row>
    <row r="45" spans="1:28" x14ac:dyDescent="0.25">
      <c r="A45" s="496">
        <v>45853</v>
      </c>
      <c r="B45" s="496" t="s">
        <v>539</v>
      </c>
      <c r="C45" s="497"/>
      <c r="D45" s="415" t="s">
        <v>431</v>
      </c>
      <c r="E45" s="415">
        <v>109826</v>
      </c>
      <c r="F45" s="415" t="s">
        <v>74</v>
      </c>
      <c r="G45" s="415" t="s">
        <v>28</v>
      </c>
      <c r="H45" s="415" t="s">
        <v>219</v>
      </c>
      <c r="I45" s="415"/>
      <c r="J45" s="415">
        <v>89560</v>
      </c>
      <c r="K45" s="415">
        <v>27380</v>
      </c>
      <c r="L45" s="417">
        <f>J45-K45</f>
        <v>62180</v>
      </c>
      <c r="M45" s="415">
        <v>55</v>
      </c>
      <c r="N45" s="415">
        <v>12.6</v>
      </c>
      <c r="O45" s="419">
        <v>3.2000000000000002E-3</v>
      </c>
      <c r="P45" s="415">
        <v>15.3</v>
      </c>
      <c r="Q45" s="434">
        <f>WHEATHARVESTTBL[[#This Row],[Net]]/60</f>
        <v>1036.3333333333333</v>
      </c>
      <c r="R45" s="425">
        <v>0</v>
      </c>
      <c r="S45" s="422">
        <v>3.63</v>
      </c>
      <c r="T45" s="422">
        <f>WHEATHARVESTTBL[[#This Row],[GROSS BU]]-WHEATHARVESTTBL[[#This Row],[Dock BU]]</f>
        <v>1032.7033333333331</v>
      </c>
      <c r="U45" s="415" t="s">
        <v>300</v>
      </c>
      <c r="V45" s="423" cm="1">
        <f t="array" ref="V45">_xlfn.IFS(WHEATHARVESTTBL[[#This Row],[Shares]]="MCCENT",1,WHEATHARVESTTBL[[#This Row],[Shares]]="SHAREABLE",0.65)</f>
        <v>0.65</v>
      </c>
      <c r="W45" s="424" cm="1">
        <f t="array" ref="W45">_xlfn.IFS(WHEATHARVESTTBL[[#This Row],[Shares]]="MCCENT",0,WHEATHARVESTTBL[[#This Row],[Shares]]="SHAREABLE",0.35)</f>
        <v>0.35</v>
      </c>
      <c r="X45" s="422">
        <f>T45*V45</f>
        <v>671.25716666666654</v>
      </c>
      <c r="Y45" s="422">
        <f>T45*W45</f>
        <v>361.44616666666656</v>
      </c>
      <c r="Z45" s="507"/>
      <c r="AA45" s="507"/>
      <c r="AB45" s="507"/>
    </row>
    <row r="46" spans="1:28" x14ac:dyDescent="0.25">
      <c r="A46" s="496">
        <v>45854</v>
      </c>
      <c r="B46" s="496" t="s">
        <v>539</v>
      </c>
      <c r="C46" s="497"/>
      <c r="D46" s="415" t="s">
        <v>431</v>
      </c>
      <c r="E46" s="415">
        <v>109830</v>
      </c>
      <c r="F46" s="415" t="s">
        <v>74</v>
      </c>
      <c r="G46" s="415" t="s">
        <v>28</v>
      </c>
      <c r="H46" s="415" t="s">
        <v>219</v>
      </c>
      <c r="I46" s="415"/>
      <c r="J46" s="415">
        <v>46400</v>
      </c>
      <c r="K46" s="415">
        <v>27600</v>
      </c>
      <c r="L46" s="417">
        <f t="shared" si="0"/>
        <v>18800</v>
      </c>
      <c r="M46" s="415">
        <v>50</v>
      </c>
      <c r="N46" s="415">
        <v>12.6</v>
      </c>
      <c r="O46" s="419">
        <v>2.87E-2</v>
      </c>
      <c r="P46" s="415">
        <v>15.6</v>
      </c>
      <c r="Q46" s="434">
        <f>WHEATHARVESTTBL[[#This Row],[Net]]/60</f>
        <v>313.33333333333331</v>
      </c>
      <c r="R46" s="425">
        <v>0</v>
      </c>
      <c r="S46" s="422">
        <v>8.93</v>
      </c>
      <c r="T46" s="422">
        <f>WHEATHARVESTTBL[[#This Row],[GROSS BU]]-WHEATHARVESTTBL[[#This Row],[Dock BU]]</f>
        <v>304.40333333333331</v>
      </c>
      <c r="U46" s="415" t="s">
        <v>300</v>
      </c>
      <c r="V46" s="423" cm="1">
        <f t="array" ref="V46">_xlfn.IFS(WHEATHARVESTTBL[[#This Row],[Shares]]="MCCENT",1,WHEATHARVESTTBL[[#This Row],[Shares]]="SHAREABLE",0.65)</f>
        <v>0.65</v>
      </c>
      <c r="W46" s="424" cm="1">
        <f t="array" ref="W46">_xlfn.IFS(WHEATHARVESTTBL[[#This Row],[Shares]]="MCCENT",0,WHEATHARVESTTBL[[#This Row],[Shares]]="SHAREABLE",0.35)</f>
        <v>0.35</v>
      </c>
      <c r="X46" s="422">
        <f t="shared" si="1"/>
        <v>197.86216666666667</v>
      </c>
      <c r="Y46" s="422">
        <f t="shared" si="2"/>
        <v>106.54116666666665</v>
      </c>
      <c r="Z46" s="507"/>
      <c r="AA46" s="507"/>
      <c r="AB46" s="507"/>
    </row>
    <row r="47" spans="1:28" x14ac:dyDescent="0.25">
      <c r="A47" s="496">
        <v>45853</v>
      </c>
      <c r="B47" s="496" t="s">
        <v>539</v>
      </c>
      <c r="C47" s="497"/>
      <c r="D47" s="415" t="s">
        <v>431</v>
      </c>
      <c r="E47" s="415">
        <v>109793</v>
      </c>
      <c r="F47" s="415" t="s">
        <v>74</v>
      </c>
      <c r="G47" s="415" t="s">
        <v>80</v>
      </c>
      <c r="H47" s="415" t="s">
        <v>277</v>
      </c>
      <c r="I47" s="415"/>
      <c r="J47" s="415">
        <v>63840</v>
      </c>
      <c r="K47" s="415">
        <v>26980</v>
      </c>
      <c r="L47" s="417">
        <f>J47-K47</f>
        <v>36860</v>
      </c>
      <c r="M47" s="415">
        <v>55</v>
      </c>
      <c r="N47" s="415">
        <v>10</v>
      </c>
      <c r="O47" s="419">
        <v>3.0999999999999999E-3</v>
      </c>
      <c r="P47" s="415">
        <v>13.8</v>
      </c>
      <c r="Q47" s="420">
        <f>WHEATHARVESTTBL[[#This Row],[Net]]/60</f>
        <v>614.33333333333337</v>
      </c>
      <c r="R47" s="425">
        <v>0</v>
      </c>
      <c r="S47" s="422">
        <v>2.15</v>
      </c>
      <c r="T47" s="422">
        <f>WHEATHARVESTTBL[[#This Row],[GROSS BU]]-WHEATHARVESTTBL[[#This Row],[Dock BU]]</f>
        <v>612.18333333333339</v>
      </c>
      <c r="U47" s="415" t="s">
        <v>300</v>
      </c>
      <c r="V47" s="423" cm="1">
        <f t="array" ref="V47">_xlfn.IFS(WHEATHARVESTTBL[[#This Row],[Shares]]="MCCENT",1,WHEATHARVESTTBL[[#This Row],[Shares]]="SHAREABLE",0.65)</f>
        <v>0.65</v>
      </c>
      <c r="W47" s="424" cm="1">
        <f t="array" ref="W47">_xlfn.IFS(WHEATHARVESTTBL[[#This Row],[Shares]]="MCCENT",0,WHEATHARVESTTBL[[#This Row],[Shares]]="SHAREABLE",0.35)</f>
        <v>0.35</v>
      </c>
      <c r="X47" s="422">
        <f>T47*V47</f>
        <v>397.91916666666674</v>
      </c>
      <c r="Y47" s="422">
        <f>T47*W47</f>
        <v>214.26416666666668</v>
      </c>
      <c r="Z47" s="507"/>
      <c r="AA47" s="507"/>
      <c r="AB47" s="507"/>
    </row>
    <row r="48" spans="1:28" x14ac:dyDescent="0.25">
      <c r="A48" s="496">
        <v>45853</v>
      </c>
      <c r="B48" s="496" t="s">
        <v>539</v>
      </c>
      <c r="C48" s="497"/>
      <c r="D48" s="415" t="s">
        <v>431</v>
      </c>
      <c r="E48" s="415">
        <v>109811</v>
      </c>
      <c r="F48" s="415" t="s">
        <v>74</v>
      </c>
      <c r="G48" s="415" t="s">
        <v>80</v>
      </c>
      <c r="H48" s="415" t="s">
        <v>277</v>
      </c>
      <c r="I48" s="415"/>
      <c r="J48" s="415">
        <v>88480</v>
      </c>
      <c r="K48" s="415">
        <v>57540</v>
      </c>
      <c r="L48" s="426">
        <f t="shared" si="0"/>
        <v>30940</v>
      </c>
      <c r="M48" s="415">
        <v>56</v>
      </c>
      <c r="N48" s="415">
        <v>9.8000000000000007</v>
      </c>
      <c r="O48" s="419">
        <v>2.8999999999999998E-3</v>
      </c>
      <c r="P48" s="416">
        <v>13.5</v>
      </c>
      <c r="Q48" s="420">
        <f>WHEATHARVESTTBL[[#This Row],[Net]]/60</f>
        <v>515.66666666666663</v>
      </c>
      <c r="R48" s="421">
        <v>0</v>
      </c>
      <c r="S48" s="422">
        <v>1.28</v>
      </c>
      <c r="T48" s="422">
        <f>WHEATHARVESTTBL[[#This Row],[GROSS BU]]-WHEATHARVESTTBL[[#This Row],[Dock BU]]</f>
        <v>514.38666666666666</v>
      </c>
      <c r="U48" s="415" t="s">
        <v>300</v>
      </c>
      <c r="V48" s="423" cm="1">
        <f t="array" ref="V48">_xlfn.IFS(WHEATHARVESTTBL[[#This Row],[Shares]]="MCCENT",1,WHEATHARVESTTBL[[#This Row],[Shares]]="SHAREABLE",0.65)</f>
        <v>0.65</v>
      </c>
      <c r="W48" s="424" cm="1">
        <f t="array" ref="W48">_xlfn.IFS(WHEATHARVESTTBL[[#This Row],[Shares]]="MCCENT",0,WHEATHARVESTTBL[[#This Row],[Shares]]="SHAREABLE",0.35)</f>
        <v>0.35</v>
      </c>
      <c r="X48" s="422">
        <f t="shared" si="1"/>
        <v>334.35133333333334</v>
      </c>
      <c r="Y48" s="422">
        <f t="shared" si="2"/>
        <v>180.03533333333331</v>
      </c>
      <c r="Z48" s="507"/>
      <c r="AA48" s="507"/>
      <c r="AB48" s="507"/>
    </row>
    <row r="49" spans="1:28" x14ac:dyDescent="0.25">
      <c r="A49" s="496">
        <v>45887</v>
      </c>
      <c r="B49" s="496" t="s">
        <v>539</v>
      </c>
      <c r="C49" s="497"/>
      <c r="D49" s="415" t="s">
        <v>431</v>
      </c>
      <c r="E49" s="415" t="s">
        <v>551</v>
      </c>
      <c r="F49" s="415" t="s">
        <v>74</v>
      </c>
      <c r="G49" s="415" t="s">
        <v>35</v>
      </c>
      <c r="H49" s="415" t="s">
        <v>258</v>
      </c>
      <c r="I49" s="415"/>
      <c r="J49" s="415">
        <v>85420</v>
      </c>
      <c r="K49" s="416">
        <v>29760</v>
      </c>
      <c r="L49" s="417">
        <f t="shared" si="0"/>
        <v>55660</v>
      </c>
      <c r="M49" s="418">
        <v>54.9</v>
      </c>
      <c r="N49" s="415">
        <v>17.5</v>
      </c>
      <c r="O49" s="419">
        <v>9.1999999999999998E-2</v>
      </c>
      <c r="P49" s="416">
        <v>13.4</v>
      </c>
      <c r="Q49" s="420">
        <f>WHEATHARVESTTBL[[#This Row],[Net]]/60</f>
        <v>927.66666666666663</v>
      </c>
      <c r="R49" s="421">
        <v>0</v>
      </c>
      <c r="S49" s="422">
        <v>159.56</v>
      </c>
      <c r="T49" s="422">
        <f>WHEATHARVESTTBL[[#This Row],[GROSS BU]]-WHEATHARVESTTBL[[#This Row],[Dock BU]]</f>
        <v>768.10666666666657</v>
      </c>
      <c r="U49" s="415" t="s">
        <v>301</v>
      </c>
      <c r="V49" s="423">
        <v>1</v>
      </c>
      <c r="W49" s="424"/>
      <c r="X49" s="422">
        <f t="shared" si="1"/>
        <v>768.10666666666657</v>
      </c>
      <c r="Y49" s="422">
        <f t="shared" si="2"/>
        <v>0</v>
      </c>
      <c r="Z49" s="507"/>
      <c r="AA49" s="507"/>
      <c r="AB49" s="507"/>
    </row>
    <row r="50" spans="1:28" x14ac:dyDescent="0.25">
      <c r="A50" s="496"/>
      <c r="B50" s="496"/>
      <c r="C50" s="497"/>
      <c r="D50" s="415"/>
      <c r="E50" s="415"/>
      <c r="F50" s="415"/>
      <c r="G50" s="415"/>
      <c r="H50" s="415"/>
      <c r="I50" s="415"/>
      <c r="J50" s="415"/>
      <c r="K50" s="416"/>
      <c r="L50" s="417">
        <f t="shared" si="0"/>
        <v>0</v>
      </c>
      <c r="M50" s="418"/>
      <c r="N50" s="415"/>
      <c r="O50" s="419"/>
      <c r="P50" s="416"/>
      <c r="Q50" s="420">
        <f>WHEATHARVESTTBL[[#This Row],[Net]]/60</f>
        <v>0</v>
      </c>
      <c r="R50" s="421">
        <v>0</v>
      </c>
      <c r="S50" s="422"/>
      <c r="T50" s="422"/>
      <c r="U50" s="415"/>
      <c r="V50" s="423"/>
      <c r="W50" s="424"/>
      <c r="X50" s="422">
        <f t="shared" si="1"/>
        <v>0</v>
      </c>
      <c r="Y50" s="422">
        <f t="shared" si="2"/>
        <v>0</v>
      </c>
      <c r="Z50" s="507"/>
      <c r="AA50" s="507"/>
      <c r="AB50" s="507"/>
    </row>
    <row r="51" spans="1:28" x14ac:dyDescent="0.25">
      <c r="A51" s="496"/>
      <c r="B51" s="496"/>
      <c r="C51" s="497"/>
      <c r="D51" s="415"/>
      <c r="E51" s="415"/>
      <c r="F51" s="415"/>
      <c r="G51" s="415"/>
      <c r="H51" s="415"/>
      <c r="I51" s="415"/>
      <c r="J51" s="415"/>
      <c r="K51" s="416"/>
      <c r="L51" s="417">
        <f t="shared" si="0"/>
        <v>0</v>
      </c>
      <c r="M51" s="418"/>
      <c r="N51" s="415"/>
      <c r="O51" s="419"/>
      <c r="P51" s="416"/>
      <c r="Q51" s="434">
        <f>WHEATHARVESTTBL[[#This Row],[Net]]/60</f>
        <v>0</v>
      </c>
      <c r="R51" s="421">
        <v>0</v>
      </c>
      <c r="S51" s="422"/>
      <c r="T51" s="422"/>
      <c r="U51" s="415"/>
      <c r="V51" s="423"/>
      <c r="W51" s="424"/>
      <c r="X51" s="422">
        <f t="shared" si="1"/>
        <v>0</v>
      </c>
      <c r="Y51" s="422">
        <f t="shared" si="2"/>
        <v>0</v>
      </c>
      <c r="Z51" s="507"/>
      <c r="AA51" s="507"/>
      <c r="AB51" s="507"/>
    </row>
    <row r="52" spans="1:28" x14ac:dyDescent="0.25">
      <c r="A52" s="496"/>
      <c r="B52" s="496"/>
      <c r="C52" s="415"/>
      <c r="D52" s="415"/>
      <c r="E52" s="415"/>
      <c r="F52" s="415"/>
      <c r="G52" s="415"/>
      <c r="H52" s="415"/>
      <c r="I52" s="415"/>
      <c r="J52" s="415"/>
      <c r="K52" s="415"/>
      <c r="L52" s="417">
        <f t="shared" ref="L52:L66" si="3">J52-K52</f>
        <v>0</v>
      </c>
      <c r="M52" s="415"/>
      <c r="N52" s="415"/>
      <c r="O52" s="419"/>
      <c r="P52" s="416"/>
      <c r="Q52" s="420">
        <f>WHEATHARVESTTBL[[#This Row],[Net]]/60</f>
        <v>0</v>
      </c>
      <c r="R52" s="421">
        <v>0</v>
      </c>
      <c r="S52" s="558"/>
      <c r="T52" s="667"/>
      <c r="U52" s="418"/>
      <c r="V52" s="423"/>
      <c r="W52" s="424"/>
      <c r="X52" s="422">
        <f t="shared" ref="X52:X66" si="4">T52*V52</f>
        <v>0</v>
      </c>
      <c r="Y52" s="559">
        <f t="shared" ref="Y52:Y66" si="5">T52*W52</f>
        <v>0</v>
      </c>
      <c r="Z52" s="507"/>
      <c r="AA52" s="507"/>
      <c r="AB52" s="507"/>
    </row>
    <row r="53" spans="1:28" x14ac:dyDescent="0.25">
      <c r="A53" s="496"/>
      <c r="B53" s="496"/>
      <c r="C53" s="496"/>
      <c r="D53" s="415"/>
      <c r="E53" s="415"/>
      <c r="F53" s="415"/>
      <c r="G53" s="415"/>
      <c r="H53" s="415"/>
      <c r="I53" s="415"/>
      <c r="J53" s="415"/>
      <c r="K53" s="415"/>
      <c r="L53" s="417">
        <f t="shared" ref="L53:L64" si="6">J53-K53</f>
        <v>0</v>
      </c>
      <c r="M53" s="415"/>
      <c r="N53" s="415"/>
      <c r="O53" s="419"/>
      <c r="P53" s="416"/>
      <c r="Q53" s="420">
        <f>WHEATHARVESTTBL[[#This Row],[Net]]/60</f>
        <v>0</v>
      </c>
      <c r="R53" s="421">
        <v>0</v>
      </c>
      <c r="S53" s="558"/>
      <c r="T53" s="667"/>
      <c r="U53" s="418"/>
      <c r="V53" s="423"/>
      <c r="W53" s="424"/>
      <c r="X53" s="422">
        <f t="shared" ref="X53:X64" si="7">T53*V53</f>
        <v>0</v>
      </c>
      <c r="Y53" s="559">
        <f t="shared" ref="Y53:Y64" si="8">T53*W53</f>
        <v>0</v>
      </c>
      <c r="Z53" s="507"/>
      <c r="AA53" s="507"/>
      <c r="AB53" s="507"/>
    </row>
    <row r="54" spans="1:28" x14ac:dyDescent="0.25">
      <c r="A54" s="496"/>
      <c r="B54" s="496"/>
      <c r="C54" s="496"/>
      <c r="D54" s="415"/>
      <c r="E54" s="415"/>
      <c r="F54" s="415"/>
      <c r="G54" s="415"/>
      <c r="H54" s="415"/>
      <c r="I54" s="415"/>
      <c r="J54" s="415"/>
      <c r="K54" s="415"/>
      <c r="L54" s="417">
        <f t="shared" si="6"/>
        <v>0</v>
      </c>
      <c r="M54" s="415"/>
      <c r="N54" s="415"/>
      <c r="O54" s="419"/>
      <c r="P54" s="416"/>
      <c r="Q54" s="420">
        <f>WHEATHARVESTTBL[[#This Row],[Net]]/60</f>
        <v>0</v>
      </c>
      <c r="R54" s="421">
        <v>0</v>
      </c>
      <c r="S54" s="558"/>
      <c r="T54" s="667"/>
      <c r="U54" s="418"/>
      <c r="V54" s="423"/>
      <c r="W54" s="424"/>
      <c r="X54" s="422">
        <f t="shared" si="7"/>
        <v>0</v>
      </c>
      <c r="Y54" s="559">
        <f t="shared" si="8"/>
        <v>0</v>
      </c>
      <c r="Z54" s="507"/>
      <c r="AA54" s="507"/>
      <c r="AB54" s="507"/>
    </row>
    <row r="55" spans="1:28" x14ac:dyDescent="0.25">
      <c r="A55" s="496"/>
      <c r="B55" s="496"/>
      <c r="C55" s="496"/>
      <c r="D55" s="415"/>
      <c r="E55" s="415"/>
      <c r="F55" s="415"/>
      <c r="G55" s="415"/>
      <c r="H55" s="415"/>
      <c r="I55" s="415"/>
      <c r="J55" s="415"/>
      <c r="K55" s="415"/>
      <c r="L55" s="417">
        <f t="shared" si="6"/>
        <v>0</v>
      </c>
      <c r="M55" s="415"/>
      <c r="N55" s="415"/>
      <c r="O55" s="419"/>
      <c r="P55" s="416"/>
      <c r="Q55" s="420">
        <f>WHEATHARVESTTBL[[#This Row],[Net]]/60</f>
        <v>0</v>
      </c>
      <c r="R55" s="421">
        <v>0</v>
      </c>
      <c r="S55" s="558"/>
      <c r="T55" s="667"/>
      <c r="U55" s="418"/>
      <c r="V55" s="423"/>
      <c r="W55" s="424"/>
      <c r="X55" s="422">
        <f t="shared" si="7"/>
        <v>0</v>
      </c>
      <c r="Y55" s="559">
        <f t="shared" si="8"/>
        <v>0</v>
      </c>
      <c r="Z55" s="507"/>
      <c r="AA55" s="507"/>
      <c r="AB55" s="507"/>
    </row>
    <row r="56" spans="1:28" x14ac:dyDescent="0.25">
      <c r="A56" s="496"/>
      <c r="B56" s="496"/>
      <c r="C56" s="496"/>
      <c r="D56" s="415"/>
      <c r="E56" s="415"/>
      <c r="F56" s="415"/>
      <c r="G56" s="415"/>
      <c r="H56" s="415"/>
      <c r="I56" s="415"/>
      <c r="J56" s="415"/>
      <c r="K56" s="415"/>
      <c r="L56" s="417">
        <f t="shared" si="6"/>
        <v>0</v>
      </c>
      <c r="M56" s="415"/>
      <c r="N56" s="415"/>
      <c r="O56" s="419"/>
      <c r="P56" s="416"/>
      <c r="Q56" s="420">
        <f>WHEATHARVESTTBL[[#This Row],[Net]]/60</f>
        <v>0</v>
      </c>
      <c r="R56" s="421">
        <v>0</v>
      </c>
      <c r="S56" s="558"/>
      <c r="T56" s="667"/>
      <c r="U56" s="418"/>
      <c r="V56" s="423"/>
      <c r="W56" s="424"/>
      <c r="X56" s="422">
        <f t="shared" si="7"/>
        <v>0</v>
      </c>
      <c r="Y56" s="559">
        <f t="shared" si="8"/>
        <v>0</v>
      </c>
      <c r="Z56" s="507"/>
      <c r="AA56" s="507"/>
      <c r="AB56" s="507"/>
    </row>
    <row r="57" spans="1:28" x14ac:dyDescent="0.25">
      <c r="A57" s="496"/>
      <c r="B57" s="496"/>
      <c r="C57" s="496"/>
      <c r="D57" s="415"/>
      <c r="E57" s="415"/>
      <c r="F57" s="415"/>
      <c r="G57" s="415"/>
      <c r="H57" s="415"/>
      <c r="I57" s="415"/>
      <c r="J57" s="415"/>
      <c r="K57" s="415"/>
      <c r="L57" s="417">
        <f t="shared" si="6"/>
        <v>0</v>
      </c>
      <c r="M57" s="415"/>
      <c r="N57" s="415"/>
      <c r="O57" s="419"/>
      <c r="P57" s="416"/>
      <c r="Q57" s="420">
        <f>WHEATHARVESTTBL[[#This Row],[Net]]/60</f>
        <v>0</v>
      </c>
      <c r="R57" s="421">
        <v>0</v>
      </c>
      <c r="S57" s="558"/>
      <c r="T57" s="667"/>
      <c r="U57" s="418"/>
      <c r="V57" s="423"/>
      <c r="W57" s="424"/>
      <c r="X57" s="422">
        <f t="shared" si="7"/>
        <v>0</v>
      </c>
      <c r="Y57" s="559">
        <f t="shared" si="8"/>
        <v>0</v>
      </c>
      <c r="Z57" s="507"/>
      <c r="AA57" s="507"/>
      <c r="AB57" s="507"/>
    </row>
    <row r="58" spans="1:28" x14ac:dyDescent="0.25">
      <c r="A58" s="496"/>
      <c r="B58" s="496"/>
      <c r="C58" s="496"/>
      <c r="D58" s="415"/>
      <c r="E58" s="415"/>
      <c r="F58" s="415"/>
      <c r="G58" s="415"/>
      <c r="H58" s="415"/>
      <c r="I58" s="415"/>
      <c r="J58" s="415"/>
      <c r="K58" s="415"/>
      <c r="L58" s="417">
        <f t="shared" si="6"/>
        <v>0</v>
      </c>
      <c r="M58" s="415"/>
      <c r="N58" s="415"/>
      <c r="O58" s="419"/>
      <c r="P58" s="416"/>
      <c r="Q58" s="420">
        <f>WHEATHARVESTTBL[[#This Row],[Net]]/60</f>
        <v>0</v>
      </c>
      <c r="R58" s="421"/>
      <c r="S58" s="558"/>
      <c r="T58" s="667"/>
      <c r="U58" s="418"/>
      <c r="V58" s="423"/>
      <c r="W58" s="424"/>
      <c r="X58" s="422">
        <f t="shared" si="7"/>
        <v>0</v>
      </c>
      <c r="Y58" s="559">
        <f t="shared" si="8"/>
        <v>0</v>
      </c>
      <c r="Z58" s="507"/>
      <c r="AA58" s="507"/>
      <c r="AB58" s="507"/>
    </row>
    <row r="59" spans="1:28" x14ac:dyDescent="0.25">
      <c r="A59" s="496"/>
      <c r="B59" s="496"/>
      <c r="C59" s="496"/>
      <c r="D59" s="415"/>
      <c r="E59" s="415"/>
      <c r="F59" s="415"/>
      <c r="G59" s="415"/>
      <c r="H59" s="415"/>
      <c r="I59" s="415"/>
      <c r="J59" s="415"/>
      <c r="K59" s="415"/>
      <c r="L59" s="417">
        <f t="shared" si="6"/>
        <v>0</v>
      </c>
      <c r="M59" s="415"/>
      <c r="N59" s="415"/>
      <c r="O59" s="419"/>
      <c r="P59" s="416"/>
      <c r="Q59" s="420">
        <f>WHEATHARVESTTBL[[#This Row],[Net]]/60</f>
        <v>0</v>
      </c>
      <c r="R59" s="421">
        <v>0</v>
      </c>
      <c r="S59" s="558"/>
      <c r="T59" s="667"/>
      <c r="U59" s="418"/>
      <c r="V59" s="423"/>
      <c r="W59" s="424"/>
      <c r="X59" s="422">
        <f t="shared" si="7"/>
        <v>0</v>
      </c>
      <c r="Y59" s="559">
        <f t="shared" si="8"/>
        <v>0</v>
      </c>
      <c r="Z59" s="507"/>
      <c r="AA59" s="507"/>
      <c r="AB59" s="507"/>
    </row>
    <row r="60" spans="1:28" x14ac:dyDescent="0.25">
      <c r="A60" s="496"/>
      <c r="B60" s="496"/>
      <c r="C60" s="496"/>
      <c r="D60" s="415"/>
      <c r="E60" s="415"/>
      <c r="F60" s="415"/>
      <c r="G60" s="415"/>
      <c r="H60" s="415"/>
      <c r="I60" s="415"/>
      <c r="J60" s="415"/>
      <c r="K60" s="415"/>
      <c r="L60" s="417">
        <f t="shared" si="6"/>
        <v>0</v>
      </c>
      <c r="M60" s="415"/>
      <c r="N60" s="415"/>
      <c r="O60" s="419"/>
      <c r="P60" s="416"/>
      <c r="Q60" s="420">
        <f>WHEATHARVESTTBL[[#This Row],[Net]]/60</f>
        <v>0</v>
      </c>
      <c r="R60" s="421">
        <v>0</v>
      </c>
      <c r="S60" s="558"/>
      <c r="T60" s="667"/>
      <c r="U60" s="418"/>
      <c r="V60" s="423"/>
      <c r="W60" s="424"/>
      <c r="X60" s="422">
        <f t="shared" si="7"/>
        <v>0</v>
      </c>
      <c r="Y60" s="559">
        <f t="shared" si="8"/>
        <v>0</v>
      </c>
      <c r="Z60" s="507"/>
      <c r="AA60" s="507"/>
      <c r="AB60" s="507"/>
    </row>
    <row r="61" spans="1:28" x14ac:dyDescent="0.25">
      <c r="A61" s="496"/>
      <c r="B61" s="496"/>
      <c r="C61" s="496"/>
      <c r="D61" s="415"/>
      <c r="E61" s="415"/>
      <c r="F61" s="415"/>
      <c r="G61" s="415"/>
      <c r="H61" s="415"/>
      <c r="I61" s="415"/>
      <c r="J61" s="415"/>
      <c r="K61" s="415"/>
      <c r="L61" s="417">
        <f t="shared" si="6"/>
        <v>0</v>
      </c>
      <c r="M61" s="415"/>
      <c r="N61" s="415"/>
      <c r="O61" s="419"/>
      <c r="P61" s="416"/>
      <c r="Q61" s="420">
        <f>WHEATHARVESTTBL[[#This Row],[Net]]/60</f>
        <v>0</v>
      </c>
      <c r="R61" s="421">
        <v>0</v>
      </c>
      <c r="S61" s="558"/>
      <c r="T61" s="667"/>
      <c r="U61" s="418"/>
      <c r="V61" s="423"/>
      <c r="W61" s="424"/>
      <c r="X61" s="422">
        <f t="shared" si="7"/>
        <v>0</v>
      </c>
      <c r="Y61" s="559">
        <f t="shared" si="8"/>
        <v>0</v>
      </c>
      <c r="Z61" s="507"/>
      <c r="AA61" s="507"/>
      <c r="AB61" s="507"/>
    </row>
    <row r="62" spans="1:28" x14ac:dyDescent="0.25">
      <c r="A62" s="496"/>
      <c r="B62" s="496"/>
      <c r="C62" s="496"/>
      <c r="D62" s="415"/>
      <c r="E62" s="415"/>
      <c r="F62" s="415"/>
      <c r="G62" s="415"/>
      <c r="H62" s="415"/>
      <c r="I62" s="415"/>
      <c r="J62" s="415"/>
      <c r="K62" s="415"/>
      <c r="L62" s="417">
        <f t="shared" si="6"/>
        <v>0</v>
      </c>
      <c r="M62" s="415"/>
      <c r="N62" s="415"/>
      <c r="O62" s="419"/>
      <c r="P62" s="416"/>
      <c r="Q62" s="420">
        <f>WHEATHARVESTTBL[[#This Row],[Net]]/60</f>
        <v>0</v>
      </c>
      <c r="R62" s="421">
        <v>0</v>
      </c>
      <c r="S62" s="558"/>
      <c r="T62" s="667"/>
      <c r="U62" s="418"/>
      <c r="V62" s="423"/>
      <c r="W62" s="424"/>
      <c r="X62" s="422">
        <f t="shared" si="7"/>
        <v>0</v>
      </c>
      <c r="Y62" s="559">
        <f t="shared" si="8"/>
        <v>0</v>
      </c>
      <c r="Z62" s="507"/>
      <c r="AA62" s="507"/>
      <c r="AB62" s="507"/>
    </row>
    <row r="63" spans="1:28" x14ac:dyDescent="0.25">
      <c r="A63" s="496"/>
      <c r="B63" s="496"/>
      <c r="C63" s="496"/>
      <c r="D63" s="415"/>
      <c r="E63" s="415"/>
      <c r="F63" s="415"/>
      <c r="G63" s="415"/>
      <c r="H63" s="415"/>
      <c r="I63" s="415"/>
      <c r="J63" s="415"/>
      <c r="K63" s="415"/>
      <c r="L63" s="417">
        <f t="shared" si="6"/>
        <v>0</v>
      </c>
      <c r="M63" s="415"/>
      <c r="N63" s="415"/>
      <c r="O63" s="419"/>
      <c r="P63" s="416"/>
      <c r="Q63" s="420">
        <f>WHEATHARVESTTBL[[#This Row],[Net]]/60</f>
        <v>0</v>
      </c>
      <c r="R63" s="421">
        <v>0</v>
      </c>
      <c r="S63" s="558"/>
      <c r="T63" s="667"/>
      <c r="U63" s="418"/>
      <c r="V63" s="423"/>
      <c r="W63" s="424"/>
      <c r="X63" s="422">
        <f t="shared" si="7"/>
        <v>0</v>
      </c>
      <c r="Y63" s="559">
        <f t="shared" si="8"/>
        <v>0</v>
      </c>
      <c r="Z63" s="507"/>
      <c r="AA63" s="507"/>
      <c r="AB63" s="507"/>
    </row>
    <row r="64" spans="1:28" x14ac:dyDescent="0.25">
      <c r="A64" s="496"/>
      <c r="B64" s="496"/>
      <c r="C64" s="496"/>
      <c r="D64" s="415"/>
      <c r="E64" s="415"/>
      <c r="F64" s="415"/>
      <c r="G64" s="415"/>
      <c r="H64" s="415"/>
      <c r="I64" s="415"/>
      <c r="J64" s="415"/>
      <c r="K64" s="415"/>
      <c r="L64" s="417">
        <f t="shared" si="6"/>
        <v>0</v>
      </c>
      <c r="M64" s="415"/>
      <c r="N64" s="415"/>
      <c r="O64" s="419"/>
      <c r="P64" s="416"/>
      <c r="Q64" s="420">
        <f>WHEATHARVESTTBL[[#This Row],[Net]]/60</f>
        <v>0</v>
      </c>
      <c r="R64" s="421">
        <v>0</v>
      </c>
      <c r="S64" s="558"/>
      <c r="T64" s="667"/>
      <c r="U64" s="418"/>
      <c r="V64" s="423"/>
      <c r="W64" s="424"/>
      <c r="X64" s="422">
        <f t="shared" si="7"/>
        <v>0</v>
      </c>
      <c r="Y64" s="559">
        <f t="shared" si="8"/>
        <v>0</v>
      </c>
      <c r="Z64" s="507"/>
      <c r="AA64" s="507"/>
      <c r="AB64" s="507"/>
    </row>
    <row r="65" spans="1:28" x14ac:dyDescent="0.25">
      <c r="A65" s="496"/>
      <c r="B65" s="496"/>
      <c r="C65" s="415"/>
      <c r="D65" s="415"/>
      <c r="E65" s="415"/>
      <c r="F65" s="415"/>
      <c r="G65" s="415"/>
      <c r="H65" s="415"/>
      <c r="I65" s="415"/>
      <c r="J65" s="415"/>
      <c r="K65" s="415"/>
      <c r="L65" s="417">
        <f t="shared" si="3"/>
        <v>0</v>
      </c>
      <c r="M65" s="415"/>
      <c r="N65" s="415"/>
      <c r="O65" s="419"/>
      <c r="P65" s="416"/>
      <c r="Q65" s="420">
        <f>WHEATHARVESTTBL[[#This Row],[Net]]/60</f>
        <v>0</v>
      </c>
      <c r="R65" s="421">
        <v>0</v>
      </c>
      <c r="S65" s="558"/>
      <c r="T65" s="667"/>
      <c r="U65" s="418"/>
      <c r="V65" s="423"/>
      <c r="W65" s="424"/>
      <c r="X65" s="422">
        <f t="shared" si="4"/>
        <v>0</v>
      </c>
      <c r="Y65" s="559">
        <f t="shared" si="5"/>
        <v>0</v>
      </c>
      <c r="Z65" s="507"/>
      <c r="AA65" s="507"/>
      <c r="AB65" s="507"/>
    </row>
    <row r="66" spans="1:28" x14ac:dyDescent="0.25">
      <c r="A66" s="496"/>
      <c r="B66" s="496"/>
      <c r="C66" s="415"/>
      <c r="D66" s="415"/>
      <c r="E66" s="415"/>
      <c r="F66" s="415"/>
      <c r="G66" s="415"/>
      <c r="H66" s="415"/>
      <c r="I66" s="415"/>
      <c r="J66" s="415"/>
      <c r="K66" s="415"/>
      <c r="L66" s="417">
        <f t="shared" si="3"/>
        <v>0</v>
      </c>
      <c r="M66" s="415"/>
      <c r="N66" s="415"/>
      <c r="O66" s="419"/>
      <c r="P66" s="416"/>
      <c r="Q66" s="420">
        <f>WHEATHARVESTTBL[[#This Row],[Net]]/60</f>
        <v>0</v>
      </c>
      <c r="R66" s="421">
        <v>0</v>
      </c>
      <c r="S66" s="558"/>
      <c r="T66" s="667"/>
      <c r="U66" s="418"/>
      <c r="V66" s="423"/>
      <c r="W66" s="424"/>
      <c r="X66" s="422">
        <f t="shared" si="4"/>
        <v>0</v>
      </c>
      <c r="Y66" s="559">
        <f t="shared" si="5"/>
        <v>0</v>
      </c>
      <c r="Z66" s="507"/>
      <c r="AA66" s="507"/>
      <c r="AB66" s="507"/>
    </row>
    <row r="67" spans="1:28" x14ac:dyDescent="0.25">
      <c r="A67" s="496"/>
      <c r="B67" s="496"/>
      <c r="C67" s="415"/>
      <c r="D67" s="415"/>
      <c r="E67" s="415"/>
      <c r="F67" s="415"/>
      <c r="G67" s="415"/>
      <c r="H67" s="415"/>
      <c r="I67" s="415"/>
      <c r="J67" s="415"/>
      <c r="K67" s="415"/>
      <c r="L67" s="417">
        <f>J67-K67</f>
        <v>0</v>
      </c>
      <c r="M67" s="415"/>
      <c r="N67" s="415"/>
      <c r="O67" s="419"/>
      <c r="P67" s="416"/>
      <c r="Q67" s="420">
        <f>WHEATHARVESTTBL[[#This Row],[Net]]/60</f>
        <v>0</v>
      </c>
      <c r="R67" s="421">
        <v>0</v>
      </c>
      <c r="S67" s="558"/>
      <c r="T67" s="667"/>
      <c r="U67" s="418"/>
      <c r="V67" s="423"/>
      <c r="W67" s="424"/>
      <c r="X67" s="422">
        <f>T67*V67</f>
        <v>0</v>
      </c>
      <c r="Y67" s="559">
        <f>T67*W67</f>
        <v>0</v>
      </c>
      <c r="Z67" s="507"/>
      <c r="AA67" s="507"/>
      <c r="AB67" s="507"/>
    </row>
    <row r="68" spans="1:28" x14ac:dyDescent="0.25">
      <c r="A68" s="496"/>
      <c r="B68" s="496"/>
      <c r="C68" s="415"/>
      <c r="D68" s="415"/>
      <c r="E68" s="415"/>
      <c r="F68" s="415"/>
      <c r="G68" s="415"/>
      <c r="H68" s="415"/>
      <c r="I68" s="415"/>
      <c r="J68" s="415"/>
      <c r="K68" s="415"/>
      <c r="L68" s="417">
        <f>J68-K68</f>
        <v>0</v>
      </c>
      <c r="M68" s="415"/>
      <c r="N68" s="415"/>
      <c r="O68" s="419"/>
      <c r="P68" s="416"/>
      <c r="Q68" s="420">
        <f>WHEATHARVESTTBL[[#This Row],[Net]]/60</f>
        <v>0</v>
      </c>
      <c r="R68" s="421">
        <v>0</v>
      </c>
      <c r="S68" s="558"/>
      <c r="T68" s="667"/>
      <c r="U68" s="418"/>
      <c r="V68" s="423"/>
      <c r="W68" s="424"/>
      <c r="X68" s="422">
        <f>T68*V68</f>
        <v>0</v>
      </c>
      <c r="Y68" s="559">
        <f>T68*W68</f>
        <v>0</v>
      </c>
      <c r="Z68" s="507"/>
      <c r="AA68" s="507"/>
      <c r="AB68" s="507"/>
    </row>
    <row r="69" spans="1:28" x14ac:dyDescent="0.25">
      <c r="A69" s="496"/>
      <c r="B69" s="496"/>
      <c r="C69" s="497"/>
      <c r="D69" s="415"/>
      <c r="E69" s="415"/>
      <c r="F69" s="415"/>
      <c r="G69" s="415"/>
      <c r="H69" s="415"/>
      <c r="I69" s="415"/>
      <c r="J69" s="415"/>
      <c r="K69" s="416"/>
      <c r="L69" s="417">
        <f t="shared" si="0"/>
        <v>0</v>
      </c>
      <c r="M69" s="418"/>
      <c r="N69" s="415"/>
      <c r="O69" s="419"/>
      <c r="P69" s="416"/>
      <c r="Q69" s="434">
        <f>WHEATHARVESTTBL[[#This Row],[Net]]/60</f>
        <v>0</v>
      </c>
      <c r="R69" s="421">
        <v>0</v>
      </c>
      <c r="S69" s="422"/>
      <c r="T69" s="422"/>
      <c r="U69" s="415"/>
      <c r="V69" s="423"/>
      <c r="W69" s="424"/>
      <c r="X69" s="422">
        <f t="shared" si="1"/>
        <v>0</v>
      </c>
      <c r="Y69" s="422">
        <f t="shared" si="2"/>
        <v>0</v>
      </c>
      <c r="Z69" s="507"/>
      <c r="AA69" s="507"/>
      <c r="AB69" s="507"/>
    </row>
    <row r="70" spans="1:28" x14ac:dyDescent="0.25">
      <c r="A70" s="496"/>
      <c r="B70" s="496"/>
      <c r="C70" s="497"/>
      <c r="D70" s="415"/>
      <c r="E70" s="415"/>
      <c r="F70" s="415"/>
      <c r="G70" s="415"/>
      <c r="H70" s="415"/>
      <c r="I70" s="415"/>
      <c r="J70" s="415"/>
      <c r="K70" s="416"/>
      <c r="L70" s="417">
        <f t="shared" si="0"/>
        <v>0</v>
      </c>
      <c r="M70" s="418"/>
      <c r="N70" s="415"/>
      <c r="O70" s="419"/>
      <c r="P70" s="416"/>
      <c r="Q70" s="434">
        <f>WHEATHARVESTTBL[[#This Row],[Net]]/60</f>
        <v>0</v>
      </c>
      <c r="R70" s="421">
        <v>0</v>
      </c>
      <c r="S70" s="422"/>
      <c r="T70" s="422"/>
      <c r="U70" s="415"/>
      <c r="V70" s="423"/>
      <c r="W70" s="424"/>
      <c r="X70" s="422">
        <f t="shared" si="1"/>
        <v>0</v>
      </c>
      <c r="Y70" s="427">
        <f t="shared" si="2"/>
        <v>0</v>
      </c>
      <c r="Z70" s="507"/>
      <c r="AA70" s="507"/>
      <c r="AB70" s="507"/>
    </row>
    <row r="71" spans="1:28" s="512" customFormat="1" ht="18.75" x14ac:dyDescent="0.25">
      <c r="A71" s="376" t="s">
        <v>468</v>
      </c>
      <c r="B71" s="376"/>
      <c r="C71" s="376"/>
      <c r="D71" s="376"/>
      <c r="E71" s="376"/>
      <c r="F71" s="376"/>
      <c r="G71" s="376"/>
      <c r="H71" s="376"/>
      <c r="I71" s="376"/>
      <c r="J71" s="376"/>
      <c r="K71" s="376"/>
      <c r="L71" s="376">
        <f>SUBTOTAL(109,WHEATHARVESTTBL[Net])</f>
        <v>1300800</v>
      </c>
      <c r="M71" s="376"/>
      <c r="N71" s="376"/>
      <c r="O71" s="377">
        <f>SUBTOTAL(101,WHEATHARVESTTBL[Dock])</f>
        <v>1.0747999999999997E-2</v>
      </c>
      <c r="P71" s="378">
        <f>SUBTOTAL(101,WHEATHARVESTTBL[Prot])</f>
        <v>13.820000000000002</v>
      </c>
      <c r="Q71" s="378">
        <f>SUBTOTAL(109,WHEATHARVESTTBL[GROSS BU])</f>
        <v>21679.999999999996</v>
      </c>
      <c r="R71" s="376"/>
      <c r="S71" s="378">
        <f>SUBTOTAL(109,S25:S70)</f>
        <v>306.18</v>
      </c>
      <c r="T71" s="378">
        <f>SUBTOTAL(109,WHEATHARVESTTBL[Net Bushels])</f>
        <v>21373.82</v>
      </c>
      <c r="U71" s="376"/>
      <c r="V71" s="376"/>
      <c r="W71" s="376"/>
      <c r="X71" s="408">
        <f>SUBTOTAL(109,WHEATHARVESTTBL[MCC. ENT. BU])</f>
        <v>14161.820333333333</v>
      </c>
      <c r="Y71" s="378">
        <f>SUBTOTAL(109,WHEATHARVESTTBL[L.L. BU])</f>
        <v>7211.9996666666657</v>
      </c>
      <c r="Z71" s="511"/>
      <c r="AA71" s="511"/>
      <c r="AB71" s="511"/>
    </row>
    <row r="72" spans="1:28" ht="15" customHeight="1" x14ac:dyDescent="0.25">
      <c r="A72" s="464" t="s">
        <v>282</v>
      </c>
      <c r="B72" s="464" t="s">
        <v>335</v>
      </c>
      <c r="C72" s="513"/>
      <c r="D72" s="513"/>
      <c r="E72" s="513"/>
      <c r="F72" s="513"/>
      <c r="G72" s="513"/>
      <c r="H72" s="513"/>
      <c r="I72" s="514"/>
      <c r="J72" s="514"/>
      <c r="K72" s="514"/>
      <c r="L72" s="514"/>
      <c r="M72" s="514"/>
      <c r="N72" s="514"/>
      <c r="O72" s="514"/>
      <c r="P72" s="514"/>
      <c r="Q72" s="514"/>
      <c r="R72" s="514"/>
      <c r="S72" s="514"/>
      <c r="T72" s="514"/>
      <c r="U72" s="514"/>
      <c r="V72" s="507"/>
      <c r="W72" s="507"/>
      <c r="X72" s="507"/>
      <c r="Y72" s="507"/>
      <c r="Z72" s="507"/>
      <c r="AA72" s="507"/>
      <c r="AB72" s="507"/>
    </row>
    <row r="73" spans="1:28" ht="15" customHeight="1" x14ac:dyDescent="0.25">
      <c r="A73" s="464" t="s">
        <v>295</v>
      </c>
      <c r="B73" s="464">
        <v>2025</v>
      </c>
      <c r="C73" s="513"/>
      <c r="D73" s="513"/>
      <c r="E73" s="513"/>
      <c r="F73" s="513"/>
      <c r="G73" s="513"/>
      <c r="H73" s="513"/>
      <c r="I73" s="514"/>
      <c r="J73" s="514"/>
      <c r="K73" s="514"/>
      <c r="L73" s="514"/>
      <c r="M73" s="514"/>
      <c r="N73" s="514"/>
      <c r="O73" s="514"/>
      <c r="P73" s="514"/>
      <c r="Q73" s="514"/>
      <c r="R73" s="514"/>
      <c r="S73" s="514"/>
      <c r="T73" s="514"/>
      <c r="U73" s="514"/>
      <c r="V73" s="507"/>
      <c r="W73" s="507"/>
      <c r="X73" s="507"/>
      <c r="Y73" s="507"/>
      <c r="Z73" s="507"/>
      <c r="AA73" s="507"/>
      <c r="AB73" s="507"/>
    </row>
    <row r="74" spans="1:28" x14ac:dyDescent="0.25">
      <c r="A74" s="498" t="s">
        <v>481</v>
      </c>
      <c r="B74" s="498" t="s">
        <v>482</v>
      </c>
      <c r="C74" s="498" t="s">
        <v>118</v>
      </c>
      <c r="D74" s="498" t="s">
        <v>119</v>
      </c>
      <c r="E74" s="498" t="s">
        <v>483</v>
      </c>
      <c r="F74" s="498" t="s">
        <v>484</v>
      </c>
      <c r="G74" s="498" t="s">
        <v>485</v>
      </c>
      <c r="H74" s="498" t="s">
        <v>123</v>
      </c>
      <c r="I74" s="498" t="s">
        <v>478</v>
      </c>
      <c r="J74" s="498" t="s">
        <v>486</v>
      </c>
      <c r="K74" s="498" t="s">
        <v>487</v>
      </c>
      <c r="L74" s="498" t="s">
        <v>488</v>
      </c>
      <c r="M74" s="498" t="s">
        <v>489</v>
      </c>
      <c r="N74" s="498" t="s">
        <v>490</v>
      </c>
      <c r="O74" s="498" t="s">
        <v>552</v>
      </c>
      <c r="P74" s="498" t="s">
        <v>553</v>
      </c>
      <c r="Q74" s="498" t="s">
        <v>554</v>
      </c>
      <c r="R74" s="498" t="s">
        <v>555</v>
      </c>
      <c r="S74" s="498" t="s">
        <v>556</v>
      </c>
      <c r="T74" s="498" t="s">
        <v>557</v>
      </c>
      <c r="U74" s="498" t="s">
        <v>558</v>
      </c>
      <c r="V74" s="507"/>
      <c r="W74" s="507"/>
      <c r="X74" s="507"/>
      <c r="Y74" s="507"/>
      <c r="Z74" s="507"/>
      <c r="AA74" s="507"/>
      <c r="AB74" s="507"/>
    </row>
    <row r="75" spans="1:28" s="160" customFormat="1" ht="15.75" x14ac:dyDescent="0.25">
      <c r="A75" s="647" t="s">
        <v>20</v>
      </c>
      <c r="B75" s="647" t="s">
        <v>21</v>
      </c>
      <c r="C75" s="655" t="s">
        <v>153</v>
      </c>
      <c r="D75" s="99">
        <f>VLOOKUP(WheatYield40[[#This Row],[Field]],FFTBL[[Field]:[COUNTY]],2,FALSE)</f>
        <v>74.900000000000006</v>
      </c>
      <c r="E75" s="99" t="str">
        <f>VLOOKUP(WheatYield40[[#This Row],[Field]],FFTBL[[Field]:[COUNTY]],3,FALSE)</f>
        <v>SE4 14-7-48</v>
      </c>
      <c r="F75" s="99">
        <f>VLOOKUP(WheatYield40[[#This Row],[Field]],FFTBL[[Field]:[COUNTY]],4,FALSE)</f>
        <v>3438</v>
      </c>
      <c r="G75" s="99">
        <f>VLOOKUP(WheatYield40[[#This Row],[Field]],FFTBL[[Field]:[COUNTY]],5,FALSE)</f>
        <v>3460</v>
      </c>
      <c r="H75" s="100" t="str">
        <f>IFERROR(VLOOKUP(WheatYield40[[#This Row],[Field]],FFTBL[[Field]:[COUNTY2]],7,FALSE),"-")</f>
        <v>LOGAN</v>
      </c>
      <c r="I75" s="100" t="s">
        <v>308</v>
      </c>
      <c r="J75" s="100">
        <f>IFERROR(WheatYield40[[#This Row],[Total Bushels]]/WheatYield40[[#This Row],[Acres]],"")</f>
        <v>41.867512238540279</v>
      </c>
      <c r="K75" s="100">
        <f>SUMIF(WHEATHARVESTTBL[Field],WheatYield40[[#This Row],[Field]],WHEATHARVESTTBL[Net])</f>
        <v>189580</v>
      </c>
      <c r="L75" s="100">
        <f>SUMIF(WHEATHARVESTTBL[Field],WheatYield40[[#This Row],[Field]],WHEATHARVESTTBL[Net Bushels])</f>
        <v>3135.876666666667</v>
      </c>
      <c r="M75" s="100">
        <f>SUMIFS(WHEATHARVESTTBL[MCC. ENT. BU],WHEATHARVESTTBL[Field],WheatYield40[[#This Row],[Field]])</f>
        <v>2038.3198333333335</v>
      </c>
      <c r="N75" s="111">
        <f>SUMIFS(WHEATHARVESTTBL[L.L. BU],WHEATHARVESTTBL[Field],WheatYield40[[#This Row],[Field]])</f>
        <v>1097.5568333333333</v>
      </c>
      <c r="O75" s="147">
        <f>SUMIFS(EXPENSETBL45[TOTAL],EXPENSETBL45[FIELD],WheatYield40[[#This Row],[Field]],EXPENSETBL45[CROP],$A$73,EXPENSETBL45[YEAR],$B$73)</f>
        <v>0</v>
      </c>
      <c r="P75" s="147">
        <f>IFERROR((WheatYield40[[#This Row],[TOTAL EXP]]/WheatYield40[[#This Row],[Total Bushels]]),"-")</f>
        <v>0</v>
      </c>
      <c r="Q75" s="147">
        <f>SUMIFS(EXPENSETBL45[$M.E.],EXPENSETBL45[FIELD],WheatYield40[[#This Row],[Field]],EXPENSETBL45[CROP],$A$73,EXPENSETBL45[YEAR],$B$73)</f>
        <v>0</v>
      </c>
      <c r="R75" s="147">
        <f>IFERROR((WheatYield40[[#This Row],[TOTME]]/WheatYield40[[#This Row],[Total MCCENT]]),"-")</f>
        <v>0</v>
      </c>
      <c r="S75" s="147">
        <f>SUMIFS(EXPENSETBL45[$L.L.],EXPENSETBL45[FIELD],WheatYield40[[#This Row],[Field]],EXPENSETBL45[CROP],$A$73,EXPENSETBL45[YEAR],$B$73)</f>
        <v>0</v>
      </c>
      <c r="T75" s="147">
        <f>IFERROR((WheatYield40[[#This Row],[TOT LL]]/WheatYield40[[#This Row],[Total L.L.]]),"-")</f>
        <v>0</v>
      </c>
      <c r="U75" s="100">
        <f>SUMIFS(WHEATHARVESTTBL[Net],WHEATHARVESTTBL[Field],WheatYield40[[#This Row],[Field]])/60</f>
        <v>3159.6666666666665</v>
      </c>
      <c r="V75" s="515"/>
      <c r="W75" s="515"/>
      <c r="X75" s="515"/>
      <c r="Y75" s="515"/>
      <c r="Z75" s="515"/>
      <c r="AA75" s="515"/>
      <c r="AB75" s="515"/>
    </row>
    <row r="76" spans="1:28" s="160" customFormat="1" ht="15.75" x14ac:dyDescent="0.25">
      <c r="A76" s="568" t="s">
        <v>20</v>
      </c>
      <c r="B76" s="568" t="s">
        <v>80</v>
      </c>
      <c r="C76" s="637" t="s">
        <v>277</v>
      </c>
      <c r="D76" s="99">
        <f>VLOOKUP(WheatYield40[[#This Row],[Field]],FFTBL[[Field]:[COUNTY]],2,FALSE)</f>
        <v>78.8</v>
      </c>
      <c r="E76" s="99" t="str">
        <f>VLOOKUP(WheatYield40[[#This Row],[Field]],FFTBL[[Field]:[COUNTY]],3,FALSE)</f>
        <v>NE4 28-7-48</v>
      </c>
      <c r="F76" s="99">
        <f>VLOOKUP(WheatYield40[[#This Row],[Field]],FFTBL[[Field]:[COUNTY]],4,FALSE)</f>
        <v>4114</v>
      </c>
      <c r="G76" s="99">
        <f>VLOOKUP(WheatYield40[[#This Row],[Field]],FFTBL[[Field]:[COUNTY]],5,FALSE)</f>
        <v>4048</v>
      </c>
      <c r="H76" s="99" t="str">
        <f>IFERROR(VLOOKUP(WheatYield40[[#This Row],[Field]],FFTBL[[Field]:[COUNTY2]],7,FALSE),"-")</f>
        <v>LOGAN</v>
      </c>
      <c r="I76" s="99" t="s">
        <v>310</v>
      </c>
      <c r="J76" s="99">
        <f>IFERROR(WheatYield40[[#This Row],[Total Bushels]]/WheatYield40[[#This Row],[Acres]],"")</f>
        <v>35.314974619289345</v>
      </c>
      <c r="K76" s="99">
        <f>SUMIF(WHEATHARVESTTBL[Field],WheatYield40[[#This Row],[Field]],WHEATHARVESTTBL[Net])</f>
        <v>168000</v>
      </c>
      <c r="L76" s="99">
        <f>SUMIF(WHEATHARVESTTBL[Field],WheatYield40[[#This Row],[Field]],WHEATHARVESTTBL[Net Bushels])</f>
        <v>2782.82</v>
      </c>
      <c r="M76" s="99">
        <f>SUMIFS(WHEATHARVESTTBL[MCC. ENT. BU],WHEATHARVESTTBL[Field],WheatYield40[[#This Row],[Field]])</f>
        <v>1808.8330000000001</v>
      </c>
      <c r="N76" s="99">
        <f>SUMIFS(WHEATHARVESTTBL[L.L. BU],WHEATHARVESTTBL[Field],WheatYield40[[#This Row],[Field]])</f>
        <v>973.98700000000008</v>
      </c>
      <c r="O76" s="198">
        <f>SUMIFS(EXPENSETBL45[TOTAL],EXPENSETBL45[FIELD],WheatYield40[[#This Row],[Field]],EXPENSETBL45[CROP],$A$73,EXPENSETBL45[YEAR],$B$73)</f>
        <v>0</v>
      </c>
      <c r="P76" s="198">
        <f>IFERROR((WheatYield40[[#This Row],[TOTAL EXP]]/WheatYield40[[#This Row],[Total Bushels]]),"-")</f>
        <v>0</v>
      </c>
      <c r="Q76" s="198">
        <f>SUMIFS(EXPENSETBL45[$M.E.],EXPENSETBL45[FIELD],WheatYield40[[#This Row],[Field]],EXPENSETBL45[CROP],$A$73,EXPENSETBL45[YEAR],$B$73)</f>
        <v>0</v>
      </c>
      <c r="R76" s="198">
        <f>IFERROR((WheatYield40[[#This Row],[TOTME]]/WheatYield40[[#This Row],[Total MCCENT]]),"-")</f>
        <v>0</v>
      </c>
      <c r="S76" s="198">
        <f>SUMIFS(EXPENSETBL45[$L.L.],EXPENSETBL45[FIELD],WheatYield40[[#This Row],[Field]],EXPENSETBL45[CROP],$A$73,EXPENSETBL45[YEAR],$B$73)</f>
        <v>0</v>
      </c>
      <c r="T76" s="198">
        <f>IFERROR((WheatYield40[[#This Row],[TOT LL]]/WheatYield40[[#This Row],[Total L.L.]]),"-")</f>
        <v>0</v>
      </c>
      <c r="U76" s="99">
        <f>SUMIFS(WHEATHARVESTTBL[Net],WHEATHARVESTTBL[Field],WheatYield40[[#This Row],[Field]])/60</f>
        <v>2800</v>
      </c>
      <c r="V76" s="515"/>
      <c r="W76" s="515"/>
      <c r="X76" s="515"/>
      <c r="Y76" s="515"/>
      <c r="Z76" s="515"/>
      <c r="AA76" s="515"/>
      <c r="AB76" s="515"/>
    </row>
    <row r="77" spans="1:28" s="160" customFormat="1" ht="15.75" x14ac:dyDescent="0.25">
      <c r="A77" s="568" t="s">
        <v>20</v>
      </c>
      <c r="B77" s="568" t="s">
        <v>32</v>
      </c>
      <c r="C77" s="568" t="s">
        <v>235</v>
      </c>
      <c r="D77" s="99">
        <f>VLOOKUP(WheatYield40[[#This Row],[Field]],FFTBL[[Field]:[COUNTY]],2,FALSE)</f>
        <v>78.400000000000006</v>
      </c>
      <c r="E77" s="99" t="str">
        <f>VLOOKUP(WheatYield40[[#This Row],[Field]],FFTBL[[Field]:[COUNTY]],3,FALSE)</f>
        <v>NE4 11-8-47</v>
      </c>
      <c r="F77" s="99">
        <f>VLOOKUP(WheatYield40[[#This Row],[Field]],FFTBL[[Field]:[COUNTY]],4,FALSE)</f>
        <v>2522</v>
      </c>
      <c r="G77" s="99">
        <f>VLOOKUP(WheatYield40[[#This Row],[Field]],FFTBL[[Field]:[COUNTY]],5,FALSE)</f>
        <v>1521</v>
      </c>
      <c r="H77" s="99" t="str">
        <f>IFERROR(VLOOKUP(WheatYield40[[#This Row],[Field]],FFTBL[[Field]:[COUNTY2]],7,FALSE),"-")</f>
        <v>PHILLIPS</v>
      </c>
      <c r="I77" s="99" t="s">
        <v>306</v>
      </c>
      <c r="J77" s="99">
        <f>IFERROR(WheatYield40[[#This Row],[Total Bushels]]/WheatYield40[[#This Row],[Acres]],"")</f>
        <v>64.954379251700672</v>
      </c>
      <c r="K77" s="99">
        <f>SUMIF(WHEATHARVESTTBL[Field],WheatYield40[[#This Row],[Field]],WHEATHARVESTTBL[Net])</f>
        <v>309200</v>
      </c>
      <c r="L77" s="99">
        <f>SUMIF(WHEATHARVESTTBL[Field],WheatYield40[[#This Row],[Field]],WHEATHARVESTTBL[Net Bushels])</f>
        <v>5092.4233333333332</v>
      </c>
      <c r="M77" s="99">
        <f>SUMIFS(WHEATHARVESTTBL[MCC. ENT. BU],WHEATHARVESTTBL[Field],WheatYield40[[#This Row],[Field]])</f>
        <v>3310.0751666666674</v>
      </c>
      <c r="N77" s="99">
        <f>SUMIFS(WHEATHARVESTTBL[L.L. BU],WHEATHARVESTTBL[Field],WheatYield40[[#This Row],[Field]])</f>
        <v>1782.3481666666664</v>
      </c>
      <c r="O77" s="198">
        <f>SUMIFS(EXPENSETBL45[TOTAL],EXPENSETBL45[FIELD],WheatYield40[[#This Row],[Field]],EXPENSETBL45[CROP],$A$73,EXPENSETBL45[YEAR],$B$73)</f>
        <v>0</v>
      </c>
      <c r="P77" s="198">
        <f>IFERROR((WheatYield40[[#This Row],[TOTAL EXP]]/WheatYield40[[#This Row],[Total Bushels]]),"-")</f>
        <v>0</v>
      </c>
      <c r="Q77" s="198">
        <f>SUMIFS(EXPENSETBL45[$M.E.],EXPENSETBL45[FIELD],WheatYield40[[#This Row],[Field]],EXPENSETBL45[CROP],$A$73,EXPENSETBL45[YEAR],$B$73)</f>
        <v>0</v>
      </c>
      <c r="R77" s="198">
        <f>IFERROR((WheatYield40[[#This Row],[TOTME]]/WheatYield40[[#This Row],[Total MCCENT]]),"-")</f>
        <v>0</v>
      </c>
      <c r="S77" s="198">
        <f>SUMIFS(EXPENSETBL45[$L.L.],EXPENSETBL45[FIELD],WheatYield40[[#This Row],[Field]],EXPENSETBL45[CROP],$A$73,EXPENSETBL45[YEAR],$B$73)</f>
        <v>0</v>
      </c>
      <c r="T77" s="198">
        <f>IFERROR((WheatYield40[[#This Row],[TOT LL]]/WheatYield40[[#This Row],[Total L.L.]]),"-")</f>
        <v>0</v>
      </c>
      <c r="U77" s="99">
        <f>SUMIFS(WHEATHARVESTTBL[Net],WHEATHARVESTTBL[Field],WheatYield40[[#This Row],[Field]])/60</f>
        <v>5153.333333333333</v>
      </c>
      <c r="V77" s="515"/>
      <c r="W77" s="515"/>
      <c r="X77" s="515"/>
      <c r="Y77" s="515"/>
      <c r="Z77" s="515"/>
      <c r="AA77" s="515"/>
      <c r="AB77" s="515"/>
    </row>
    <row r="78" spans="1:28" s="160" customFormat="1" ht="15.75" x14ac:dyDescent="0.25">
      <c r="A78" s="568" t="s">
        <v>20</v>
      </c>
      <c r="B78" s="568" t="s">
        <v>32</v>
      </c>
      <c r="C78" s="568" t="s">
        <v>243</v>
      </c>
      <c r="D78" s="99">
        <f>VLOOKUP(WheatYield40[[#This Row],[Field]],FFTBL[[Field]:[COUNTY]],2,FALSE)</f>
        <v>79.099999999999994</v>
      </c>
      <c r="E78" s="99" t="str">
        <f>VLOOKUP(WheatYield40[[#This Row],[Field]],FFTBL[[Field]:[COUNTY]],3,FALSE)</f>
        <v>SW4 12-8-47</v>
      </c>
      <c r="F78" s="99">
        <f>VLOOKUP(WheatYield40[[#This Row],[Field]],FFTBL[[Field]:[COUNTY]],4,FALSE)</f>
        <v>2522</v>
      </c>
      <c r="G78" s="99">
        <f>VLOOKUP(WheatYield40[[#This Row],[Field]],FFTBL[[Field]:[COUNTY]],5,FALSE)</f>
        <v>3251</v>
      </c>
      <c r="H78" s="99" t="str">
        <f>IFERROR(VLOOKUP(WheatYield40[[#This Row],[Field]],FFTBL[[Field]:[COUNTY2]],7,FALSE),"-")</f>
        <v>PHILLIPS</v>
      </c>
      <c r="I78" s="99" t="s">
        <v>309</v>
      </c>
      <c r="J78" s="99">
        <f>IFERROR(WheatYield40[[#This Row],[Total Bushels]]/WheatYield40[[#This Row],[Acres]],"")</f>
        <v>51.230594184576482</v>
      </c>
      <c r="K78" s="99">
        <f>SUMIF(WHEATHARVESTTBL[Field],WheatYield40[[#This Row],[Field]],WHEATHARVESTTBL[Net])</f>
        <v>244440</v>
      </c>
      <c r="L78" s="99">
        <f>SUMIF(WHEATHARVESTTBL[Field],WheatYield40[[#This Row],[Field]],WHEATHARVESTTBL[Net Bushels])</f>
        <v>4052.3399999999997</v>
      </c>
      <c r="M78" s="99">
        <f>SUMIFS(WHEATHARVESTTBL[MCC. ENT. BU],WHEATHARVESTTBL[Field],WheatYield40[[#This Row],[Field]])</f>
        <v>2634.0210000000002</v>
      </c>
      <c r="N78" s="99">
        <f>SUMIFS(WHEATHARVESTTBL[L.L. BU],WHEATHARVESTTBL[Field],WheatYield40[[#This Row],[Field]])</f>
        <v>1418.319</v>
      </c>
      <c r="O78" s="198">
        <f>SUMIFS(EXPENSETBL45[TOTAL],EXPENSETBL45[FIELD],WheatYield40[[#This Row],[Field]],EXPENSETBL45[CROP],$A$73,EXPENSETBL45[YEAR],$B$73)</f>
        <v>0</v>
      </c>
      <c r="P78" s="198">
        <f>IFERROR((WheatYield40[[#This Row],[TOTAL EXP]]/WheatYield40[[#This Row],[Total Bushels]]),"-")</f>
        <v>0</v>
      </c>
      <c r="Q78" s="198">
        <f>SUMIFS(EXPENSETBL45[$M.E.],EXPENSETBL45[FIELD],WheatYield40[[#This Row],[Field]],EXPENSETBL45[CROP],$A$73,EXPENSETBL45[YEAR],$B$73)</f>
        <v>0</v>
      </c>
      <c r="R78" s="198">
        <f>IFERROR((WheatYield40[[#This Row],[TOTME]]/WheatYield40[[#This Row],[Total MCCENT]]),"-")</f>
        <v>0</v>
      </c>
      <c r="S78" s="198">
        <f>SUMIFS(EXPENSETBL45[$L.L.],EXPENSETBL45[FIELD],WheatYield40[[#This Row],[Field]],EXPENSETBL45[CROP],$A$73,EXPENSETBL45[YEAR],$B$73)</f>
        <v>0</v>
      </c>
      <c r="T78" s="198">
        <f>IFERROR((WheatYield40[[#This Row],[TOT LL]]/WheatYield40[[#This Row],[Total L.L.]]),"-")</f>
        <v>0</v>
      </c>
      <c r="U78" s="99">
        <f>SUMIFS(WHEATHARVESTTBL[Net],WHEATHARVESTTBL[Field],WheatYield40[[#This Row],[Field]])/60</f>
        <v>4074</v>
      </c>
      <c r="V78" s="515"/>
      <c r="W78" s="515"/>
      <c r="X78" s="515"/>
      <c r="Y78" s="515"/>
      <c r="Z78" s="515"/>
      <c r="AA78" s="515"/>
      <c r="AB78" s="515"/>
    </row>
    <row r="79" spans="1:28" s="160" customFormat="1" ht="15.75" x14ac:dyDescent="0.25">
      <c r="A79" s="645" t="s">
        <v>20</v>
      </c>
      <c r="B79" s="645" t="s">
        <v>21</v>
      </c>
      <c r="C79" s="568" t="s">
        <v>132</v>
      </c>
      <c r="D79" s="99">
        <f>VLOOKUP(WheatYield40[[#This Row],[Field]],FFTBL[[Field]:[COUNTY]],2,FALSE)</f>
        <v>79.25</v>
      </c>
      <c r="E79" s="99" t="str">
        <f>VLOOKUP(WheatYield40[[#This Row],[Field]],FFTBL[[Field]:[COUNTY]],3,FALSE)</f>
        <v>NE4 2-6-47</v>
      </c>
      <c r="F79" s="99">
        <f>VLOOKUP(WheatYield40[[#This Row],[Field]],FFTBL[[Field]:[COUNTY]],4,FALSE)</f>
        <v>3438</v>
      </c>
      <c r="G79" s="99">
        <f>VLOOKUP(WheatYield40[[#This Row],[Field]],FFTBL[[Field]:[COUNTY]],5,FALSE)</f>
        <v>1768</v>
      </c>
      <c r="H79" s="99" t="str">
        <f>IFERROR(VLOOKUP(WheatYield40[[#This Row],[Field]],FFTBL[[Field]:[COUNTY2]],7,FALSE),"-")</f>
        <v>PHILLIPS</v>
      </c>
      <c r="I79" s="99" t="s">
        <v>308</v>
      </c>
      <c r="J79" s="99">
        <f>IFERROR(WheatYield40[[#This Row],[Total Bushels]]/WheatYield40[[#This Row],[Acres]],"")</f>
        <v>46.68862250262881</v>
      </c>
      <c r="K79" s="99">
        <f>SUMIF(WHEATHARVESTTBL[Field],WheatYield40[[#This Row],[Field]],WHEATHARVESTTBL[Net])</f>
        <v>222560</v>
      </c>
      <c r="L79" s="99">
        <f>SUMIF(WHEATHARVESTTBL[Field],WheatYield40[[#This Row],[Field]],WHEATHARVESTTBL[Net Bushels])</f>
        <v>3700.0733333333333</v>
      </c>
      <c r="M79" s="99">
        <f>SUMIFS(WHEATHARVESTTBL[MCC. ENT. BU],WHEATHARVESTTBL[Field],WheatYield40[[#This Row],[Field]])</f>
        <v>2405.0476666666664</v>
      </c>
      <c r="N79" s="99">
        <f>SUMIFS(WHEATHARVESTTBL[L.L. BU],WHEATHARVESTTBL[Field],WheatYield40[[#This Row],[Field]])</f>
        <v>1295.0256666666667</v>
      </c>
      <c r="O79" s="198">
        <f>SUMIFS(EXPENSETBL45[TOTAL],EXPENSETBL45[FIELD],WheatYield40[[#This Row],[Field]],EXPENSETBL45[CROP],$A$73,EXPENSETBL45[YEAR],$B$73)</f>
        <v>0</v>
      </c>
      <c r="P79" s="198">
        <f>IFERROR((WheatYield40[[#This Row],[TOTAL EXP]]/WheatYield40[[#This Row],[Total Bushels]]),"-")</f>
        <v>0</v>
      </c>
      <c r="Q79" s="198">
        <f>SUMIFS(EXPENSETBL45[$M.E.],EXPENSETBL45[FIELD],WheatYield40[[#This Row],[Field]],EXPENSETBL45[CROP],$A$73,EXPENSETBL45[YEAR],$B$73)</f>
        <v>0</v>
      </c>
      <c r="R79" s="198">
        <f>IFERROR((WheatYield40[[#This Row],[TOTME]]/WheatYield40[[#This Row],[Total MCCENT]]),"-")</f>
        <v>0</v>
      </c>
      <c r="S79" s="198">
        <f>SUMIFS(EXPENSETBL45[$L.L.],EXPENSETBL45[FIELD],WheatYield40[[#This Row],[Field]],EXPENSETBL45[CROP],$A$73,EXPENSETBL45[YEAR],$B$73)</f>
        <v>0</v>
      </c>
      <c r="T79" s="198">
        <f>IFERROR((WheatYield40[[#This Row],[TOT LL]]/WheatYield40[[#This Row],[Total L.L.]]),"-")</f>
        <v>0</v>
      </c>
      <c r="U79" s="99">
        <f>SUMIFS(WHEATHARVESTTBL[Net],WHEATHARVESTTBL[Field],WheatYield40[[#This Row],[Field]])/60</f>
        <v>3709.3333333333335</v>
      </c>
      <c r="V79" s="515"/>
      <c r="W79" s="515"/>
      <c r="X79" s="515"/>
      <c r="Y79" s="515"/>
      <c r="Z79" s="515"/>
      <c r="AA79" s="515"/>
      <c r="AB79" s="515"/>
    </row>
    <row r="80" spans="1:28" s="160" customFormat="1" ht="15.75" x14ac:dyDescent="0.25">
      <c r="A80" s="647" t="s">
        <v>20</v>
      </c>
      <c r="B80" s="647" t="s">
        <v>28</v>
      </c>
      <c r="C80" s="655" t="s">
        <v>219</v>
      </c>
      <c r="D80" s="99">
        <f>VLOOKUP(WheatYield40[[#This Row],[Field]],FFTBL[[Field]:[COUNTY]],2,FALSE)</f>
        <v>79.400000000000006</v>
      </c>
      <c r="E80" s="99" t="str">
        <f>VLOOKUP(WheatYield40[[#This Row],[Field]],FFTBL[[Field]:[COUNTY]],3,FALSE)</f>
        <v>NE4 6-6-46</v>
      </c>
      <c r="F80" s="99">
        <f>VLOOKUP(WheatYield40[[#This Row],[Field]],FFTBL[[Field]:[COUNTY]],4,FALSE)</f>
        <v>50</v>
      </c>
      <c r="G80" s="99">
        <f>VLOOKUP(WheatYield40[[#This Row],[Field]],FFTBL[[Field]:[COUNTY]],5,FALSE)</f>
        <v>1339</v>
      </c>
      <c r="H80" s="99" t="str">
        <f>IFERROR(VLOOKUP(WheatYield40[[#This Row],[Field]],FFTBL[[Field]:[COUNTY2]],7,FALSE),"-")</f>
        <v>PHILLIPS</v>
      </c>
      <c r="I80" s="99" t="s">
        <v>308</v>
      </c>
      <c r="J80" s="99">
        <f>IFERROR(WheatYield40[[#This Row],[Total Bushels]]/WheatYield40[[#This Row],[Acres]],"")</f>
        <v>23.201259445843824</v>
      </c>
      <c r="K80" s="99">
        <f>SUMIF(WHEATHARVESTTBL[Field],WheatYield40[[#This Row],[Field]],WHEATHARVESTTBL[Net])</f>
        <v>111360</v>
      </c>
      <c r="L80" s="99">
        <f>SUMIF(WHEATHARVESTTBL[Field],WheatYield40[[#This Row],[Field]],WHEATHARVESTTBL[Net Bushels])</f>
        <v>1842.1799999999998</v>
      </c>
      <c r="M80" s="99">
        <f>SUMIFS(WHEATHARVESTTBL[MCC. ENT. BU],WHEATHARVESTTBL[Field],WheatYield40[[#This Row],[Field]])</f>
        <v>1197.4169999999999</v>
      </c>
      <c r="N80" s="99">
        <f>SUMIFS(WHEATHARVESTTBL[L.L. BU],WHEATHARVESTTBL[Field],WheatYield40[[#This Row],[Field]])</f>
        <v>644.76299999999992</v>
      </c>
      <c r="O80" s="198">
        <f>SUMIFS(EXPENSETBL45[TOTAL],EXPENSETBL45[FIELD],WheatYield40[[#This Row],[Field]],EXPENSETBL45[CROP],$A$73,EXPENSETBL45[YEAR],$B$73)</f>
        <v>0</v>
      </c>
      <c r="P80" s="198">
        <f>IFERROR((WheatYield40[[#This Row],[TOTAL EXP]]/WheatYield40[[#This Row],[Total Bushels]]),"-")</f>
        <v>0</v>
      </c>
      <c r="Q80" s="198">
        <f>SUMIFS(EXPENSETBL45[$M.E.],EXPENSETBL45[FIELD],WheatYield40[[#This Row],[Field]],EXPENSETBL45[CROP],$A$73,EXPENSETBL45[YEAR],$B$73)</f>
        <v>0</v>
      </c>
      <c r="R80" s="198">
        <f>IFERROR((WheatYield40[[#This Row],[TOTME]]/WheatYield40[[#This Row],[Total MCCENT]]),"-")</f>
        <v>0</v>
      </c>
      <c r="S80" s="198">
        <f>SUMIFS(EXPENSETBL45[$L.L.],EXPENSETBL45[FIELD],WheatYield40[[#This Row],[Field]],EXPENSETBL45[CROP],$A$73,EXPENSETBL45[YEAR],$B$73)</f>
        <v>0</v>
      </c>
      <c r="T80" s="198">
        <f>IFERROR((WheatYield40[[#This Row],[TOT LL]]/WheatYield40[[#This Row],[Total L.L.]]),"-")</f>
        <v>0</v>
      </c>
      <c r="U80" s="99">
        <f>SUMIFS(WHEATHARVESTTBL[Net],WHEATHARVESTTBL[Field],WheatYield40[[#This Row],[Field]])/60</f>
        <v>1856</v>
      </c>
      <c r="V80" s="515"/>
      <c r="W80" s="515"/>
      <c r="X80" s="515"/>
      <c r="Y80" s="515"/>
      <c r="Z80" s="515"/>
      <c r="AA80" s="515"/>
      <c r="AB80" s="515"/>
    </row>
    <row r="81" spans="1:28" s="160" customFormat="1" ht="15.75" x14ac:dyDescent="0.25">
      <c r="A81" s="647" t="s">
        <v>20</v>
      </c>
      <c r="B81" s="692" t="s">
        <v>35</v>
      </c>
      <c r="C81" s="692" t="s">
        <v>255</v>
      </c>
      <c r="D81" s="99">
        <f>VLOOKUP(WheatYield40[[#This Row],[Field]],FFTBL[[Field]:[COUNTY]],2,FALSE)</f>
        <v>75.300000000000011</v>
      </c>
      <c r="E81" s="99" t="str">
        <f>VLOOKUP(WheatYield40[[#This Row],[Field]],FFTBL[[Field]:[COUNTY]],3,FALSE)</f>
        <v>SE4 8-9-47</v>
      </c>
      <c r="F81" s="99">
        <f>VLOOKUP(WheatYield40[[#This Row],[Field]],FFTBL[[Field]:[COUNTY]],4,FALSE)</f>
        <v>4071</v>
      </c>
      <c r="G81" s="99">
        <f>VLOOKUP(WheatYield40[[#This Row],[Field]],FFTBL[[Field]:[COUNTY]],5,FALSE)</f>
        <v>4021</v>
      </c>
      <c r="H81" s="99" t="str">
        <f>IFERROR(VLOOKUP(WheatYield40[[#This Row],[Field]],FFTBL[[Field]:[COUNTY2]],7,FALSE),"-")</f>
        <v>SEDGWICK</v>
      </c>
      <c r="I81" s="99"/>
      <c r="J81" s="99">
        <f>IFERROR(WheatYield40[[#This Row],[Total Bushels]]/WheatYield40[[#This Row],[Acres]],"")</f>
        <v>0</v>
      </c>
      <c r="K81" s="99">
        <f>SUMIF(WHEATHARVESTTBL[Field],WheatYield40[[#This Row],[Field]],WHEATHARVESTTBL[Net])</f>
        <v>0</v>
      </c>
      <c r="L81" s="99">
        <f>SUMIF(WHEATHARVESTTBL[Field],WheatYield40[[#This Row],[Field]],WHEATHARVESTTBL[Net Bushels])</f>
        <v>0</v>
      </c>
      <c r="M81" s="99">
        <f>SUMIFS(WHEATHARVESTTBL[MCC. ENT. BU],WHEATHARVESTTBL[Field],WheatYield40[[#This Row],[Field]])</f>
        <v>0</v>
      </c>
      <c r="N81" s="99">
        <f>SUMIFS(WHEATHARVESTTBL[L.L. BU],WHEATHARVESTTBL[Field],WheatYield40[[#This Row],[Field]])</f>
        <v>0</v>
      </c>
      <c r="O81" s="198">
        <f>SUMIFS(EXPENSETBL45[TOTAL],EXPENSETBL45[FIELD],WheatYield40[[#This Row],[Field]],EXPENSETBL45[CROP],$A$73,EXPENSETBL45[YEAR],$B$73)</f>
        <v>0</v>
      </c>
      <c r="P81" s="198" t="str">
        <f>IFERROR((WheatYield40[[#This Row],[TOTAL EXP]]/WheatYield40[[#This Row],[Total Bushels]]),"-")</f>
        <v>-</v>
      </c>
      <c r="Q81" s="198">
        <f>SUMIFS(EXPENSETBL45[$M.E.],EXPENSETBL45[FIELD],WheatYield40[[#This Row],[Field]],EXPENSETBL45[CROP],$A$73,EXPENSETBL45[YEAR],$B$73)</f>
        <v>0</v>
      </c>
      <c r="R81" s="198" t="str">
        <f>IFERROR((WheatYield40[[#This Row],[TOTME]]/WheatYield40[[#This Row],[Total MCCENT]]),"-")</f>
        <v>-</v>
      </c>
      <c r="S81" s="198">
        <f>SUMIFS(EXPENSETBL45[$L.L.],EXPENSETBL45[FIELD],WheatYield40[[#This Row],[Field]],EXPENSETBL45[CROP],$A$73,EXPENSETBL45[YEAR],$B$73)</f>
        <v>0</v>
      </c>
      <c r="T81" s="198" t="str">
        <f>IFERROR((WheatYield40[[#This Row],[TOT LL]]/WheatYield40[[#This Row],[Total L.L.]]),"-")</f>
        <v>-</v>
      </c>
      <c r="U81" s="99">
        <f>SUMIFS(WHEATHARVESTTBL[Net],WHEATHARVESTTBL[Field],WheatYield40[[#This Row],[Field]])/60</f>
        <v>0</v>
      </c>
      <c r="V81" s="515"/>
      <c r="W81" s="515"/>
      <c r="X81" s="515"/>
      <c r="Y81" s="515"/>
      <c r="Z81" s="515"/>
      <c r="AA81" s="515"/>
      <c r="AB81" s="515"/>
    </row>
    <row r="82" spans="1:28" s="160" customFormat="1" ht="18.75" x14ac:dyDescent="0.25">
      <c r="A82" s="103" t="s">
        <v>38</v>
      </c>
      <c r="B82" s="103"/>
      <c r="C82" s="103"/>
      <c r="D82" s="103">
        <f>SUBTOTAL(109,WheatYield40[Acres])</f>
        <v>545.15000000000009</v>
      </c>
      <c r="E82" s="103"/>
      <c r="F82" s="103"/>
      <c r="G82" s="103"/>
      <c r="H82" s="114"/>
      <c r="I82" s="103"/>
      <c r="J82" s="103">
        <f>WheatYield40[[#Totals],[Total Bushels]]/WheatYield40[[#Totals],[Acres]]</f>
        <v>37.798245131309422</v>
      </c>
      <c r="K82" s="103">
        <f>SUBTOTAL(109,WheatYield40[Total '#''s])</f>
        <v>1245140</v>
      </c>
      <c r="L82" s="103">
        <f>SUBTOTAL(109,WheatYield40[Total Bushels])</f>
        <v>20605.713333333333</v>
      </c>
      <c r="M82" s="103">
        <f>SUBTOTAL(109,WheatYield40[Total MCCENT])</f>
        <v>13393.713666666668</v>
      </c>
      <c r="N82" s="103">
        <f>SUBTOTAL(109,WheatYield40[Total L.L.])</f>
        <v>7211.9996666666657</v>
      </c>
      <c r="O82" s="151">
        <f>SUBTOTAL(109,WheatYield40[TOTAL EXP])</f>
        <v>0</v>
      </c>
      <c r="P82" s="151">
        <f>IFERROR((WheatYield40[[#Totals],[TOTAL EXP]]/WheatYield40[[#Totals],[Total Bushels]]),"-")</f>
        <v>0</v>
      </c>
      <c r="Q82" s="151">
        <f>SUBTOTAL(109,WheatYield40[TOTME])</f>
        <v>0</v>
      </c>
      <c r="R82" s="151">
        <f>IFERROR((WheatYield40[[#Totals],[TOTME]]/WheatYield40[[#Totals],[Total MCCENT]]),"-")</f>
        <v>0</v>
      </c>
      <c r="S82" s="151">
        <f>SUBTOTAL(109,WheatYield40[TOT LL])</f>
        <v>0</v>
      </c>
      <c r="T82" s="152">
        <f>IFERROR((WheatYield40[[#Totals],[TOT LL]]/WheatYield40[[#Totals],[Total L.L.]]),"-")</f>
        <v>0</v>
      </c>
      <c r="U82" s="435">
        <f>SUBTOTAL(109,WheatYield40[GROSS BUSHELS])</f>
        <v>20752.333333333332</v>
      </c>
      <c r="V82" s="515"/>
      <c r="W82" s="515"/>
      <c r="X82" s="515"/>
      <c r="Y82" s="515"/>
      <c r="Z82" s="515"/>
      <c r="AA82" s="515"/>
      <c r="AB82" s="515"/>
    </row>
    <row r="83" spans="1:28" ht="15" customHeight="1" x14ac:dyDescent="0.25">
      <c r="A83" s="738" t="s">
        <v>559</v>
      </c>
      <c r="B83" s="738"/>
      <c r="C83" s="738"/>
      <c r="D83" s="738"/>
      <c r="E83" s="738"/>
      <c r="F83" s="738"/>
      <c r="G83" s="738"/>
      <c r="H83" s="738"/>
      <c r="I83" s="507"/>
      <c r="J83" s="133" t="s">
        <v>560</v>
      </c>
      <c r="K83" s="132">
        <v>4.3499999999999996</v>
      </c>
      <c r="L83" s="132">
        <f>WheatYield40[[#Totals],[Total Bushels]]*K83</f>
        <v>89634.852999999988</v>
      </c>
      <c r="M83" s="132">
        <f>WheatYield40[[#Totals],[Total MCCENT]]*K83</f>
        <v>58262.654450000002</v>
      </c>
      <c r="N83" s="132">
        <f>WheatYield40[[#Totals],[Total L.L.]]*K83</f>
        <v>31372.198549999994</v>
      </c>
      <c r="O83" s="507"/>
      <c r="P83" s="507"/>
      <c r="Q83" s="507"/>
      <c r="R83" s="507"/>
      <c r="S83" s="507"/>
      <c r="T83" s="507"/>
      <c r="U83" s="507"/>
      <c r="V83" s="507"/>
      <c r="W83" s="507"/>
      <c r="X83" s="507"/>
      <c r="Y83" s="507"/>
      <c r="Z83" s="507"/>
      <c r="AA83" s="507"/>
      <c r="AB83" s="507"/>
    </row>
    <row r="84" spans="1:28" ht="15" customHeight="1" x14ac:dyDescent="0.25">
      <c r="A84" s="498" t="s">
        <v>561</v>
      </c>
      <c r="B84" s="498" t="s">
        <v>562</v>
      </c>
      <c r="C84" s="498" t="s">
        <v>563</v>
      </c>
      <c r="D84" s="498" t="s">
        <v>564</v>
      </c>
      <c r="E84" s="498" t="s">
        <v>565</v>
      </c>
      <c r="F84" s="498" t="s">
        <v>566</v>
      </c>
      <c r="G84" s="498" t="s">
        <v>567</v>
      </c>
      <c r="H84" s="498" t="s">
        <v>568</v>
      </c>
      <c r="I84" s="507"/>
      <c r="J84" s="133"/>
      <c r="K84" s="132">
        <v>4.5</v>
      </c>
      <c r="L84" s="132">
        <f>WheatYield40[[#Totals],[Total Bushels]]*K84</f>
        <v>92725.709999999992</v>
      </c>
      <c r="M84" s="132">
        <f>WheatYield40[[#Totals],[Total MCCENT]]*K84</f>
        <v>60271.711500000005</v>
      </c>
      <c r="N84" s="132">
        <f>WheatYield40[[#Totals],[Total L.L.]]*K84</f>
        <v>32453.998499999994</v>
      </c>
      <c r="O84" s="431"/>
      <c r="P84" s="431"/>
      <c r="Q84" s="431"/>
      <c r="R84" s="431"/>
      <c r="S84" s="431"/>
      <c r="T84" s="431"/>
      <c r="U84" s="507"/>
      <c r="V84" s="507"/>
      <c r="W84" s="507"/>
      <c r="X84" s="507"/>
      <c r="Y84" s="507"/>
      <c r="Z84" s="507"/>
      <c r="AA84" s="507"/>
      <c r="AB84" s="507"/>
    </row>
    <row r="85" spans="1:28" ht="15" customHeight="1" x14ac:dyDescent="0.25">
      <c r="A85" s="516" t="s">
        <v>569</v>
      </c>
      <c r="B85" s="517">
        <v>4.28</v>
      </c>
      <c r="C85" s="518">
        <v>2138.41</v>
      </c>
      <c r="D85" s="519">
        <v>0</v>
      </c>
      <c r="E85" s="519">
        <v>641.52</v>
      </c>
      <c r="F85" s="520">
        <v>243.83</v>
      </c>
      <c r="G85" s="519">
        <f>(Table3142[[#This Row],[Price]]*Table3142[[#This Row],[Bushels]])-Table3142[[#This Row],[DISCOUNTS]]+Table3142[[#This Row],[Bonus]]</f>
        <v>9550.0848000000005</v>
      </c>
      <c r="H85" s="518" t="s">
        <v>425</v>
      </c>
      <c r="I85" s="507"/>
      <c r="J85" s="133"/>
      <c r="K85" s="132">
        <v>5</v>
      </c>
      <c r="L85" s="132">
        <f>WheatYield40[[#Totals],[Total Bushels]]*K85</f>
        <v>103028.56666666667</v>
      </c>
      <c r="M85" s="132">
        <f>WheatYield40[[#Totals],[Total MCCENT]]*K85</f>
        <v>66968.568333333344</v>
      </c>
      <c r="N85" s="132">
        <f>WheatYield40[[#Totals],[Total L.L.]]*K85</f>
        <v>36059.998333333329</v>
      </c>
      <c r="O85" s="431"/>
      <c r="P85" s="431"/>
      <c r="Q85" s="492" t="s">
        <v>570</v>
      </c>
      <c r="R85" s="431"/>
      <c r="S85" s="431"/>
      <c r="T85" s="431"/>
      <c r="U85" s="507"/>
      <c r="V85" s="507"/>
      <c r="W85" s="507"/>
      <c r="X85" s="507"/>
      <c r="Y85" s="507"/>
      <c r="Z85" s="507"/>
      <c r="AA85" s="507"/>
      <c r="AB85" s="507"/>
    </row>
    <row r="86" spans="1:28" ht="15" customHeight="1" x14ac:dyDescent="0.25">
      <c r="A86" s="516" t="s">
        <v>571</v>
      </c>
      <c r="B86" s="517">
        <v>4.22</v>
      </c>
      <c r="C86" s="518">
        <v>4256.91</v>
      </c>
      <c r="D86" s="519"/>
      <c r="E86" s="519">
        <v>1006.53</v>
      </c>
      <c r="F86" s="520">
        <v>502.51</v>
      </c>
      <c r="G86" s="519">
        <f>(Table3142[[#This Row],[Price]]*Table3142[[#This Row],[Bushels]])-Table3142[[#This Row],[DISCOUNTS]]+Table3142[[#This Row],[Bonus]]</f>
        <v>18468.180199999999</v>
      </c>
      <c r="H86" s="518" t="s">
        <v>425</v>
      </c>
      <c r="I86" s="507"/>
      <c r="J86" s="133"/>
      <c r="K86" s="132">
        <v>6</v>
      </c>
      <c r="L86" s="132">
        <f>WheatYield40[[#Totals],[Total Bushels]]*K86</f>
        <v>123634.28</v>
      </c>
      <c r="M86" s="132">
        <f>WheatYield40[[#Totals],[Total MCCENT]]*K86</f>
        <v>80362.282000000007</v>
      </c>
      <c r="N86" s="132">
        <f>WheatYield40[[#Totals],[Total L.L.]]*K86</f>
        <v>43271.997999999992</v>
      </c>
      <c r="O86" s="431"/>
      <c r="P86" s="431"/>
      <c r="Q86" s="431"/>
      <c r="R86" s="431"/>
      <c r="S86" s="431"/>
      <c r="T86" s="431"/>
      <c r="U86" s="507"/>
      <c r="V86" s="507"/>
      <c r="W86" s="507"/>
      <c r="X86" s="507"/>
      <c r="Y86" s="507"/>
      <c r="Z86" s="507"/>
      <c r="AA86" s="507"/>
      <c r="AB86" s="507"/>
    </row>
    <row r="87" spans="1:28" ht="15" customHeight="1" x14ac:dyDescent="0.25">
      <c r="A87" s="516">
        <v>19468</v>
      </c>
      <c r="B87" s="517">
        <v>4.28</v>
      </c>
      <c r="C87" s="518">
        <v>2299.69</v>
      </c>
      <c r="D87" s="519"/>
      <c r="E87" s="519"/>
      <c r="F87" s="520">
        <v>245.98</v>
      </c>
      <c r="G87" s="519">
        <f>(Table3142[[#This Row],[Price]]*Table3142[[#This Row],[Bushels]])-Table3142[[#This Row],[DISCOUNTS]]+Table3142[[#This Row],[Bonus]]</f>
        <v>9596.6932000000015</v>
      </c>
      <c r="H87" s="518" t="s">
        <v>431</v>
      </c>
      <c r="I87" s="507"/>
      <c r="J87" s="507"/>
      <c r="K87" s="507"/>
      <c r="L87" s="507"/>
      <c r="M87" s="507"/>
      <c r="N87" s="507"/>
      <c r="O87" s="431"/>
      <c r="P87" s="431"/>
      <c r="Q87" s="431"/>
      <c r="R87" s="431"/>
      <c r="S87" s="431"/>
      <c r="T87" s="431"/>
      <c r="U87" s="507"/>
      <c r="V87" s="507"/>
      <c r="W87" s="507"/>
      <c r="X87" s="507"/>
      <c r="Y87" s="507"/>
      <c r="Z87" s="507"/>
      <c r="AA87" s="507"/>
      <c r="AB87" s="507"/>
    </row>
    <row r="88" spans="1:28" ht="15" customHeight="1" x14ac:dyDescent="0.25">
      <c r="A88" s="516">
        <v>19476</v>
      </c>
      <c r="B88" s="517">
        <v>4.21</v>
      </c>
      <c r="C88" s="518">
        <v>3052.59</v>
      </c>
      <c r="D88" s="519"/>
      <c r="E88" s="519"/>
      <c r="F88" s="520">
        <v>636.36</v>
      </c>
      <c r="G88" s="519">
        <f>(Table3142[[#This Row],[Price]]*Table3142[[#This Row],[Bushels]])-Table3142[[#This Row],[DISCOUNTS]]+Table3142[[#This Row],[Bonus]]</f>
        <v>12215.043900000001</v>
      </c>
      <c r="H88" s="518" t="s">
        <v>431</v>
      </c>
      <c r="I88" s="507"/>
      <c r="J88" s="521"/>
      <c r="K88" s="521"/>
      <c r="L88" s="507"/>
      <c r="M88" s="507"/>
      <c r="N88" s="507"/>
      <c r="O88" s="432" t="s">
        <v>572</v>
      </c>
      <c r="P88" s="432"/>
      <c r="Q88" s="432" t="s">
        <v>573</v>
      </c>
      <c r="R88" s="432"/>
      <c r="S88" s="432" t="s">
        <v>570</v>
      </c>
      <c r="T88" s="432"/>
      <c r="U88" s="507"/>
      <c r="V88" s="507"/>
      <c r="W88" s="507"/>
      <c r="X88" s="507"/>
      <c r="Y88" s="507"/>
      <c r="Z88" s="507"/>
      <c r="AA88" s="507"/>
      <c r="AB88" s="507"/>
    </row>
    <row r="89" spans="1:28" ht="15" customHeight="1" x14ac:dyDescent="0.25">
      <c r="A89" s="516">
        <v>19477</v>
      </c>
      <c r="B89" s="517">
        <v>4.21</v>
      </c>
      <c r="C89" s="518">
        <v>1617.22</v>
      </c>
      <c r="D89" s="519"/>
      <c r="E89" s="519"/>
      <c r="F89" s="520">
        <v>358.21</v>
      </c>
      <c r="G89" s="519">
        <f>(Table3142[[#This Row],[Price]]*Table3142[[#This Row],[Bushels]])-Table3142[[#This Row],[DISCOUNTS]]+Table3142[[#This Row],[Bonus]]</f>
        <v>6450.2862000000005</v>
      </c>
      <c r="H89" s="518" t="s">
        <v>431</v>
      </c>
      <c r="I89" s="507"/>
      <c r="J89" s="522" t="s">
        <v>574</v>
      </c>
      <c r="K89" s="138">
        <v>4.9800000000000004</v>
      </c>
      <c r="L89" s="132">
        <f>K84</f>
        <v>4.5</v>
      </c>
      <c r="M89" s="132">
        <f>K85</f>
        <v>5</v>
      </c>
      <c r="N89" s="132">
        <f>K86</f>
        <v>6</v>
      </c>
      <c r="O89" s="432"/>
      <c r="P89" s="432"/>
      <c r="Q89" s="432"/>
      <c r="R89" s="432"/>
      <c r="S89" s="432"/>
      <c r="T89" s="432"/>
      <c r="U89" s="507"/>
      <c r="V89" s="507"/>
      <c r="W89" s="507"/>
      <c r="X89" s="507"/>
      <c r="Y89" s="507"/>
      <c r="Z89" s="507"/>
      <c r="AA89" s="507"/>
      <c r="AB89" s="507"/>
    </row>
    <row r="90" spans="1:28" ht="15" customHeight="1" x14ac:dyDescent="0.25">
      <c r="A90" s="516"/>
      <c r="B90" s="517"/>
      <c r="C90" s="518"/>
      <c r="D90" s="519"/>
      <c r="E90" s="519"/>
      <c r="F90" s="520"/>
      <c r="G90" s="519">
        <f>(Table3142[[#This Row],[Price]]*Table3142[[#This Row],[Bushels]])-Table3142[[#This Row],[DISCOUNTS]]+Table3142[[#This Row],[Bonus]]</f>
        <v>0</v>
      </c>
      <c r="H90" s="518"/>
      <c r="I90" s="507"/>
      <c r="J90" s="523" t="s">
        <v>575</v>
      </c>
      <c r="K90" s="524">
        <f>L83/WheatYield40[[#Totals],[Acres]]</f>
        <v>164.42236632119597</v>
      </c>
      <c r="L90" s="132">
        <f>L84/WheatYield40[[#Totals],[Acres]]</f>
        <v>170.09210309089238</v>
      </c>
      <c r="M90" s="132">
        <f>L85/WheatYield40[[#Totals],[Acres]]</f>
        <v>188.9912256565471</v>
      </c>
      <c r="N90" s="132">
        <f>L86/WheatYield40[[#Totals],[Acres]]</f>
        <v>226.78947078785652</v>
      </c>
      <c r="O90" s="433">
        <f>WheatYield40[[#Totals],[TOTME]]</f>
        <v>0</v>
      </c>
      <c r="P90" s="432"/>
      <c r="Q90" s="433">
        <f>Table3142[[#Totals],[TOTAL $]]</f>
        <v>56280.2883</v>
      </c>
      <c r="R90" s="432"/>
      <c r="S90" s="433">
        <f>Q90+O90</f>
        <v>56280.2883</v>
      </c>
      <c r="T90" s="432"/>
      <c r="U90" s="507"/>
      <c r="V90" s="507"/>
      <c r="W90" s="507"/>
      <c r="X90" s="507"/>
      <c r="Y90" s="507"/>
      <c r="Z90" s="507"/>
      <c r="AA90" s="507"/>
      <c r="AB90" s="507"/>
    </row>
    <row r="91" spans="1:28" ht="15" customHeight="1" x14ac:dyDescent="0.25">
      <c r="A91" s="516"/>
      <c r="B91" s="517"/>
      <c r="C91" s="518"/>
      <c r="D91" s="519"/>
      <c r="E91" s="519"/>
      <c r="F91" s="520"/>
      <c r="G91" s="519">
        <f>(Table3142[[#This Row],[Price]]*Table3142[[#This Row],[Bushels]])-Table3142[[#This Row],[DISCOUNTS]]+Table3142[[#This Row],[Bonus]]</f>
        <v>0</v>
      </c>
      <c r="H91" s="518"/>
      <c r="I91" s="507"/>
      <c r="J91" s="523" t="s">
        <v>576</v>
      </c>
      <c r="K91" s="524">
        <f>M83/WheatYield40[[#Totals],[Acres]]</f>
        <v>106.87453810877739</v>
      </c>
      <c r="L91" s="132">
        <f>M84/WheatYield40[[#Totals],[Acres]]</f>
        <v>110.55986700908007</v>
      </c>
      <c r="M91" s="132">
        <f>M85/WheatYield40[[#Totals],[Acres]]</f>
        <v>122.84429667675563</v>
      </c>
      <c r="N91" s="132">
        <f>M86/WheatYield40[[#Totals],[Acres]]</f>
        <v>147.41315601210675</v>
      </c>
      <c r="O91" s="432"/>
      <c r="P91" s="432"/>
      <c r="Q91" s="432"/>
      <c r="R91" s="432"/>
      <c r="S91" s="432"/>
      <c r="T91" s="432"/>
      <c r="U91" s="507"/>
      <c r="V91" s="507"/>
      <c r="W91" s="507"/>
      <c r="X91" s="507"/>
      <c r="Y91" s="507"/>
      <c r="Z91" s="507"/>
      <c r="AA91" s="507"/>
      <c r="AB91" s="507"/>
    </row>
    <row r="92" spans="1:28" ht="15" customHeight="1" x14ac:dyDescent="0.25">
      <c r="A92" s="516" t="s">
        <v>38</v>
      </c>
      <c r="B92" s="518">
        <f>SUBTOTAL(101,Table3142[Price])</f>
        <v>4.24</v>
      </c>
      <c r="C92" s="525">
        <f>SUBTOTAL(109,C85:C91)</f>
        <v>13364.82</v>
      </c>
      <c r="D92" s="519">
        <f>SUBTOTAL(109,Table3142[INT $])</f>
        <v>0</v>
      </c>
      <c r="E92" s="519">
        <f>SUBTOTAL(109,Table3142[Bonus])</f>
        <v>1648.05</v>
      </c>
      <c r="F92" s="526">
        <f>SUBTOTAL(109,Table3142[DISCOUNTS])</f>
        <v>1986.89</v>
      </c>
      <c r="G92" s="519">
        <f>SUBTOTAL(109,G85:G91)</f>
        <v>56280.2883</v>
      </c>
      <c r="H92" s="516"/>
      <c r="I92" s="507"/>
      <c r="J92" s="523" t="s">
        <v>577</v>
      </c>
      <c r="K92" s="524">
        <f>N83/WheatYield40[[#Totals],[Acres]]</f>
        <v>57.54782821241858</v>
      </c>
      <c r="L92" s="132">
        <f>N84/WheatYield40[[#Totals],[Acres]]</f>
        <v>59.532236081812322</v>
      </c>
      <c r="M92" s="132">
        <f>N85/WheatYield40[[#Totals],[Acres]]</f>
        <v>66.146928979791483</v>
      </c>
      <c r="N92" s="132">
        <f>N86/WheatYield40[[#Totals],[Acres]]</f>
        <v>79.376314775749762</v>
      </c>
      <c r="O92" s="432"/>
      <c r="P92" s="432"/>
      <c r="Q92" s="432"/>
      <c r="R92" s="432"/>
      <c r="S92" s="432"/>
      <c r="T92" s="432"/>
      <c r="U92" s="507"/>
      <c r="V92" s="507"/>
      <c r="W92" s="507"/>
      <c r="X92" s="507"/>
      <c r="Y92" s="507"/>
      <c r="Z92" s="507"/>
      <c r="AA92" s="507"/>
      <c r="AB92" s="507"/>
    </row>
    <row r="93" spans="1:28" ht="15" customHeight="1" x14ac:dyDescent="0.25">
      <c r="A93" s="507"/>
      <c r="B93" s="507"/>
      <c r="C93" s="507"/>
      <c r="D93" s="507"/>
      <c r="E93" s="507"/>
      <c r="F93" s="507"/>
      <c r="G93" s="507"/>
      <c r="H93" s="507"/>
      <c r="I93" s="507"/>
      <c r="J93" s="507"/>
      <c r="K93" s="507"/>
      <c r="L93" s="159"/>
      <c r="M93" s="159"/>
      <c r="N93" s="159"/>
      <c r="O93" s="507"/>
      <c r="P93" s="507"/>
      <c r="Q93" s="507"/>
      <c r="R93" s="507"/>
      <c r="S93" s="507"/>
      <c r="T93" s="507"/>
      <c r="U93" s="507"/>
      <c r="V93" s="507"/>
      <c r="W93" s="507"/>
      <c r="X93" s="507"/>
      <c r="Y93" s="507"/>
      <c r="Z93" s="507"/>
      <c r="AA93" s="507"/>
      <c r="AB93" s="507"/>
    </row>
    <row r="94" spans="1:28" ht="15" customHeight="1" x14ac:dyDescent="0.25">
      <c r="A94" s="507"/>
      <c r="B94" s="507"/>
      <c r="C94" s="507"/>
      <c r="D94" s="507"/>
      <c r="E94" s="507"/>
      <c r="F94" s="507"/>
      <c r="G94" s="507"/>
      <c r="H94" s="507"/>
      <c r="I94" s="507"/>
      <c r="J94" s="507"/>
      <c r="K94" s="507"/>
      <c r="L94" s="159"/>
      <c r="M94" s="159"/>
      <c r="N94" s="159"/>
      <c r="O94" s="507"/>
      <c r="P94" s="507"/>
      <c r="Q94" s="507"/>
      <c r="R94" s="507"/>
      <c r="S94" s="507"/>
      <c r="T94" s="507"/>
      <c r="U94" s="507"/>
      <c r="V94" s="507"/>
      <c r="W94" s="507"/>
      <c r="X94" s="507"/>
      <c r="Y94" s="507"/>
      <c r="Z94" s="507"/>
      <c r="AA94" s="507"/>
      <c r="AB94" s="507"/>
    </row>
    <row r="95" spans="1:28" ht="15" customHeight="1" x14ac:dyDescent="0.25">
      <c r="A95" s="507"/>
      <c r="B95" s="507"/>
      <c r="C95" s="507"/>
      <c r="D95" s="507"/>
      <c r="E95" s="507"/>
      <c r="F95" s="507"/>
      <c r="G95" s="507"/>
      <c r="H95" s="507"/>
      <c r="I95" s="507"/>
      <c r="J95" s="507"/>
      <c r="K95" s="507"/>
      <c r="L95" s="159"/>
      <c r="M95" s="159"/>
      <c r="N95" s="159"/>
      <c r="O95" s="507"/>
      <c r="P95" s="507"/>
      <c r="Q95" s="507"/>
      <c r="R95" s="507"/>
      <c r="S95" s="507"/>
      <c r="T95" s="507"/>
      <c r="U95" s="507"/>
      <c r="V95" s="507"/>
      <c r="W95" s="507"/>
      <c r="X95" s="507"/>
      <c r="Y95" s="507"/>
      <c r="Z95" s="507"/>
      <c r="AA95" s="507"/>
      <c r="AB95" s="507"/>
    </row>
    <row r="96" spans="1:28" s="528" customFormat="1" ht="23.25" x14ac:dyDescent="0.25">
      <c r="A96" s="499" t="s">
        <v>283</v>
      </c>
      <c r="B96" s="499">
        <v>2025</v>
      </c>
      <c r="C96" s="499"/>
      <c r="D96" s="499"/>
      <c r="E96" s="499"/>
      <c r="F96" s="499"/>
      <c r="G96" s="499"/>
      <c r="H96" s="499"/>
      <c r="I96" s="499"/>
      <c r="J96" s="499"/>
      <c r="K96" s="499"/>
      <c r="L96" s="499"/>
      <c r="M96" s="499"/>
      <c r="N96" s="499"/>
      <c r="O96" s="499"/>
      <c r="P96" s="499"/>
      <c r="Q96" s="499"/>
      <c r="R96" s="499"/>
      <c r="S96" s="499"/>
      <c r="T96" s="499"/>
      <c r="U96" s="499"/>
      <c r="V96" s="499"/>
      <c r="W96" s="499"/>
      <c r="X96" s="499"/>
      <c r="Y96" s="499"/>
      <c r="Z96" s="499"/>
      <c r="AA96" s="527"/>
      <c r="AB96" s="527"/>
    </row>
    <row r="97" spans="1:29" s="528" customFormat="1" ht="27.75" customHeight="1" x14ac:dyDescent="0.25">
      <c r="A97" s="500" t="s">
        <v>440</v>
      </c>
      <c r="B97" s="501" t="s">
        <v>442</v>
      </c>
      <c r="C97" s="501" t="s">
        <v>476</v>
      </c>
      <c r="D97" s="501" t="s">
        <v>443</v>
      </c>
      <c r="E97" s="501" t="s">
        <v>578</v>
      </c>
      <c r="F97" s="501" t="s">
        <v>115</v>
      </c>
      <c r="G97" s="501" t="s">
        <v>116</v>
      </c>
      <c r="H97" s="501" t="s">
        <v>118</v>
      </c>
      <c r="I97" s="501" t="s">
        <v>477</v>
      </c>
      <c r="J97" s="501" t="s">
        <v>478</v>
      </c>
      <c r="K97" s="501" t="s">
        <v>579</v>
      </c>
      <c r="L97" s="501" t="s">
        <v>580</v>
      </c>
      <c r="M97" s="501" t="s">
        <v>581</v>
      </c>
      <c r="N97" s="501" t="s">
        <v>447</v>
      </c>
      <c r="O97" s="501" t="s">
        <v>448</v>
      </c>
      <c r="P97" s="501" t="s">
        <v>449</v>
      </c>
      <c r="Q97" s="501" t="s">
        <v>450</v>
      </c>
      <c r="R97" s="502" t="s">
        <v>451</v>
      </c>
      <c r="S97" s="501" t="s">
        <v>479</v>
      </c>
      <c r="T97" s="503" t="s">
        <v>453</v>
      </c>
      <c r="U97" s="501" t="s">
        <v>454</v>
      </c>
      <c r="V97" s="503" t="s">
        <v>455</v>
      </c>
      <c r="W97" s="503" t="s">
        <v>456</v>
      </c>
      <c r="X97" s="501" t="s">
        <v>457</v>
      </c>
      <c r="Y97" s="501" t="s">
        <v>20</v>
      </c>
      <c r="Z97" s="501" t="s">
        <v>458</v>
      </c>
      <c r="AA97" s="503" t="s">
        <v>459</v>
      </c>
      <c r="AB97" s="504" t="s">
        <v>460</v>
      </c>
      <c r="AC97" s="501" t="s">
        <v>423</v>
      </c>
    </row>
    <row r="98" spans="1:29" s="528" customFormat="1" x14ac:dyDescent="0.25">
      <c r="A98" s="693">
        <v>45944</v>
      </c>
      <c r="B98" s="694"/>
      <c r="C98" s="694" t="s">
        <v>424</v>
      </c>
      <c r="D98" s="694" t="s">
        <v>425</v>
      </c>
      <c r="E98" s="694" t="s">
        <v>582</v>
      </c>
      <c r="F98" s="694" t="s">
        <v>74</v>
      </c>
      <c r="G98" s="694" t="s">
        <v>35</v>
      </c>
      <c r="H98" s="700" t="s">
        <v>271</v>
      </c>
      <c r="I98" s="694"/>
      <c r="J98" s="694"/>
      <c r="K98" s="694"/>
      <c r="L98" s="694"/>
      <c r="M98" s="695">
        <v>63160</v>
      </c>
      <c r="N98" s="390">
        <v>29660</v>
      </c>
      <c r="O98" s="392">
        <f>(CORNHARVESTTBL[[#This Row],[Gross/ -Truck Net]]-CORNHARVESTTBL[[#This Row],[Tare]])</f>
        <v>33500</v>
      </c>
      <c r="P98" s="184">
        <v>52.5</v>
      </c>
      <c r="Q98" s="184">
        <v>19.3</v>
      </c>
      <c r="R98" s="188"/>
      <c r="S98" s="393"/>
      <c r="T98" s="394">
        <f>CORNHARVESTTBL[[#This Row],[Net]]/56</f>
        <v>598.21428571428567</v>
      </c>
      <c r="U98" s="395">
        <v>34.1</v>
      </c>
      <c r="V98" s="394"/>
      <c r="W98" s="394">
        <f>CORNHARVESTTBL[[#This Row],[Gross Units]]-CORNHARVESTTBL[[#This Row],[Shrink]]</f>
        <v>564.11428571428564</v>
      </c>
      <c r="X98" s="396" t="s">
        <v>297</v>
      </c>
      <c r="Y98" s="181">
        <v>1</v>
      </c>
      <c r="Z98" s="181">
        <v>0</v>
      </c>
      <c r="AA98" s="394">
        <f t="shared" ref="AA98:AA117" si="9">W98*Y98</f>
        <v>564.11428571428564</v>
      </c>
      <c r="AB98" s="397">
        <f t="shared" ref="AB98:AB117" si="10">W98*Z98</f>
        <v>0</v>
      </c>
    </row>
    <row r="99" spans="1:29" s="528" customFormat="1" x14ac:dyDescent="0.25">
      <c r="A99" s="693">
        <v>45946</v>
      </c>
      <c r="B99" s="694"/>
      <c r="C99" s="694" t="s">
        <v>424</v>
      </c>
      <c r="D99" s="694" t="s">
        <v>425</v>
      </c>
      <c r="E99" s="694" t="s">
        <v>583</v>
      </c>
      <c r="F99" s="694" t="s">
        <v>74</v>
      </c>
      <c r="G99" s="694" t="s">
        <v>35</v>
      </c>
      <c r="H99" s="700" t="s">
        <v>271</v>
      </c>
      <c r="I99" s="694"/>
      <c r="J99" s="694"/>
      <c r="K99" s="694"/>
      <c r="L99" s="694"/>
      <c r="M99" s="695">
        <v>72120</v>
      </c>
      <c r="N99" s="390">
        <v>29420</v>
      </c>
      <c r="O99" s="392">
        <f>(CORNHARVESTTBL[[#This Row],[Gross/ -Truck Net]]-CORNHARVESTTBL[[#This Row],[Tare]])</f>
        <v>42700</v>
      </c>
      <c r="P99" s="184">
        <v>52</v>
      </c>
      <c r="Q99" s="184">
        <v>18.2</v>
      </c>
      <c r="R99" s="188"/>
      <c r="S99" s="393"/>
      <c r="T99" s="394">
        <f>CORNHARVESTTBL[[#This Row],[Net]]/56</f>
        <v>762.5</v>
      </c>
      <c r="U99" s="395">
        <v>30.88</v>
      </c>
      <c r="V99" s="394"/>
      <c r="W99" s="394">
        <f>CORNHARVESTTBL[[#This Row],[Gross Units]]-CORNHARVESTTBL[[#This Row],[Shrink]]</f>
        <v>731.62</v>
      </c>
      <c r="X99" s="396" t="s">
        <v>297</v>
      </c>
      <c r="Y99" s="181">
        <v>1</v>
      </c>
      <c r="Z99" s="181">
        <v>0</v>
      </c>
      <c r="AA99" s="394">
        <f t="shared" si="9"/>
        <v>731.62</v>
      </c>
      <c r="AB99" s="397">
        <f t="shared" si="10"/>
        <v>0</v>
      </c>
    </row>
    <row r="100" spans="1:29" s="528" customFormat="1" x14ac:dyDescent="0.25">
      <c r="A100" s="693">
        <v>45946</v>
      </c>
      <c r="B100" s="694"/>
      <c r="C100" s="694" t="s">
        <v>424</v>
      </c>
      <c r="D100" s="694" t="s">
        <v>425</v>
      </c>
      <c r="E100" s="694" t="s">
        <v>584</v>
      </c>
      <c r="F100" s="694" t="s">
        <v>74</v>
      </c>
      <c r="G100" s="694" t="s">
        <v>35</v>
      </c>
      <c r="H100" s="700" t="s">
        <v>271</v>
      </c>
      <c r="I100" s="694"/>
      <c r="J100" s="694"/>
      <c r="K100" s="694"/>
      <c r="L100" s="694"/>
      <c r="M100" s="695">
        <v>86520</v>
      </c>
      <c r="N100" s="390">
        <v>29660</v>
      </c>
      <c r="O100" s="392">
        <f>(CORNHARVESTTBL[[#This Row],[Gross/ -Truck Net]]-CORNHARVESTTBL[[#This Row],[Tare]])</f>
        <v>56860</v>
      </c>
      <c r="P100" s="184">
        <v>53.3</v>
      </c>
      <c r="Q100" s="184">
        <v>17</v>
      </c>
      <c r="R100" s="188"/>
      <c r="S100" s="393"/>
      <c r="T100" s="394">
        <f>CORNHARVESTTBL[[#This Row],[Net]]/56</f>
        <v>1015.3571428571429</v>
      </c>
      <c r="U100" s="395">
        <v>22.85</v>
      </c>
      <c r="V100" s="394"/>
      <c r="W100" s="394">
        <f>CORNHARVESTTBL[[#This Row],[Gross Units]]-CORNHARVESTTBL[[#This Row],[Shrink]]</f>
        <v>992.50714285714287</v>
      </c>
      <c r="X100" s="396" t="s">
        <v>297</v>
      </c>
      <c r="Y100" s="181">
        <v>1</v>
      </c>
      <c r="Z100" s="181">
        <v>0</v>
      </c>
      <c r="AA100" s="394">
        <f t="shared" si="9"/>
        <v>992.50714285714287</v>
      </c>
      <c r="AB100" s="397">
        <f t="shared" si="10"/>
        <v>0</v>
      </c>
    </row>
    <row r="101" spans="1:29" s="528" customFormat="1" ht="15.75" x14ac:dyDescent="0.25">
      <c r="A101" s="693">
        <v>45947</v>
      </c>
      <c r="B101" s="694" t="s">
        <v>330</v>
      </c>
      <c r="C101" s="694" t="s">
        <v>433</v>
      </c>
      <c r="D101" s="694" t="s">
        <v>434</v>
      </c>
      <c r="E101" s="694"/>
      <c r="F101" s="694" t="s">
        <v>74</v>
      </c>
      <c r="G101" s="694" t="s">
        <v>35</v>
      </c>
      <c r="H101" s="681" t="s">
        <v>271</v>
      </c>
      <c r="I101" s="694"/>
      <c r="J101" s="694"/>
      <c r="K101" s="694"/>
      <c r="L101" s="694">
        <v>60309</v>
      </c>
      <c r="M101" s="695"/>
      <c r="N101" s="390"/>
      <c r="O101" s="392">
        <f>(CORNHARVESTTBL[[#This Row],[Gross/ -Truck Net]]-CORNHARVESTTBL[[#This Row],[Tare]])</f>
        <v>0</v>
      </c>
      <c r="P101" s="184"/>
      <c r="Q101" s="184"/>
      <c r="R101" s="188"/>
      <c r="S101" s="393"/>
      <c r="T101" s="394">
        <f>CORNHARVESTTBL[[#This Row],[Net]]/56</f>
        <v>0</v>
      </c>
      <c r="U101" s="395">
        <v>0</v>
      </c>
      <c r="V101" s="394"/>
      <c r="W101" s="394">
        <f>CORNHARVESTTBL[[#This Row],[Gross Units]]-CORNHARVESTTBL[[#This Row],[Shrink]]</f>
        <v>0</v>
      </c>
      <c r="X101" s="396" t="s">
        <v>117</v>
      </c>
      <c r="Y101" s="181">
        <v>0.65</v>
      </c>
      <c r="Z101" s="181">
        <v>0.35</v>
      </c>
      <c r="AA101" s="394">
        <f t="shared" si="9"/>
        <v>0</v>
      </c>
      <c r="AB101" s="397">
        <f t="shared" si="10"/>
        <v>0</v>
      </c>
    </row>
    <row r="102" spans="1:29" s="528" customFormat="1" x14ac:dyDescent="0.25">
      <c r="A102" s="693">
        <v>45947</v>
      </c>
      <c r="B102" s="694" t="s">
        <v>330</v>
      </c>
      <c r="C102" s="694" t="s">
        <v>433</v>
      </c>
      <c r="D102" s="694" t="s">
        <v>434</v>
      </c>
      <c r="E102" s="694"/>
      <c r="F102" s="694" t="s">
        <v>74</v>
      </c>
      <c r="G102" s="694" t="s">
        <v>35</v>
      </c>
      <c r="H102" s="694" t="s">
        <v>271</v>
      </c>
      <c r="I102" s="694"/>
      <c r="J102" s="694"/>
      <c r="K102" s="694" t="s">
        <v>585</v>
      </c>
      <c r="L102" s="694">
        <v>11410</v>
      </c>
      <c r="M102" s="694"/>
      <c r="N102" s="390"/>
      <c r="O102" s="392">
        <f>(CORNHARVESTTBL[[#This Row],[Gross/ -Truck Net]]-CORNHARVESTTBL[[#This Row],[Tare]])</f>
        <v>0</v>
      </c>
      <c r="P102" s="184" t="s">
        <v>586</v>
      </c>
      <c r="Q102" s="184"/>
      <c r="R102" s="188"/>
      <c r="S102" s="393"/>
      <c r="T102" s="394">
        <f>CORNHARVESTTBL[[#This Row],[Net]]/56</f>
        <v>0</v>
      </c>
      <c r="U102" s="395">
        <v>0</v>
      </c>
      <c r="V102" s="394"/>
      <c r="W102" s="394">
        <f>CORNHARVESTTBL[[#This Row],[Gross Units]]-CORNHARVESTTBL[[#This Row],[Shrink]]</f>
        <v>0</v>
      </c>
      <c r="X102" s="396" t="s">
        <v>117</v>
      </c>
      <c r="Y102" s="181">
        <v>0.65</v>
      </c>
      <c r="Z102" s="181">
        <v>0.35</v>
      </c>
      <c r="AA102" s="394">
        <f t="shared" si="9"/>
        <v>0</v>
      </c>
      <c r="AB102" s="397">
        <f t="shared" si="10"/>
        <v>0</v>
      </c>
    </row>
    <row r="103" spans="1:29" s="528" customFormat="1" x14ac:dyDescent="0.25">
      <c r="A103" s="696">
        <v>45947</v>
      </c>
      <c r="B103" s="697" t="s">
        <v>330</v>
      </c>
      <c r="C103" s="697" t="s">
        <v>433</v>
      </c>
      <c r="D103" s="697" t="s">
        <v>434</v>
      </c>
      <c r="E103" s="697"/>
      <c r="F103" s="697" t="s">
        <v>74</v>
      </c>
      <c r="G103" s="697" t="s">
        <v>26</v>
      </c>
      <c r="H103" s="697" t="s">
        <v>587</v>
      </c>
      <c r="I103" s="697"/>
      <c r="J103" s="697"/>
      <c r="K103" s="697" t="s">
        <v>585</v>
      </c>
      <c r="L103" s="697">
        <v>43484</v>
      </c>
      <c r="M103" s="697"/>
      <c r="N103" s="391"/>
      <c r="O103" s="392">
        <f>(CORNHARVESTTBL[[#This Row],[Gross/ -Truck Net]]-CORNHARVESTTBL[[#This Row],[Tare]])</f>
        <v>0</v>
      </c>
      <c r="P103" s="184" t="s">
        <v>586</v>
      </c>
      <c r="Q103" s="184" t="s">
        <v>586</v>
      </c>
      <c r="R103" s="188"/>
      <c r="S103" s="393"/>
      <c r="T103" s="394">
        <f>CORNHARVESTTBL[[#This Row],[Net]]/56</f>
        <v>0</v>
      </c>
      <c r="U103" s="395">
        <v>0</v>
      </c>
      <c r="V103" s="394"/>
      <c r="W103" s="394">
        <f>CORNHARVESTTBL[[#This Row],[Gross Units]]-CORNHARVESTTBL[[#This Row],[Shrink]]</f>
        <v>0</v>
      </c>
      <c r="X103" s="396" t="s">
        <v>117</v>
      </c>
      <c r="Y103" s="181">
        <v>0.65</v>
      </c>
      <c r="Z103" s="181">
        <v>0.35</v>
      </c>
      <c r="AA103" s="394">
        <f t="shared" si="9"/>
        <v>0</v>
      </c>
      <c r="AB103" s="397">
        <f t="shared" si="10"/>
        <v>0</v>
      </c>
    </row>
    <row r="104" spans="1:29" s="528" customFormat="1" x14ac:dyDescent="0.25">
      <c r="A104" s="696">
        <v>45947</v>
      </c>
      <c r="B104" s="697" t="s">
        <v>330</v>
      </c>
      <c r="C104" s="697" t="s">
        <v>433</v>
      </c>
      <c r="D104" s="697" t="s">
        <v>434</v>
      </c>
      <c r="E104" s="697"/>
      <c r="F104" s="697" t="s">
        <v>74</v>
      </c>
      <c r="G104" s="697" t="s">
        <v>26</v>
      </c>
      <c r="H104" s="697" t="s">
        <v>587</v>
      </c>
      <c r="I104" s="697"/>
      <c r="J104" s="697"/>
      <c r="K104" s="697"/>
      <c r="L104" s="697">
        <v>52308</v>
      </c>
      <c r="M104" s="697"/>
      <c r="N104" s="391"/>
      <c r="O104" s="392">
        <f>(CORNHARVESTTBL[[#This Row],[Gross/ -Truck Net]]-CORNHARVESTTBL[[#This Row],[Tare]])</f>
        <v>0</v>
      </c>
      <c r="P104" s="184" t="s">
        <v>586</v>
      </c>
      <c r="Q104" s="184" t="s">
        <v>586</v>
      </c>
      <c r="R104" s="188"/>
      <c r="S104" s="393"/>
      <c r="T104" s="394">
        <f>CORNHARVESTTBL[[#This Row],[Net]]/56</f>
        <v>0</v>
      </c>
      <c r="U104" s="395">
        <v>0</v>
      </c>
      <c r="V104" s="394"/>
      <c r="W104" s="394">
        <f>CORNHARVESTTBL[[#This Row],[Gross Units]]-CORNHARVESTTBL[[#This Row],[Shrink]]</f>
        <v>0</v>
      </c>
      <c r="X104" s="396" t="s">
        <v>117</v>
      </c>
      <c r="Y104" s="181">
        <v>0.65</v>
      </c>
      <c r="Z104" s="181">
        <v>0.35</v>
      </c>
      <c r="AA104" s="394">
        <f t="shared" si="9"/>
        <v>0</v>
      </c>
      <c r="AB104" s="397">
        <f t="shared" si="10"/>
        <v>0</v>
      </c>
    </row>
    <row r="105" spans="1:29" s="528" customFormat="1" x14ac:dyDescent="0.25">
      <c r="A105" s="696">
        <v>45947</v>
      </c>
      <c r="B105" s="697" t="s">
        <v>331</v>
      </c>
      <c r="C105" s="697" t="s">
        <v>433</v>
      </c>
      <c r="D105" s="697" t="s">
        <v>434</v>
      </c>
      <c r="E105" s="697"/>
      <c r="F105" s="697" t="s">
        <v>74</v>
      </c>
      <c r="G105" s="697" t="s">
        <v>26</v>
      </c>
      <c r="H105" s="697" t="s">
        <v>587</v>
      </c>
      <c r="I105" s="697"/>
      <c r="J105" s="697"/>
      <c r="K105" s="697"/>
      <c r="L105" s="697">
        <v>58510</v>
      </c>
      <c r="M105" s="697"/>
      <c r="N105" s="391"/>
      <c r="O105" s="392">
        <f>(CORNHARVESTTBL[[#This Row],[Gross/ -Truck Net]]-CORNHARVESTTBL[[#This Row],[Tare]])</f>
        <v>0</v>
      </c>
      <c r="P105" s="184" t="s">
        <v>586</v>
      </c>
      <c r="Q105" s="184" t="s">
        <v>586</v>
      </c>
      <c r="R105" s="188"/>
      <c r="S105" s="393"/>
      <c r="T105" s="394">
        <f>CORNHARVESTTBL[[#This Row],[Net]]/56</f>
        <v>0</v>
      </c>
      <c r="U105" s="395">
        <v>0</v>
      </c>
      <c r="V105" s="394"/>
      <c r="W105" s="394">
        <f>CORNHARVESTTBL[[#This Row],[Gross Units]]-CORNHARVESTTBL[[#This Row],[Shrink]]</f>
        <v>0</v>
      </c>
      <c r="X105" s="396" t="s">
        <v>117</v>
      </c>
      <c r="Y105" s="181">
        <v>0.65</v>
      </c>
      <c r="Z105" s="181">
        <v>0.35</v>
      </c>
      <c r="AA105" s="394">
        <f t="shared" si="9"/>
        <v>0</v>
      </c>
      <c r="AB105" s="397">
        <f t="shared" si="10"/>
        <v>0</v>
      </c>
    </row>
    <row r="106" spans="1:29" s="528" customFormat="1" x14ac:dyDescent="0.25">
      <c r="A106" s="696">
        <v>45947</v>
      </c>
      <c r="B106" s="697" t="s">
        <v>330</v>
      </c>
      <c r="C106" s="697" t="s">
        <v>433</v>
      </c>
      <c r="D106" s="697" t="s">
        <v>434</v>
      </c>
      <c r="E106" s="697"/>
      <c r="F106" s="697" t="s">
        <v>74</v>
      </c>
      <c r="G106" s="697" t="s">
        <v>26</v>
      </c>
      <c r="H106" s="697" t="s">
        <v>587</v>
      </c>
      <c r="I106" s="697"/>
      <c r="J106" s="697"/>
      <c r="K106" s="697" t="s">
        <v>585</v>
      </c>
      <c r="L106" s="697">
        <v>28270</v>
      </c>
      <c r="M106" s="697"/>
      <c r="N106" s="391"/>
      <c r="O106" s="392">
        <f>(CORNHARVESTTBL[[#This Row],[Gross/ -Truck Net]]-CORNHARVESTTBL[[#This Row],[Tare]])</f>
        <v>0</v>
      </c>
      <c r="P106" s="184" t="s">
        <v>586</v>
      </c>
      <c r="Q106" s="184" t="s">
        <v>586</v>
      </c>
      <c r="R106" s="188"/>
      <c r="S106" s="393"/>
      <c r="T106" s="394">
        <f>CORNHARVESTTBL[[#This Row],[Net]]/56</f>
        <v>0</v>
      </c>
      <c r="U106" s="395">
        <v>0</v>
      </c>
      <c r="V106" s="394"/>
      <c r="W106" s="394">
        <f>CORNHARVESTTBL[[#This Row],[Gross Units]]-CORNHARVESTTBL[[#This Row],[Shrink]]</f>
        <v>0</v>
      </c>
      <c r="X106" s="396" t="s">
        <v>117</v>
      </c>
      <c r="Y106" s="181">
        <v>0.65</v>
      </c>
      <c r="Z106" s="181">
        <v>0.35</v>
      </c>
      <c r="AA106" s="394">
        <f t="shared" si="9"/>
        <v>0</v>
      </c>
      <c r="AB106" s="397">
        <f t="shared" si="10"/>
        <v>0</v>
      </c>
    </row>
    <row r="107" spans="1:29" s="528" customFormat="1" x14ac:dyDescent="0.25">
      <c r="A107" s="696">
        <v>45947</v>
      </c>
      <c r="B107" s="697" t="s">
        <v>330</v>
      </c>
      <c r="C107" s="697" t="s">
        <v>433</v>
      </c>
      <c r="D107" s="697" t="s">
        <v>434</v>
      </c>
      <c r="E107" s="697"/>
      <c r="F107" s="697" t="s">
        <v>74</v>
      </c>
      <c r="G107" s="697" t="s">
        <v>26</v>
      </c>
      <c r="H107" s="697" t="s">
        <v>588</v>
      </c>
      <c r="I107" s="697"/>
      <c r="J107" s="697"/>
      <c r="K107" s="697" t="s">
        <v>585</v>
      </c>
      <c r="L107" s="697">
        <v>29092</v>
      </c>
      <c r="M107" s="697"/>
      <c r="N107" s="391"/>
      <c r="O107" s="392">
        <f>(CORNHARVESTTBL[[#This Row],[Gross/ -Truck Net]]-CORNHARVESTTBL[[#This Row],[Tare]])</f>
        <v>0</v>
      </c>
      <c r="P107" s="184" t="s">
        <v>586</v>
      </c>
      <c r="Q107" s="184" t="s">
        <v>586</v>
      </c>
      <c r="R107" s="188"/>
      <c r="S107" s="393"/>
      <c r="T107" s="394">
        <f>CORNHARVESTTBL[[#This Row],[Net]]/56</f>
        <v>0</v>
      </c>
      <c r="U107" s="395">
        <v>0</v>
      </c>
      <c r="V107" s="394"/>
      <c r="W107" s="394">
        <f>CORNHARVESTTBL[[#This Row],[Gross Units]]-CORNHARVESTTBL[[#This Row],[Shrink]]</f>
        <v>0</v>
      </c>
      <c r="X107" s="396" t="s">
        <v>117</v>
      </c>
      <c r="Y107" s="181">
        <v>0.65</v>
      </c>
      <c r="Z107" s="181">
        <v>0.35</v>
      </c>
      <c r="AA107" s="394">
        <f t="shared" si="9"/>
        <v>0</v>
      </c>
      <c r="AB107" s="397">
        <f t="shared" si="10"/>
        <v>0</v>
      </c>
    </row>
    <row r="108" spans="1:29" s="528" customFormat="1" x14ac:dyDescent="0.25">
      <c r="A108" s="696">
        <v>45948</v>
      </c>
      <c r="B108" s="697" t="s">
        <v>332</v>
      </c>
      <c r="C108" s="697" t="s">
        <v>438</v>
      </c>
      <c r="D108" s="697" t="s">
        <v>439</v>
      </c>
      <c r="E108" s="697"/>
      <c r="F108" s="697" t="s">
        <v>74</v>
      </c>
      <c r="G108" s="697" t="s">
        <v>26</v>
      </c>
      <c r="H108" s="697" t="s">
        <v>588</v>
      </c>
      <c r="I108" s="697" t="s">
        <v>589</v>
      </c>
      <c r="J108" s="697" t="s">
        <v>590</v>
      </c>
      <c r="K108" s="697"/>
      <c r="L108" s="697">
        <v>72078</v>
      </c>
      <c r="M108" s="697"/>
      <c r="N108" s="391"/>
      <c r="O108" s="392">
        <f>(CORNHARVESTTBL[[#This Row],[Gross/ -Truck Net]]-CORNHARVESTTBL[[#This Row],[Tare]])</f>
        <v>0</v>
      </c>
      <c r="P108" s="184" t="s">
        <v>586</v>
      </c>
      <c r="Q108" s="184" t="s">
        <v>586</v>
      </c>
      <c r="R108" s="188"/>
      <c r="S108" s="393"/>
      <c r="T108" s="394">
        <f>CORNHARVESTTBL[[#This Row],[Net]]/56</f>
        <v>0</v>
      </c>
      <c r="U108" s="395">
        <v>0</v>
      </c>
      <c r="V108" s="394"/>
      <c r="W108" s="394">
        <f>CORNHARVESTTBL[[#This Row],[Gross Units]]-CORNHARVESTTBL[[#This Row],[Shrink]]</f>
        <v>0</v>
      </c>
      <c r="X108" s="396" t="s">
        <v>117</v>
      </c>
      <c r="Y108" s="181">
        <v>0.65</v>
      </c>
      <c r="Z108" s="181">
        <v>0.35</v>
      </c>
      <c r="AA108" s="394">
        <f t="shared" si="9"/>
        <v>0</v>
      </c>
      <c r="AB108" s="397">
        <f t="shared" si="10"/>
        <v>0</v>
      </c>
    </row>
    <row r="109" spans="1:29" s="528" customFormat="1" x14ac:dyDescent="0.25">
      <c r="A109" s="398">
        <v>45948</v>
      </c>
      <c r="B109" s="184" t="s">
        <v>332</v>
      </c>
      <c r="C109" s="184" t="s">
        <v>438</v>
      </c>
      <c r="D109" s="184" t="s">
        <v>439</v>
      </c>
      <c r="E109" s="184"/>
      <c r="F109" s="184" t="s">
        <v>74</v>
      </c>
      <c r="G109" s="184"/>
      <c r="H109" s="184"/>
      <c r="I109" s="184" t="s">
        <v>591</v>
      </c>
      <c r="J109" s="184" t="s">
        <v>592</v>
      </c>
      <c r="K109" s="184"/>
      <c r="L109" s="184"/>
      <c r="M109" s="230"/>
      <c r="N109" s="391"/>
      <c r="O109" s="392">
        <f>(CORNHARVESTTBL[[#This Row],[Gross/ -Truck Net]]-CORNHARVESTTBL[[#This Row],[Tare]])</f>
        <v>0</v>
      </c>
      <c r="P109" s="184"/>
      <c r="Q109" s="184"/>
      <c r="R109" s="188"/>
      <c r="S109" s="393"/>
      <c r="T109" s="394">
        <f>CORNHARVESTTBL[[#This Row],[Net]]/56</f>
        <v>0</v>
      </c>
      <c r="U109" s="395"/>
      <c r="V109" s="394"/>
      <c r="W109" s="394">
        <f>CORNHARVESTTBL[[#This Row],[Gross Units]]-CORNHARVESTTBL[[#This Row],[Shrink]]</f>
        <v>0</v>
      </c>
      <c r="X109" s="396"/>
      <c r="Y109" s="181"/>
      <c r="Z109" s="181"/>
      <c r="AA109" s="394"/>
      <c r="AB109" s="397"/>
    </row>
    <row r="110" spans="1:29" s="528" customFormat="1" x14ac:dyDescent="0.25">
      <c r="A110" s="398">
        <v>45949</v>
      </c>
      <c r="B110" s="184" t="s">
        <v>332</v>
      </c>
      <c r="C110" s="184" t="s">
        <v>438</v>
      </c>
      <c r="D110" s="184" t="s">
        <v>439</v>
      </c>
      <c r="E110" s="184"/>
      <c r="F110" s="184" t="s">
        <v>74</v>
      </c>
      <c r="G110" s="184"/>
      <c r="H110" s="184"/>
      <c r="I110" s="184" t="s">
        <v>591</v>
      </c>
      <c r="J110" s="184" t="s">
        <v>593</v>
      </c>
      <c r="K110" s="184"/>
      <c r="L110" s="184"/>
      <c r="M110" s="230"/>
      <c r="N110" s="391"/>
      <c r="O110" s="392">
        <f>(CORNHARVESTTBL[[#This Row],[Gross/ -Truck Net]]-CORNHARVESTTBL[[#This Row],[Tare]])</f>
        <v>0</v>
      </c>
      <c r="P110" s="184"/>
      <c r="Q110" s="184"/>
      <c r="R110" s="188"/>
      <c r="S110" s="393"/>
      <c r="T110" s="394">
        <f>CORNHARVESTTBL[[#This Row],[Net]]/56</f>
        <v>0</v>
      </c>
      <c r="U110" s="395"/>
      <c r="V110" s="394"/>
      <c r="W110" s="394">
        <f>CORNHARVESTTBL[[#This Row],[Gross Units]]-CORNHARVESTTBL[[#This Row],[Shrink]]</f>
        <v>0</v>
      </c>
      <c r="X110" s="396"/>
      <c r="Y110" s="181"/>
      <c r="Z110" s="181"/>
      <c r="AA110" s="394"/>
      <c r="AB110" s="397"/>
    </row>
    <row r="111" spans="1:29" s="528" customFormat="1" x14ac:dyDescent="0.25">
      <c r="A111" s="398">
        <v>45950</v>
      </c>
      <c r="B111" s="184" t="s">
        <v>332</v>
      </c>
      <c r="C111" s="184" t="s">
        <v>438</v>
      </c>
      <c r="D111" s="184" t="s">
        <v>439</v>
      </c>
      <c r="E111" s="184"/>
      <c r="F111" s="184" t="s">
        <v>74</v>
      </c>
      <c r="G111" s="184"/>
      <c r="H111" s="184"/>
      <c r="I111" s="184" t="s">
        <v>591</v>
      </c>
      <c r="J111" s="184" t="s">
        <v>590</v>
      </c>
      <c r="K111" s="184"/>
      <c r="L111" s="184"/>
      <c r="M111" s="230"/>
      <c r="N111" s="391"/>
      <c r="O111" s="392">
        <f>(CORNHARVESTTBL[[#This Row],[Gross/ -Truck Net]]-CORNHARVESTTBL[[#This Row],[Tare]])</f>
        <v>0</v>
      </c>
      <c r="P111" s="184"/>
      <c r="Q111" s="184"/>
      <c r="R111" s="188"/>
      <c r="S111" s="393"/>
      <c r="T111" s="394">
        <f>CORNHARVESTTBL[[#This Row],[Net]]/56</f>
        <v>0</v>
      </c>
      <c r="U111" s="395"/>
      <c r="V111" s="394"/>
      <c r="W111" s="394">
        <f>CORNHARVESTTBL[[#This Row],[Gross Units]]-CORNHARVESTTBL[[#This Row],[Shrink]]</f>
        <v>0</v>
      </c>
      <c r="X111" s="396"/>
      <c r="Y111" s="181"/>
      <c r="Z111" s="181"/>
      <c r="AA111" s="394"/>
      <c r="AB111" s="397"/>
    </row>
    <row r="112" spans="1:29" s="528" customFormat="1" x14ac:dyDescent="0.25">
      <c r="A112" s="696">
        <v>45950</v>
      </c>
      <c r="B112" s="697" t="s">
        <v>332</v>
      </c>
      <c r="C112" s="697" t="s">
        <v>438</v>
      </c>
      <c r="D112" s="697" t="s">
        <v>439</v>
      </c>
      <c r="E112" s="697"/>
      <c r="F112" s="697" t="s">
        <v>74</v>
      </c>
      <c r="G112" s="697" t="s">
        <v>26</v>
      </c>
      <c r="H112" s="697" t="s">
        <v>588</v>
      </c>
      <c r="I112" s="697"/>
      <c r="J112" s="697" t="s">
        <v>593</v>
      </c>
      <c r="K112" s="697" t="s">
        <v>585</v>
      </c>
      <c r="L112" s="697">
        <v>37460</v>
      </c>
      <c r="M112" s="697"/>
      <c r="N112" s="391"/>
      <c r="O112" s="392">
        <f>(CORNHARVESTTBL[[#This Row],[Gross/ -Truck Net]]-CORNHARVESTTBL[[#This Row],[Tare]])</f>
        <v>0</v>
      </c>
      <c r="P112" s="184" t="s">
        <v>586</v>
      </c>
      <c r="Q112" s="184" t="s">
        <v>586</v>
      </c>
      <c r="R112" s="188"/>
      <c r="S112" s="393"/>
      <c r="T112" s="394">
        <f>CORNHARVESTTBL[[#This Row],[Net]]/56</f>
        <v>0</v>
      </c>
      <c r="U112" s="395">
        <v>0</v>
      </c>
      <c r="V112" s="394"/>
      <c r="W112" s="394">
        <f>CORNHARVESTTBL[[#This Row],[Gross Units]]-CORNHARVESTTBL[[#This Row],[Shrink]]</f>
        <v>0</v>
      </c>
      <c r="X112" s="396" t="s">
        <v>117</v>
      </c>
      <c r="Y112" s="181">
        <v>0.65</v>
      </c>
      <c r="Z112" s="181">
        <v>0.35</v>
      </c>
      <c r="AA112" s="394">
        <f t="shared" si="9"/>
        <v>0</v>
      </c>
      <c r="AB112" s="397">
        <f t="shared" si="10"/>
        <v>0</v>
      </c>
    </row>
    <row r="113" spans="1:28" s="528" customFormat="1" ht="15.75" x14ac:dyDescent="0.25">
      <c r="A113" s="696">
        <v>45950</v>
      </c>
      <c r="B113" s="697" t="s">
        <v>332</v>
      </c>
      <c r="C113" s="697" t="s">
        <v>438</v>
      </c>
      <c r="D113" s="697" t="s">
        <v>439</v>
      </c>
      <c r="E113" s="697"/>
      <c r="F113" s="697" t="s">
        <v>74</v>
      </c>
      <c r="G113" s="697" t="s">
        <v>28</v>
      </c>
      <c r="H113" s="681" t="s">
        <v>226</v>
      </c>
      <c r="I113" s="697" t="s">
        <v>589</v>
      </c>
      <c r="J113" s="697" t="s">
        <v>593</v>
      </c>
      <c r="K113" s="697" t="s">
        <v>585</v>
      </c>
      <c r="L113" s="697">
        <v>27581</v>
      </c>
      <c r="M113" s="697"/>
      <c r="N113" s="391"/>
      <c r="O113" s="392">
        <f>(CORNHARVESTTBL[[#This Row],[Gross/ -Truck Net]]-CORNHARVESTTBL[[#This Row],[Tare]])</f>
        <v>0</v>
      </c>
      <c r="P113" s="184" t="s">
        <v>586</v>
      </c>
      <c r="Q113" s="184" t="s">
        <v>586</v>
      </c>
      <c r="R113" s="188"/>
      <c r="S113" s="393"/>
      <c r="T113" s="394">
        <f>CORNHARVESTTBL[[#This Row],[Net]]/56</f>
        <v>0</v>
      </c>
      <c r="U113" s="395">
        <v>0</v>
      </c>
      <c r="V113" s="394"/>
      <c r="W113" s="394">
        <f>CORNHARVESTTBL[[#This Row],[Gross Units]]-CORNHARVESTTBL[[#This Row],[Shrink]]</f>
        <v>0</v>
      </c>
      <c r="X113" s="396" t="s">
        <v>117</v>
      </c>
      <c r="Y113" s="181">
        <v>0.65</v>
      </c>
      <c r="Z113" s="181">
        <v>0.35</v>
      </c>
      <c r="AA113" s="394">
        <f t="shared" si="9"/>
        <v>0</v>
      </c>
      <c r="AB113" s="397">
        <f t="shared" si="10"/>
        <v>0</v>
      </c>
    </row>
    <row r="114" spans="1:28" s="528" customFormat="1" ht="15.75" x14ac:dyDescent="0.25">
      <c r="A114" s="696">
        <v>45951</v>
      </c>
      <c r="B114" s="697" t="s">
        <v>332</v>
      </c>
      <c r="C114" s="697" t="s">
        <v>438</v>
      </c>
      <c r="D114" s="697" t="s">
        <v>439</v>
      </c>
      <c r="E114" s="697"/>
      <c r="F114" s="697" t="s">
        <v>74</v>
      </c>
      <c r="G114" s="697" t="s">
        <v>28</v>
      </c>
      <c r="H114" s="681" t="s">
        <v>226</v>
      </c>
      <c r="I114" s="697" t="s">
        <v>589</v>
      </c>
      <c r="J114" s="697" t="s">
        <v>594</v>
      </c>
      <c r="K114" s="697"/>
      <c r="L114" s="697">
        <v>72625</v>
      </c>
      <c r="M114" s="697"/>
      <c r="N114" s="391"/>
      <c r="O114" s="392">
        <f>(CORNHARVESTTBL[[#This Row],[Gross/ -Truck Net]]-CORNHARVESTTBL[[#This Row],[Tare]])</f>
        <v>0</v>
      </c>
      <c r="P114" s="184" t="s">
        <v>586</v>
      </c>
      <c r="Q114" s="184" t="s">
        <v>586</v>
      </c>
      <c r="R114" s="188"/>
      <c r="S114" s="393"/>
      <c r="T114" s="394">
        <f>CORNHARVESTTBL[[#This Row],[Net]]/56</f>
        <v>0</v>
      </c>
      <c r="U114" s="395">
        <v>0</v>
      </c>
      <c r="V114" s="394"/>
      <c r="W114" s="394">
        <f>CORNHARVESTTBL[[#This Row],[Gross Units]]-CORNHARVESTTBL[[#This Row],[Shrink]]</f>
        <v>0</v>
      </c>
      <c r="X114" s="396" t="s">
        <v>117</v>
      </c>
      <c r="Y114" s="181">
        <v>0.65</v>
      </c>
      <c r="Z114" s="181">
        <v>0.35</v>
      </c>
      <c r="AA114" s="394">
        <f t="shared" si="9"/>
        <v>0</v>
      </c>
      <c r="AB114" s="397">
        <f t="shared" si="10"/>
        <v>0</v>
      </c>
    </row>
    <row r="115" spans="1:28" s="528" customFormat="1" ht="15.75" x14ac:dyDescent="0.25">
      <c r="A115" s="696">
        <v>45951</v>
      </c>
      <c r="B115" s="697" t="s">
        <v>332</v>
      </c>
      <c r="C115" s="697" t="s">
        <v>438</v>
      </c>
      <c r="D115" s="697" t="s">
        <v>439</v>
      </c>
      <c r="E115" s="697"/>
      <c r="F115" s="697" t="s">
        <v>74</v>
      </c>
      <c r="G115" s="697" t="s">
        <v>28</v>
      </c>
      <c r="H115" s="681" t="s">
        <v>226</v>
      </c>
      <c r="I115" s="697" t="s">
        <v>589</v>
      </c>
      <c r="J115" s="697" t="s">
        <v>593</v>
      </c>
      <c r="K115" s="697" t="s">
        <v>585</v>
      </c>
      <c r="L115" s="697">
        <v>19450</v>
      </c>
      <c r="M115" s="697"/>
      <c r="N115" s="391"/>
      <c r="O115" s="392">
        <f>(CORNHARVESTTBL[[#This Row],[Gross/ -Truck Net]]-CORNHARVESTTBL[[#This Row],[Tare]])</f>
        <v>0</v>
      </c>
      <c r="P115" s="184" t="s">
        <v>586</v>
      </c>
      <c r="Q115" s="184" t="s">
        <v>586</v>
      </c>
      <c r="R115" s="188"/>
      <c r="S115" s="393"/>
      <c r="T115" s="394">
        <f>CORNHARVESTTBL[[#This Row],[Net]]/56</f>
        <v>0</v>
      </c>
      <c r="U115" s="395">
        <v>0</v>
      </c>
      <c r="V115" s="394"/>
      <c r="W115" s="394">
        <f>CORNHARVESTTBL[[#This Row],[Gross Units]]-CORNHARVESTTBL[[#This Row],[Shrink]]</f>
        <v>0</v>
      </c>
      <c r="X115" s="396" t="s">
        <v>117</v>
      </c>
      <c r="Y115" s="181">
        <v>0.65</v>
      </c>
      <c r="Z115" s="181">
        <v>0.35</v>
      </c>
      <c r="AA115" s="394">
        <f t="shared" si="9"/>
        <v>0</v>
      </c>
      <c r="AB115" s="397">
        <f t="shared" si="10"/>
        <v>0</v>
      </c>
    </row>
    <row r="116" spans="1:28" s="528" customFormat="1" ht="15.75" x14ac:dyDescent="0.25">
      <c r="A116" s="696">
        <v>45951</v>
      </c>
      <c r="B116" s="697" t="s">
        <v>332</v>
      </c>
      <c r="C116" s="697" t="s">
        <v>438</v>
      </c>
      <c r="D116" s="697" t="s">
        <v>439</v>
      </c>
      <c r="E116" s="697"/>
      <c r="F116" s="697" t="s">
        <v>74</v>
      </c>
      <c r="G116" s="697" t="s">
        <v>28</v>
      </c>
      <c r="H116" s="681" t="s">
        <v>223</v>
      </c>
      <c r="I116" s="697" t="s">
        <v>589</v>
      </c>
      <c r="J116" s="697" t="s">
        <v>593</v>
      </c>
      <c r="K116" s="697" t="s">
        <v>585</v>
      </c>
      <c r="L116" s="697">
        <v>49126</v>
      </c>
      <c r="M116" s="697"/>
      <c r="N116" s="391"/>
      <c r="O116" s="392">
        <f>(CORNHARVESTTBL[[#This Row],[Gross/ -Truck Net]]-CORNHARVESTTBL[[#This Row],[Tare]])</f>
        <v>0</v>
      </c>
      <c r="P116" s="184" t="s">
        <v>586</v>
      </c>
      <c r="Q116" s="184" t="s">
        <v>586</v>
      </c>
      <c r="R116" s="188"/>
      <c r="S116" s="393"/>
      <c r="T116" s="394">
        <f>CORNHARVESTTBL[[#This Row],[Net]]/56</f>
        <v>0</v>
      </c>
      <c r="U116" s="395">
        <v>0</v>
      </c>
      <c r="V116" s="394"/>
      <c r="W116" s="394">
        <f>CORNHARVESTTBL[[#This Row],[Gross Units]]-CORNHARVESTTBL[[#This Row],[Shrink]]</f>
        <v>0</v>
      </c>
      <c r="X116" s="396" t="s">
        <v>117</v>
      </c>
      <c r="Y116" s="181">
        <v>0.65</v>
      </c>
      <c r="Z116" s="181">
        <v>0.35</v>
      </c>
      <c r="AA116" s="394">
        <f t="shared" si="9"/>
        <v>0</v>
      </c>
      <c r="AB116" s="397">
        <f t="shared" si="10"/>
        <v>0</v>
      </c>
    </row>
    <row r="117" spans="1:28" s="528" customFormat="1" ht="15.75" x14ac:dyDescent="0.25">
      <c r="A117" s="696">
        <v>45952</v>
      </c>
      <c r="B117" s="697" t="s">
        <v>330</v>
      </c>
      <c r="C117" s="697" t="s">
        <v>433</v>
      </c>
      <c r="D117" s="697" t="s">
        <v>434</v>
      </c>
      <c r="E117" s="697"/>
      <c r="F117" s="697" t="s">
        <v>74</v>
      </c>
      <c r="G117" s="697" t="s">
        <v>28</v>
      </c>
      <c r="H117" s="681" t="s">
        <v>223</v>
      </c>
      <c r="I117" s="697"/>
      <c r="J117" s="697"/>
      <c r="K117" s="697" t="s">
        <v>585</v>
      </c>
      <c r="L117" s="697">
        <v>27140</v>
      </c>
      <c r="M117" s="697"/>
      <c r="N117" s="391"/>
      <c r="O117" s="392">
        <f>(CORNHARVESTTBL[[#This Row],[Gross/ -Truck Net]]-CORNHARVESTTBL[[#This Row],[Tare]])</f>
        <v>0</v>
      </c>
      <c r="P117" s="184" t="s">
        <v>586</v>
      </c>
      <c r="Q117" s="184" t="s">
        <v>586</v>
      </c>
      <c r="R117" s="188"/>
      <c r="S117" s="393"/>
      <c r="T117" s="394">
        <f>CORNHARVESTTBL[[#This Row],[Net]]/56</f>
        <v>0</v>
      </c>
      <c r="U117" s="395">
        <v>0</v>
      </c>
      <c r="V117" s="394"/>
      <c r="W117" s="394">
        <f>CORNHARVESTTBL[[#This Row],[Gross Units]]-CORNHARVESTTBL[[#This Row],[Shrink]]</f>
        <v>0</v>
      </c>
      <c r="X117" s="396" t="s">
        <v>117</v>
      </c>
      <c r="Y117" s="181">
        <v>0.65</v>
      </c>
      <c r="Z117" s="181">
        <v>0.35</v>
      </c>
      <c r="AA117" s="394">
        <f t="shared" si="9"/>
        <v>0</v>
      </c>
      <c r="AB117" s="397">
        <f t="shared" si="10"/>
        <v>0</v>
      </c>
    </row>
    <row r="118" spans="1:28" s="528" customFormat="1" ht="15.75" x14ac:dyDescent="0.25">
      <c r="A118" s="696">
        <v>45952</v>
      </c>
      <c r="B118" s="697" t="s">
        <v>330</v>
      </c>
      <c r="C118" s="697" t="s">
        <v>433</v>
      </c>
      <c r="D118" s="697" t="s">
        <v>434</v>
      </c>
      <c r="E118" s="697"/>
      <c r="F118" s="697" t="s">
        <v>74</v>
      </c>
      <c r="G118" s="697" t="s">
        <v>21</v>
      </c>
      <c r="H118" s="683" t="s">
        <v>23</v>
      </c>
      <c r="I118" s="697"/>
      <c r="J118" s="697"/>
      <c r="K118" s="697" t="s">
        <v>585</v>
      </c>
      <c r="L118" s="697">
        <v>29688</v>
      </c>
      <c r="M118" s="697"/>
      <c r="N118" s="391"/>
      <c r="O118" s="392">
        <f>(CORNHARVESTTBL[[#This Row],[Gross/ -Truck Net]]-CORNHARVESTTBL[[#This Row],[Tare]])</f>
        <v>0</v>
      </c>
      <c r="P118" s="184" t="s">
        <v>586</v>
      </c>
      <c r="Q118" s="184" t="s">
        <v>586</v>
      </c>
      <c r="R118" s="188"/>
      <c r="S118" s="393"/>
      <c r="T118" s="394">
        <f>CORNHARVESTTBL[[#This Row],[Net]]/56</f>
        <v>0</v>
      </c>
      <c r="U118" s="395">
        <v>0</v>
      </c>
      <c r="V118" s="394"/>
      <c r="W118" s="394">
        <f>CORNHARVESTTBL[[#This Row],[Gross Units]]-CORNHARVESTTBL[[#This Row],[Shrink]]</f>
        <v>0</v>
      </c>
      <c r="X118" s="396" t="s">
        <v>297</v>
      </c>
      <c r="Y118" s="181">
        <v>1</v>
      </c>
      <c r="Z118" s="181"/>
      <c r="AA118" s="394">
        <f>CORNHARVESTTBL[[#This Row],[Net Units]]*CORNHARVESTTBL[[#This Row],[MCC. ENT.]]</f>
        <v>0</v>
      </c>
      <c r="AB118" s="397">
        <f>CORNHARVESTTBL[[#This Row],[Net Units]]*CORNHARVESTTBL[[#This Row],[L.L.]]</f>
        <v>0</v>
      </c>
    </row>
    <row r="119" spans="1:28" s="528" customFormat="1" x14ac:dyDescent="0.25">
      <c r="A119" s="696">
        <v>45952</v>
      </c>
      <c r="B119" s="697" t="s">
        <v>331</v>
      </c>
      <c r="C119" s="697" t="s">
        <v>433</v>
      </c>
      <c r="D119" s="697" t="s">
        <v>434</v>
      </c>
      <c r="E119" s="697"/>
      <c r="F119" s="697" t="s">
        <v>74</v>
      </c>
      <c r="G119" s="697" t="s">
        <v>21</v>
      </c>
      <c r="H119" s="697" t="s">
        <v>23</v>
      </c>
      <c r="I119" s="697"/>
      <c r="J119" s="697"/>
      <c r="K119" s="697"/>
      <c r="L119" s="697">
        <v>58609</v>
      </c>
      <c r="M119" s="697"/>
      <c r="N119" s="391"/>
      <c r="O119" s="392">
        <f>(CORNHARVESTTBL[[#This Row],[Gross/ -Truck Net]]-CORNHARVESTTBL[[#This Row],[Tare]])</f>
        <v>0</v>
      </c>
      <c r="P119" s="184" t="s">
        <v>586</v>
      </c>
      <c r="Q119" s="184" t="s">
        <v>586</v>
      </c>
      <c r="R119" s="188"/>
      <c r="S119" s="393"/>
      <c r="T119" s="394">
        <f>CORNHARVESTTBL[[#This Row],[Net]]/56</f>
        <v>0</v>
      </c>
      <c r="U119" s="395">
        <v>0</v>
      </c>
      <c r="V119" s="394"/>
      <c r="W119" s="394">
        <f>CORNHARVESTTBL[[#This Row],[Gross Units]]-CORNHARVESTTBL[[#This Row],[Shrink]]</f>
        <v>0</v>
      </c>
      <c r="X119" s="396" t="s">
        <v>297</v>
      </c>
      <c r="Y119" s="181">
        <v>1</v>
      </c>
      <c r="Z119" s="181"/>
      <c r="AA119" s="394">
        <f>CORNHARVESTTBL[[#This Row],[Net Units]]*CORNHARVESTTBL[[#This Row],[MCC. ENT.]]</f>
        <v>0</v>
      </c>
      <c r="AB119" s="397">
        <f>CORNHARVESTTBL[[#This Row],[Net Units]]*CORNHARVESTTBL[[#This Row],[L.L.]]</f>
        <v>0</v>
      </c>
    </row>
    <row r="120" spans="1:28" s="528" customFormat="1" x14ac:dyDescent="0.25">
      <c r="A120" s="696">
        <v>45952</v>
      </c>
      <c r="B120" s="697" t="s">
        <v>332</v>
      </c>
      <c r="C120" s="697" t="s">
        <v>438</v>
      </c>
      <c r="D120" s="697" t="s">
        <v>439</v>
      </c>
      <c r="E120" s="697"/>
      <c r="F120" s="697" t="s">
        <v>74</v>
      </c>
      <c r="G120" s="697" t="s">
        <v>21</v>
      </c>
      <c r="H120" s="697" t="s">
        <v>23</v>
      </c>
      <c r="I120" s="697" t="s">
        <v>589</v>
      </c>
      <c r="J120" s="697" t="s">
        <v>592</v>
      </c>
      <c r="K120" s="697"/>
      <c r="L120" s="697">
        <v>66155</v>
      </c>
      <c r="M120" s="697"/>
      <c r="N120" s="391"/>
      <c r="O120" s="392">
        <f>(CORNHARVESTTBL[[#This Row],[Gross/ -Truck Net]]-CORNHARVESTTBL[[#This Row],[Tare]])</f>
        <v>0</v>
      </c>
      <c r="P120" s="184"/>
      <c r="Q120" s="184"/>
      <c r="R120" s="188"/>
      <c r="S120" s="393"/>
      <c r="T120" s="394">
        <f>CORNHARVESTTBL[[#This Row],[Net]]/56</f>
        <v>0</v>
      </c>
      <c r="U120" s="395">
        <v>0</v>
      </c>
      <c r="V120" s="394"/>
      <c r="W120" s="394">
        <f>CORNHARVESTTBL[[#This Row],[Gross Units]]-CORNHARVESTTBL[[#This Row],[Shrink]]</f>
        <v>0</v>
      </c>
      <c r="X120" s="396" t="s">
        <v>297</v>
      </c>
      <c r="Y120" s="181">
        <v>1</v>
      </c>
      <c r="Z120" s="181"/>
      <c r="AA120" s="394">
        <f>CORNHARVESTTBL[[#This Row],[Net Units]]*CORNHARVESTTBL[[#This Row],[MCC. ENT.]]</f>
        <v>0</v>
      </c>
      <c r="AB120" s="397">
        <f>CORNHARVESTTBL[[#This Row],[Net Units]]*CORNHARVESTTBL[[#This Row],[L.L.]]</f>
        <v>0</v>
      </c>
    </row>
    <row r="121" spans="1:28" s="528" customFormat="1" x14ac:dyDescent="0.25">
      <c r="A121" s="696">
        <v>45952</v>
      </c>
      <c r="B121" s="697" t="s">
        <v>332</v>
      </c>
      <c r="C121" s="697" t="s">
        <v>438</v>
      </c>
      <c r="D121" s="697" t="s">
        <v>439</v>
      </c>
      <c r="E121" s="697"/>
      <c r="F121" s="697" t="s">
        <v>74</v>
      </c>
      <c r="G121" s="697" t="s">
        <v>21</v>
      </c>
      <c r="H121" s="697" t="s">
        <v>23</v>
      </c>
      <c r="I121" s="697" t="s">
        <v>589</v>
      </c>
      <c r="J121" s="697" t="s">
        <v>590</v>
      </c>
      <c r="K121" s="697" t="s">
        <v>585</v>
      </c>
      <c r="L121" s="697">
        <v>22930</v>
      </c>
      <c r="M121" s="697"/>
      <c r="N121" s="391"/>
      <c r="O121" s="392">
        <f>(CORNHARVESTTBL[[#This Row],[Gross/ -Truck Net]]-CORNHARVESTTBL[[#This Row],[Tare]])</f>
        <v>0</v>
      </c>
      <c r="P121" s="184"/>
      <c r="Q121" s="184"/>
      <c r="R121" s="188"/>
      <c r="S121" s="393"/>
      <c r="T121" s="394">
        <f>CORNHARVESTTBL[[#This Row],[Net]]/56</f>
        <v>0</v>
      </c>
      <c r="U121" s="395">
        <v>0</v>
      </c>
      <c r="V121" s="394"/>
      <c r="W121" s="394">
        <f>CORNHARVESTTBL[[#This Row],[Gross Units]]-CORNHARVESTTBL[[#This Row],[Shrink]]</f>
        <v>0</v>
      </c>
      <c r="X121" s="396" t="s">
        <v>297</v>
      </c>
      <c r="Y121" s="181">
        <v>1</v>
      </c>
      <c r="Z121" s="181"/>
      <c r="AA121" s="394">
        <f>CORNHARVESTTBL[[#This Row],[Net Units]]*CORNHARVESTTBL[[#This Row],[MCC. ENT.]]</f>
        <v>0</v>
      </c>
      <c r="AB121" s="397">
        <f>CORNHARVESTTBL[[#This Row],[Net Units]]*CORNHARVESTTBL[[#This Row],[L.L.]]</f>
        <v>0</v>
      </c>
    </row>
    <row r="122" spans="1:28" s="528" customFormat="1" x14ac:dyDescent="0.25">
      <c r="A122" s="696">
        <v>45952</v>
      </c>
      <c r="B122" s="697" t="s">
        <v>332</v>
      </c>
      <c r="C122" s="697" t="s">
        <v>438</v>
      </c>
      <c r="D122" s="697" t="s">
        <v>439</v>
      </c>
      <c r="E122" s="697"/>
      <c r="F122" s="697" t="s">
        <v>74</v>
      </c>
      <c r="G122" s="697" t="s">
        <v>21</v>
      </c>
      <c r="H122" s="697" t="s">
        <v>24</v>
      </c>
      <c r="I122" s="697" t="s">
        <v>589</v>
      </c>
      <c r="J122" s="697" t="s">
        <v>590</v>
      </c>
      <c r="K122" s="697" t="s">
        <v>585</v>
      </c>
      <c r="L122" s="697">
        <v>49638</v>
      </c>
      <c r="M122" s="697"/>
      <c r="N122" s="391"/>
      <c r="O122" s="392">
        <f>(CORNHARVESTTBL[[#This Row],[Gross/ -Truck Net]]-CORNHARVESTTBL[[#This Row],[Tare]])</f>
        <v>0</v>
      </c>
      <c r="P122" s="184"/>
      <c r="Q122" s="184"/>
      <c r="R122" s="188"/>
      <c r="S122" s="393"/>
      <c r="T122" s="394">
        <f>CORNHARVESTTBL[[#This Row],[Net]]/56</f>
        <v>0</v>
      </c>
      <c r="U122" s="395">
        <v>0</v>
      </c>
      <c r="V122" s="394"/>
      <c r="W122" s="394">
        <f>CORNHARVESTTBL[[#This Row],[Gross Units]]-CORNHARVESTTBL[[#This Row],[Shrink]]</f>
        <v>0</v>
      </c>
      <c r="X122" s="396" t="s">
        <v>297</v>
      </c>
      <c r="Y122" s="181">
        <v>1</v>
      </c>
      <c r="Z122" s="181"/>
      <c r="AA122" s="394">
        <f>CORNHARVESTTBL[[#This Row],[Net Units]]*CORNHARVESTTBL[[#This Row],[MCC. ENT.]]</f>
        <v>0</v>
      </c>
      <c r="AB122" s="397">
        <f>CORNHARVESTTBL[[#This Row],[Net Units]]*CORNHARVESTTBL[[#This Row],[L.L.]]</f>
        <v>0</v>
      </c>
    </row>
    <row r="123" spans="1:28" s="528" customFormat="1" ht="15.75" x14ac:dyDescent="0.25">
      <c r="A123" s="696">
        <v>45952</v>
      </c>
      <c r="B123" s="697" t="s">
        <v>330</v>
      </c>
      <c r="C123" s="697" t="s">
        <v>433</v>
      </c>
      <c r="D123" s="697" t="s">
        <v>434</v>
      </c>
      <c r="E123" s="697"/>
      <c r="F123" s="697" t="s">
        <v>74</v>
      </c>
      <c r="G123" s="697" t="s">
        <v>21</v>
      </c>
      <c r="H123" s="701" t="s">
        <v>24</v>
      </c>
      <c r="I123" s="697" t="s">
        <v>586</v>
      </c>
      <c r="J123" s="697"/>
      <c r="K123" s="697"/>
      <c r="L123" s="697">
        <v>59924</v>
      </c>
      <c r="M123" s="697"/>
      <c r="N123" s="391"/>
      <c r="O123" s="392">
        <f>(CORNHARVESTTBL[[#This Row],[Gross/ -Truck Net]]-CORNHARVESTTBL[[#This Row],[Tare]])</f>
        <v>0</v>
      </c>
      <c r="P123" s="184"/>
      <c r="Q123" s="184"/>
      <c r="R123" s="188"/>
      <c r="S123" s="393"/>
      <c r="T123" s="394">
        <f>CORNHARVESTTBL[[#This Row],[Net]]/56</f>
        <v>0</v>
      </c>
      <c r="U123" s="395">
        <v>0</v>
      </c>
      <c r="V123" s="394"/>
      <c r="W123" s="394">
        <f>CORNHARVESTTBL[[#This Row],[Gross Units]]-CORNHARVESTTBL[[#This Row],[Shrink]]</f>
        <v>0</v>
      </c>
      <c r="X123" s="396" t="s">
        <v>117</v>
      </c>
      <c r="Y123" s="181">
        <v>0.65</v>
      </c>
      <c r="Z123" s="181">
        <v>0.35</v>
      </c>
      <c r="AA123" s="394">
        <f t="shared" ref="AA123:AA156" si="11">W123*Y123</f>
        <v>0</v>
      </c>
      <c r="AB123" s="397">
        <f>W123*Z123</f>
        <v>0</v>
      </c>
    </row>
    <row r="124" spans="1:28" s="528" customFormat="1" x14ac:dyDescent="0.25">
      <c r="A124" s="696">
        <v>45952</v>
      </c>
      <c r="B124" s="697" t="s">
        <v>331</v>
      </c>
      <c r="C124" s="697" t="s">
        <v>433</v>
      </c>
      <c r="D124" s="697" t="s">
        <v>434</v>
      </c>
      <c r="E124" s="697"/>
      <c r="F124" s="697" t="s">
        <v>74</v>
      </c>
      <c r="G124" s="697" t="s">
        <v>21</v>
      </c>
      <c r="H124" s="697" t="s">
        <v>24</v>
      </c>
      <c r="I124" s="697" t="s">
        <v>586</v>
      </c>
      <c r="J124" s="697"/>
      <c r="K124" s="697"/>
      <c r="L124" s="697">
        <v>63316</v>
      </c>
      <c r="M124" s="697"/>
      <c r="N124" s="391"/>
      <c r="O124" s="392">
        <f>(CORNHARVESTTBL[[#This Row],[Gross/ -Truck Net]]-CORNHARVESTTBL[[#This Row],[Tare]])</f>
        <v>0</v>
      </c>
      <c r="P124" s="184"/>
      <c r="Q124" s="184"/>
      <c r="R124" s="188"/>
      <c r="S124" s="393"/>
      <c r="T124" s="394">
        <f>CORNHARVESTTBL[[#This Row],[Net]]/56</f>
        <v>0</v>
      </c>
      <c r="U124" s="395">
        <v>0</v>
      </c>
      <c r="V124" s="394"/>
      <c r="W124" s="394">
        <f>CORNHARVESTTBL[[#This Row],[Gross Units]]-CORNHARVESTTBL[[#This Row],[Shrink]]</f>
        <v>0</v>
      </c>
      <c r="X124" s="396" t="s">
        <v>117</v>
      </c>
      <c r="Y124" s="181">
        <v>0.65</v>
      </c>
      <c r="Z124" s="181">
        <v>0.35</v>
      </c>
      <c r="AA124" s="394">
        <f t="shared" si="11"/>
        <v>0</v>
      </c>
      <c r="AB124" s="397">
        <f t="shared" ref="AB124:AB156" si="12">W124*Z124</f>
        <v>0</v>
      </c>
    </row>
    <row r="125" spans="1:28" s="528" customFormat="1" x14ac:dyDescent="0.25">
      <c r="A125" s="696">
        <v>45952</v>
      </c>
      <c r="B125" s="697" t="s">
        <v>330</v>
      </c>
      <c r="C125" s="697" t="s">
        <v>433</v>
      </c>
      <c r="D125" s="697" t="s">
        <v>434</v>
      </c>
      <c r="E125" s="698"/>
      <c r="F125" s="697" t="s">
        <v>74</v>
      </c>
      <c r="G125" s="697" t="s">
        <v>21</v>
      </c>
      <c r="H125" s="697" t="s">
        <v>24</v>
      </c>
      <c r="I125" s="697" t="s">
        <v>586</v>
      </c>
      <c r="J125" s="698"/>
      <c r="K125" s="697"/>
      <c r="L125" s="697">
        <v>63146</v>
      </c>
      <c r="M125" s="697"/>
      <c r="N125" s="391"/>
      <c r="O125" s="392">
        <f>(CORNHARVESTTBL[[#This Row],[Gross/ -Truck Net]]-CORNHARVESTTBL[[#This Row],[Tare]])</f>
        <v>0</v>
      </c>
      <c r="P125" s="184"/>
      <c r="Q125" s="184"/>
      <c r="R125" s="188"/>
      <c r="S125" s="393"/>
      <c r="T125" s="394">
        <f>CORNHARVESTTBL[[#This Row],[Net]]/56</f>
        <v>0</v>
      </c>
      <c r="U125" s="395">
        <v>0</v>
      </c>
      <c r="V125" s="394"/>
      <c r="W125" s="394">
        <f>CORNHARVESTTBL[[#This Row],[Gross Units]]-CORNHARVESTTBL[[#This Row],[Shrink]]</f>
        <v>0</v>
      </c>
      <c r="X125" s="396" t="s">
        <v>117</v>
      </c>
      <c r="Y125" s="181">
        <v>0.65</v>
      </c>
      <c r="Z125" s="181">
        <v>0.35</v>
      </c>
      <c r="AA125" s="394">
        <f t="shared" si="11"/>
        <v>0</v>
      </c>
      <c r="AB125" s="397">
        <f t="shared" si="12"/>
        <v>0</v>
      </c>
    </row>
    <row r="126" spans="1:28" s="528" customFormat="1" x14ac:dyDescent="0.25">
      <c r="A126" s="696">
        <v>45953</v>
      </c>
      <c r="B126" s="697" t="s">
        <v>332</v>
      </c>
      <c r="C126" s="697" t="s">
        <v>438</v>
      </c>
      <c r="D126" s="697" t="s">
        <v>439</v>
      </c>
      <c r="E126" s="697"/>
      <c r="F126" s="697" t="s">
        <v>74</v>
      </c>
      <c r="G126" s="697" t="s">
        <v>21</v>
      </c>
      <c r="H126" s="697" t="s">
        <v>24</v>
      </c>
      <c r="I126" s="697" t="s">
        <v>589</v>
      </c>
      <c r="J126" s="697" t="s">
        <v>593</v>
      </c>
      <c r="K126" s="697"/>
      <c r="L126" s="697">
        <v>68733</v>
      </c>
      <c r="M126" s="697"/>
      <c r="N126" s="391"/>
      <c r="O126" s="392">
        <f>(CORNHARVESTTBL[[#This Row],[Gross/ -Truck Net]]-CORNHARVESTTBL[[#This Row],[Tare]])</f>
        <v>0</v>
      </c>
      <c r="P126" s="184"/>
      <c r="Q126" s="184"/>
      <c r="R126" s="188"/>
      <c r="S126" s="393"/>
      <c r="T126" s="394">
        <f>CORNHARVESTTBL[[#This Row],[Net]]/56</f>
        <v>0</v>
      </c>
      <c r="U126" s="395">
        <v>0</v>
      </c>
      <c r="V126" s="394"/>
      <c r="W126" s="394">
        <f>CORNHARVESTTBL[[#This Row],[Gross Units]]-CORNHARVESTTBL[[#This Row],[Shrink]]</f>
        <v>0</v>
      </c>
      <c r="X126" s="396" t="s">
        <v>117</v>
      </c>
      <c r="Y126" s="181">
        <v>0.65</v>
      </c>
      <c r="Z126" s="181">
        <v>0.35</v>
      </c>
      <c r="AA126" s="394">
        <f t="shared" si="11"/>
        <v>0</v>
      </c>
      <c r="AB126" s="397">
        <f t="shared" si="12"/>
        <v>0</v>
      </c>
    </row>
    <row r="127" spans="1:28" s="528" customFormat="1" x14ac:dyDescent="0.25">
      <c r="A127" s="696">
        <v>45953</v>
      </c>
      <c r="B127" s="697" t="s">
        <v>332</v>
      </c>
      <c r="C127" s="697" t="s">
        <v>438</v>
      </c>
      <c r="D127" s="697" t="s">
        <v>439</v>
      </c>
      <c r="E127" s="697"/>
      <c r="F127" s="697" t="s">
        <v>74</v>
      </c>
      <c r="G127" s="697" t="s">
        <v>21</v>
      </c>
      <c r="H127" s="697" t="s">
        <v>24</v>
      </c>
      <c r="I127" s="697" t="s">
        <v>589</v>
      </c>
      <c r="J127" s="697" t="s">
        <v>594</v>
      </c>
      <c r="K127" s="697"/>
      <c r="L127" s="697">
        <v>73823</v>
      </c>
      <c r="M127" s="697"/>
      <c r="N127" s="391"/>
      <c r="O127" s="392">
        <f>(CORNHARVESTTBL[[#This Row],[Gross/ -Truck Net]]-CORNHARVESTTBL[[#This Row],[Tare]])</f>
        <v>0</v>
      </c>
      <c r="P127" s="184"/>
      <c r="Q127" s="184"/>
      <c r="R127" s="188"/>
      <c r="S127" s="393"/>
      <c r="T127" s="394">
        <f>CORNHARVESTTBL[[#This Row],[Net]]/56</f>
        <v>0</v>
      </c>
      <c r="U127" s="395">
        <v>0</v>
      </c>
      <c r="V127" s="394"/>
      <c r="W127" s="394">
        <f>CORNHARVESTTBL[[#This Row],[Gross Units]]-CORNHARVESTTBL[[#This Row],[Shrink]]</f>
        <v>0</v>
      </c>
      <c r="X127" s="396" t="s">
        <v>117</v>
      </c>
      <c r="Y127" s="181">
        <v>0.65</v>
      </c>
      <c r="Z127" s="181">
        <v>0.35</v>
      </c>
      <c r="AA127" s="394">
        <f t="shared" si="11"/>
        <v>0</v>
      </c>
      <c r="AB127" s="397">
        <f t="shared" si="12"/>
        <v>0</v>
      </c>
    </row>
    <row r="128" spans="1:28" s="528" customFormat="1" ht="15.75" x14ac:dyDescent="0.25">
      <c r="A128" s="696">
        <v>45953</v>
      </c>
      <c r="B128" s="697" t="s">
        <v>332</v>
      </c>
      <c r="C128" s="697" t="s">
        <v>438</v>
      </c>
      <c r="D128" s="697" t="s">
        <v>439</v>
      </c>
      <c r="E128" s="697"/>
      <c r="F128" s="697" t="s">
        <v>74</v>
      </c>
      <c r="G128" s="697" t="s">
        <v>21</v>
      </c>
      <c r="H128" s="702" t="s">
        <v>24</v>
      </c>
      <c r="I128" s="697" t="s">
        <v>589</v>
      </c>
      <c r="J128" s="697" t="s">
        <v>590</v>
      </c>
      <c r="K128" s="697"/>
      <c r="L128" s="697">
        <v>74287</v>
      </c>
      <c r="M128" s="697"/>
      <c r="N128" s="391"/>
      <c r="O128" s="392">
        <f>(CORNHARVESTTBL[[#This Row],[Gross/ -Truck Net]]-CORNHARVESTTBL[[#This Row],[Tare]])</f>
        <v>0</v>
      </c>
      <c r="P128" s="184"/>
      <c r="Q128" s="184"/>
      <c r="R128" s="188"/>
      <c r="S128" s="393"/>
      <c r="T128" s="394">
        <f>CORNHARVESTTBL[[#This Row],[Net]]/56</f>
        <v>0</v>
      </c>
      <c r="U128" s="395">
        <v>0</v>
      </c>
      <c r="V128" s="394"/>
      <c r="W128" s="394">
        <f>CORNHARVESTTBL[[#This Row],[Gross Units]]-CORNHARVESTTBL[[#This Row],[Shrink]]</f>
        <v>0</v>
      </c>
      <c r="X128" s="396" t="s">
        <v>117</v>
      </c>
      <c r="Y128" s="181">
        <v>0.65</v>
      </c>
      <c r="Z128" s="181">
        <v>0.35</v>
      </c>
      <c r="AA128" s="394">
        <f t="shared" si="11"/>
        <v>0</v>
      </c>
      <c r="AB128" s="397">
        <f t="shared" si="12"/>
        <v>0</v>
      </c>
    </row>
    <row r="129" spans="1:28" s="528" customFormat="1" x14ac:dyDescent="0.25">
      <c r="A129" s="696">
        <v>45953</v>
      </c>
      <c r="B129" s="697" t="s">
        <v>331</v>
      </c>
      <c r="C129" s="697" t="s">
        <v>433</v>
      </c>
      <c r="D129" s="697" t="s">
        <v>434</v>
      </c>
      <c r="E129" s="697"/>
      <c r="F129" s="697" t="s">
        <v>74</v>
      </c>
      <c r="G129" s="697" t="s">
        <v>21</v>
      </c>
      <c r="H129" s="697" t="s">
        <v>24</v>
      </c>
      <c r="I129" s="697"/>
      <c r="J129" s="697"/>
      <c r="K129" s="697"/>
      <c r="L129" s="697">
        <v>65406</v>
      </c>
      <c r="M129" s="697"/>
      <c r="N129" s="391"/>
      <c r="O129" s="392">
        <f>(CORNHARVESTTBL[[#This Row],[Gross/ -Truck Net]]-CORNHARVESTTBL[[#This Row],[Tare]])</f>
        <v>0</v>
      </c>
      <c r="P129" s="184"/>
      <c r="Q129" s="184"/>
      <c r="R129" s="188"/>
      <c r="S129" s="393"/>
      <c r="T129" s="394">
        <f>CORNHARVESTTBL[[#This Row],[Net]]/56</f>
        <v>0</v>
      </c>
      <c r="U129" s="395">
        <v>0</v>
      </c>
      <c r="V129" s="394"/>
      <c r="W129" s="394">
        <f>CORNHARVESTTBL[[#This Row],[Gross Units]]-CORNHARVESTTBL[[#This Row],[Shrink]]</f>
        <v>0</v>
      </c>
      <c r="X129" s="396" t="s">
        <v>117</v>
      </c>
      <c r="Y129" s="181">
        <v>0.65</v>
      </c>
      <c r="Z129" s="181">
        <v>0.35</v>
      </c>
      <c r="AA129" s="394">
        <f t="shared" si="11"/>
        <v>0</v>
      </c>
      <c r="AB129" s="397">
        <f t="shared" si="12"/>
        <v>0</v>
      </c>
    </row>
    <row r="130" spans="1:28" s="528" customFormat="1" x14ac:dyDescent="0.25">
      <c r="A130" s="696">
        <v>45953</v>
      </c>
      <c r="B130" s="697" t="s">
        <v>330</v>
      </c>
      <c r="C130" s="697" t="s">
        <v>433</v>
      </c>
      <c r="D130" s="697" t="s">
        <v>434</v>
      </c>
      <c r="E130" s="697"/>
      <c r="F130" s="697" t="s">
        <v>74</v>
      </c>
      <c r="G130" s="697" t="s">
        <v>21</v>
      </c>
      <c r="H130" s="697" t="s">
        <v>24</v>
      </c>
      <c r="I130" s="697"/>
      <c r="J130" s="697"/>
      <c r="K130" s="697"/>
      <c r="L130" s="697">
        <v>38807</v>
      </c>
      <c r="M130" s="697"/>
      <c r="N130" s="391"/>
      <c r="O130" s="392">
        <f>(CORNHARVESTTBL[[#This Row],[Gross/ -Truck Net]]-CORNHARVESTTBL[[#This Row],[Tare]])</f>
        <v>0</v>
      </c>
      <c r="P130" s="184"/>
      <c r="Q130" s="184"/>
      <c r="R130" s="188"/>
      <c r="S130" s="393"/>
      <c r="T130" s="394">
        <f>CORNHARVESTTBL[[#This Row],[Net]]/56</f>
        <v>0</v>
      </c>
      <c r="U130" s="395">
        <v>0</v>
      </c>
      <c r="V130" s="394"/>
      <c r="W130" s="394">
        <f>CORNHARVESTTBL[[#This Row],[Gross Units]]-CORNHARVESTTBL[[#This Row],[Shrink]]</f>
        <v>0</v>
      </c>
      <c r="X130" s="396" t="s">
        <v>117</v>
      </c>
      <c r="Y130" s="181">
        <v>0.65</v>
      </c>
      <c r="Z130" s="181">
        <v>0.35</v>
      </c>
      <c r="AA130" s="394">
        <f t="shared" si="11"/>
        <v>0</v>
      </c>
      <c r="AB130" s="397">
        <f t="shared" si="12"/>
        <v>0</v>
      </c>
    </row>
    <row r="131" spans="1:28" s="528" customFormat="1" x14ac:dyDescent="0.25">
      <c r="A131" s="696">
        <v>45954</v>
      </c>
      <c r="B131" s="697" t="s">
        <v>332</v>
      </c>
      <c r="C131" s="697" t="s">
        <v>438</v>
      </c>
      <c r="D131" s="697" t="s">
        <v>439</v>
      </c>
      <c r="E131" s="697"/>
      <c r="F131" s="697" t="s">
        <v>74</v>
      </c>
      <c r="G131" s="697" t="s">
        <v>28</v>
      </c>
      <c r="H131" s="697" t="s">
        <v>29</v>
      </c>
      <c r="I131" s="697" t="s">
        <v>589</v>
      </c>
      <c r="J131" s="697" t="s">
        <v>593</v>
      </c>
      <c r="K131" s="697"/>
      <c r="L131" s="697">
        <v>69680</v>
      </c>
      <c r="M131" s="697"/>
      <c r="N131" s="391"/>
      <c r="O131" s="392">
        <f>(CORNHARVESTTBL[[#This Row],[Gross/ -Truck Net]]-CORNHARVESTTBL[[#This Row],[Tare]])</f>
        <v>0</v>
      </c>
      <c r="P131" s="184"/>
      <c r="Q131" s="184"/>
      <c r="R131" s="188"/>
      <c r="S131" s="393"/>
      <c r="T131" s="394">
        <f>CORNHARVESTTBL[[#This Row],[Net]]/56</f>
        <v>0</v>
      </c>
      <c r="U131" s="395">
        <v>0</v>
      </c>
      <c r="V131" s="394"/>
      <c r="W131" s="394">
        <f>CORNHARVESTTBL[[#This Row],[Gross Units]]-CORNHARVESTTBL[[#This Row],[Shrink]]</f>
        <v>0</v>
      </c>
      <c r="X131" s="396" t="s">
        <v>117</v>
      </c>
      <c r="Y131" s="181">
        <v>0.65</v>
      </c>
      <c r="Z131" s="181">
        <v>0.35</v>
      </c>
      <c r="AA131" s="394">
        <f t="shared" si="11"/>
        <v>0</v>
      </c>
      <c r="AB131" s="397">
        <f t="shared" si="12"/>
        <v>0</v>
      </c>
    </row>
    <row r="132" spans="1:28" s="528" customFormat="1" x14ac:dyDescent="0.25">
      <c r="A132" s="696">
        <v>45954</v>
      </c>
      <c r="B132" s="697" t="s">
        <v>332</v>
      </c>
      <c r="C132" s="697" t="s">
        <v>438</v>
      </c>
      <c r="D132" s="697" t="s">
        <v>439</v>
      </c>
      <c r="E132" s="697"/>
      <c r="F132" s="697" t="s">
        <v>74</v>
      </c>
      <c r="G132" s="697" t="s">
        <v>28</v>
      </c>
      <c r="H132" s="697" t="s">
        <v>29</v>
      </c>
      <c r="I132" s="697" t="s">
        <v>589</v>
      </c>
      <c r="J132" s="697" t="s">
        <v>594</v>
      </c>
      <c r="K132" s="697"/>
      <c r="L132" s="697">
        <v>73692</v>
      </c>
      <c r="M132" s="697"/>
      <c r="N132" s="391"/>
      <c r="O132" s="392">
        <f>(CORNHARVESTTBL[[#This Row],[Gross/ -Truck Net]]-CORNHARVESTTBL[[#This Row],[Tare]])</f>
        <v>0</v>
      </c>
      <c r="P132" s="184"/>
      <c r="Q132" s="184"/>
      <c r="R132" s="188"/>
      <c r="S132" s="393"/>
      <c r="T132" s="394">
        <f>CORNHARVESTTBL[[#This Row],[Net]]/56</f>
        <v>0</v>
      </c>
      <c r="U132" s="395">
        <v>0</v>
      </c>
      <c r="V132" s="394"/>
      <c r="W132" s="394">
        <f>CORNHARVESTTBL[[#This Row],[Gross Units]]-CORNHARVESTTBL[[#This Row],[Shrink]]</f>
        <v>0</v>
      </c>
      <c r="X132" s="396" t="s">
        <v>117</v>
      </c>
      <c r="Y132" s="181">
        <v>0.65</v>
      </c>
      <c r="Z132" s="181">
        <v>0.35</v>
      </c>
      <c r="AA132" s="394">
        <f t="shared" si="11"/>
        <v>0</v>
      </c>
      <c r="AB132" s="397">
        <f t="shared" si="12"/>
        <v>0</v>
      </c>
    </row>
    <row r="133" spans="1:28" s="528" customFormat="1" x14ac:dyDescent="0.25">
      <c r="A133" s="696">
        <v>45954</v>
      </c>
      <c r="B133" s="697" t="s">
        <v>330</v>
      </c>
      <c r="C133" s="697" t="s">
        <v>433</v>
      </c>
      <c r="D133" s="697" t="s">
        <v>434</v>
      </c>
      <c r="E133" s="697"/>
      <c r="F133" s="697" t="s">
        <v>74</v>
      </c>
      <c r="G133" s="697" t="s">
        <v>28</v>
      </c>
      <c r="H133" s="697" t="s">
        <v>29</v>
      </c>
      <c r="I133" s="697"/>
      <c r="J133" s="697"/>
      <c r="K133" s="697"/>
      <c r="L133" s="697">
        <v>59502</v>
      </c>
      <c r="M133" s="697"/>
      <c r="N133" s="391"/>
      <c r="O133" s="392">
        <f>(CORNHARVESTTBL[[#This Row],[Gross/ -Truck Net]]-CORNHARVESTTBL[[#This Row],[Tare]])</f>
        <v>0</v>
      </c>
      <c r="P133" s="184"/>
      <c r="Q133" s="184"/>
      <c r="R133" s="188"/>
      <c r="S133" s="393"/>
      <c r="T133" s="394">
        <f>CORNHARVESTTBL[[#This Row],[Net]]/56</f>
        <v>0</v>
      </c>
      <c r="U133" s="395">
        <v>0</v>
      </c>
      <c r="V133" s="394"/>
      <c r="W133" s="394">
        <f>CORNHARVESTTBL[[#This Row],[Gross Units]]-CORNHARVESTTBL[[#This Row],[Shrink]]</f>
        <v>0</v>
      </c>
      <c r="X133" s="396" t="s">
        <v>117</v>
      </c>
      <c r="Y133" s="181">
        <v>0.65</v>
      </c>
      <c r="Z133" s="181">
        <v>0.35</v>
      </c>
      <c r="AA133" s="394">
        <f t="shared" si="11"/>
        <v>0</v>
      </c>
      <c r="AB133" s="397">
        <f t="shared" si="12"/>
        <v>0</v>
      </c>
    </row>
    <row r="134" spans="1:28" s="528" customFormat="1" x14ac:dyDescent="0.25">
      <c r="A134" s="696">
        <v>45954</v>
      </c>
      <c r="B134" s="697" t="s">
        <v>331</v>
      </c>
      <c r="C134" s="697" t="s">
        <v>433</v>
      </c>
      <c r="D134" s="697" t="s">
        <v>434</v>
      </c>
      <c r="E134" s="697"/>
      <c r="F134" s="697" t="s">
        <v>74</v>
      </c>
      <c r="G134" s="697" t="s">
        <v>28</v>
      </c>
      <c r="H134" s="697" t="s">
        <v>29</v>
      </c>
      <c r="I134" s="697"/>
      <c r="J134" s="697"/>
      <c r="K134" s="697"/>
      <c r="L134" s="697">
        <v>55685</v>
      </c>
      <c r="M134" s="697"/>
      <c r="N134" s="391"/>
      <c r="O134" s="392">
        <f>(CORNHARVESTTBL[[#This Row],[Gross/ -Truck Net]]-CORNHARVESTTBL[[#This Row],[Tare]])</f>
        <v>0</v>
      </c>
      <c r="P134" s="184"/>
      <c r="Q134" s="184"/>
      <c r="R134" s="188"/>
      <c r="S134" s="393"/>
      <c r="T134" s="394">
        <f>CORNHARVESTTBL[[#This Row],[Net]]/56</f>
        <v>0</v>
      </c>
      <c r="U134" s="395">
        <v>0</v>
      </c>
      <c r="V134" s="394"/>
      <c r="W134" s="394">
        <f>CORNHARVESTTBL[[#This Row],[Gross Units]]-CORNHARVESTTBL[[#This Row],[Shrink]]</f>
        <v>0</v>
      </c>
      <c r="X134" s="396" t="s">
        <v>117</v>
      </c>
      <c r="Y134" s="181">
        <v>0.65</v>
      </c>
      <c r="Z134" s="181">
        <v>0.35</v>
      </c>
      <c r="AA134" s="394">
        <f t="shared" si="11"/>
        <v>0</v>
      </c>
      <c r="AB134" s="397">
        <f t="shared" si="12"/>
        <v>0</v>
      </c>
    </row>
    <row r="135" spans="1:28" s="528" customFormat="1" x14ac:dyDescent="0.25">
      <c r="A135" s="696">
        <v>45958</v>
      </c>
      <c r="B135" s="697" t="s">
        <v>332</v>
      </c>
      <c r="C135" s="697" t="s">
        <v>438</v>
      </c>
      <c r="D135" s="697" t="s">
        <v>439</v>
      </c>
      <c r="E135" s="697"/>
      <c r="F135" s="697" t="s">
        <v>74</v>
      </c>
      <c r="G135" s="697" t="s">
        <v>28</v>
      </c>
      <c r="H135" s="697" t="s">
        <v>29</v>
      </c>
      <c r="I135" s="697" t="s">
        <v>589</v>
      </c>
      <c r="J135" s="697" t="s">
        <v>590</v>
      </c>
      <c r="K135" s="697"/>
      <c r="L135" s="697">
        <v>75160</v>
      </c>
      <c r="M135" s="697"/>
      <c r="N135" s="391"/>
      <c r="O135" s="392">
        <f>(CORNHARVESTTBL[[#This Row],[Gross/ -Truck Net]]-CORNHARVESTTBL[[#This Row],[Tare]])</f>
        <v>0</v>
      </c>
      <c r="P135" s="184"/>
      <c r="Q135" s="184"/>
      <c r="R135" s="188"/>
      <c r="S135" s="393"/>
      <c r="T135" s="394">
        <f>CORNHARVESTTBL[[#This Row],[Net]]/56</f>
        <v>0</v>
      </c>
      <c r="U135" s="395">
        <v>0</v>
      </c>
      <c r="V135" s="394"/>
      <c r="W135" s="394">
        <f>CORNHARVESTTBL[[#This Row],[Gross Units]]-CORNHARVESTTBL[[#This Row],[Shrink]]</f>
        <v>0</v>
      </c>
      <c r="X135" s="396" t="s">
        <v>117</v>
      </c>
      <c r="Y135" s="181">
        <v>0.65</v>
      </c>
      <c r="Z135" s="181">
        <v>0.35</v>
      </c>
      <c r="AA135" s="394">
        <f t="shared" si="11"/>
        <v>0</v>
      </c>
      <c r="AB135" s="397">
        <f t="shared" si="12"/>
        <v>0</v>
      </c>
    </row>
    <row r="136" spans="1:28" s="528" customFormat="1" x14ac:dyDescent="0.25">
      <c r="A136" s="696">
        <v>45959</v>
      </c>
      <c r="B136" s="697" t="s">
        <v>332</v>
      </c>
      <c r="C136" s="697" t="s">
        <v>438</v>
      </c>
      <c r="D136" s="697" t="s">
        <v>439</v>
      </c>
      <c r="E136" s="697"/>
      <c r="F136" s="697" t="s">
        <v>74</v>
      </c>
      <c r="G136" s="697" t="s">
        <v>28</v>
      </c>
      <c r="H136" s="697" t="s">
        <v>29</v>
      </c>
      <c r="I136" s="697" t="s">
        <v>589</v>
      </c>
      <c r="J136" s="697" t="s">
        <v>590</v>
      </c>
      <c r="K136" s="697" t="s">
        <v>585</v>
      </c>
      <c r="L136" s="697">
        <v>5590</v>
      </c>
      <c r="M136" s="697"/>
      <c r="N136" s="391"/>
      <c r="O136" s="392">
        <f>(CORNHARVESTTBL[[#This Row],[Gross/ -Truck Net]]-CORNHARVESTTBL[[#This Row],[Tare]])</f>
        <v>0</v>
      </c>
      <c r="P136" s="184"/>
      <c r="Q136" s="184"/>
      <c r="R136" s="188"/>
      <c r="S136" s="393"/>
      <c r="T136" s="394">
        <f>CORNHARVESTTBL[[#This Row],[Net]]/56</f>
        <v>0</v>
      </c>
      <c r="U136" s="395">
        <v>0</v>
      </c>
      <c r="V136" s="394"/>
      <c r="W136" s="394">
        <f>CORNHARVESTTBL[[#This Row],[Gross Units]]-CORNHARVESTTBL[[#This Row],[Shrink]]</f>
        <v>0</v>
      </c>
      <c r="X136" s="396" t="s">
        <v>117</v>
      </c>
      <c r="Y136" s="181">
        <v>0.65</v>
      </c>
      <c r="Z136" s="181">
        <v>0.35</v>
      </c>
      <c r="AA136" s="394">
        <f t="shared" si="11"/>
        <v>0</v>
      </c>
      <c r="AB136" s="397">
        <f t="shared" si="12"/>
        <v>0</v>
      </c>
    </row>
    <row r="137" spans="1:28" s="528" customFormat="1" x14ac:dyDescent="0.25">
      <c r="A137" s="696">
        <v>45959</v>
      </c>
      <c r="B137" s="697" t="s">
        <v>332</v>
      </c>
      <c r="C137" s="697" t="s">
        <v>438</v>
      </c>
      <c r="D137" s="697" t="s">
        <v>439</v>
      </c>
      <c r="E137" s="697"/>
      <c r="F137" s="697" t="s">
        <v>74</v>
      </c>
      <c r="G137" s="697" t="s">
        <v>21</v>
      </c>
      <c r="H137" s="697" t="s">
        <v>595</v>
      </c>
      <c r="I137" s="697" t="s">
        <v>589</v>
      </c>
      <c r="J137" s="697" t="s">
        <v>590</v>
      </c>
      <c r="K137" s="697" t="s">
        <v>585</v>
      </c>
      <c r="L137" s="697">
        <v>68388</v>
      </c>
      <c r="M137" s="697"/>
      <c r="N137" s="391"/>
      <c r="O137" s="392">
        <f>(CORNHARVESTTBL[[#This Row],[Gross/ -Truck Net]]-CORNHARVESTTBL[[#This Row],[Tare]])</f>
        <v>0</v>
      </c>
      <c r="P137" s="184"/>
      <c r="Q137" s="184"/>
      <c r="R137" s="188"/>
      <c r="S137" s="393"/>
      <c r="T137" s="394">
        <f>CORNHARVESTTBL[[#This Row],[Net]]/56</f>
        <v>0</v>
      </c>
      <c r="U137" s="395">
        <v>0</v>
      </c>
      <c r="V137" s="394"/>
      <c r="W137" s="394">
        <f>CORNHARVESTTBL[[#This Row],[Gross Units]]-CORNHARVESTTBL[[#This Row],[Shrink]]</f>
        <v>0</v>
      </c>
      <c r="X137" s="396" t="s">
        <v>117</v>
      </c>
      <c r="Y137" s="181">
        <v>0.65</v>
      </c>
      <c r="Z137" s="181">
        <v>0.35</v>
      </c>
      <c r="AA137" s="394">
        <f t="shared" si="11"/>
        <v>0</v>
      </c>
      <c r="AB137" s="397">
        <f t="shared" si="12"/>
        <v>0</v>
      </c>
    </row>
    <row r="138" spans="1:28" s="528" customFormat="1" ht="15.75" x14ac:dyDescent="0.25">
      <c r="A138" s="696">
        <v>45959</v>
      </c>
      <c r="B138" s="697" t="s">
        <v>332</v>
      </c>
      <c r="C138" s="697" t="s">
        <v>438</v>
      </c>
      <c r="D138" s="697" t="s">
        <v>439</v>
      </c>
      <c r="E138" s="697"/>
      <c r="F138" s="697" t="s">
        <v>74</v>
      </c>
      <c r="G138" s="697" t="s">
        <v>21</v>
      </c>
      <c r="H138" s="681" t="s">
        <v>596</v>
      </c>
      <c r="I138" s="697" t="s">
        <v>589</v>
      </c>
      <c r="J138" s="697" t="s">
        <v>597</v>
      </c>
      <c r="K138" s="697"/>
      <c r="L138" s="697">
        <v>72841</v>
      </c>
      <c r="M138" s="697"/>
      <c r="N138" s="391"/>
      <c r="O138" s="392">
        <f>(CORNHARVESTTBL[[#This Row],[Gross/ -Truck Net]]-CORNHARVESTTBL[[#This Row],[Tare]])</f>
        <v>0</v>
      </c>
      <c r="P138" s="184"/>
      <c r="Q138" s="184"/>
      <c r="R138" s="188"/>
      <c r="S138" s="393"/>
      <c r="T138" s="394">
        <f>CORNHARVESTTBL[[#This Row],[Net]]/56</f>
        <v>0</v>
      </c>
      <c r="U138" s="395">
        <v>0</v>
      </c>
      <c r="V138" s="394"/>
      <c r="W138" s="394">
        <f>CORNHARVESTTBL[[#This Row],[Gross Units]]-CORNHARVESTTBL[[#This Row],[Shrink]]</f>
        <v>0</v>
      </c>
      <c r="X138" s="396" t="s">
        <v>117</v>
      </c>
      <c r="Y138" s="181">
        <v>0.65</v>
      </c>
      <c r="Z138" s="181">
        <v>0.35</v>
      </c>
      <c r="AA138" s="394">
        <f t="shared" si="11"/>
        <v>0</v>
      </c>
      <c r="AB138" s="397">
        <f t="shared" si="12"/>
        <v>0</v>
      </c>
    </row>
    <row r="139" spans="1:28" s="528" customFormat="1" x14ac:dyDescent="0.25">
      <c r="A139" s="696">
        <v>45959</v>
      </c>
      <c r="B139" s="697" t="s">
        <v>331</v>
      </c>
      <c r="C139" s="697" t="s">
        <v>433</v>
      </c>
      <c r="D139" s="697" t="s">
        <v>434</v>
      </c>
      <c r="E139" s="697"/>
      <c r="F139" s="697" t="s">
        <v>74</v>
      </c>
      <c r="G139" s="697" t="s">
        <v>21</v>
      </c>
      <c r="H139" s="697" t="s">
        <v>595</v>
      </c>
      <c r="I139" s="697"/>
      <c r="J139" s="697"/>
      <c r="K139" s="697"/>
      <c r="L139" s="697">
        <v>64057</v>
      </c>
      <c r="M139" s="697"/>
      <c r="N139" s="391"/>
      <c r="O139" s="392">
        <f>(CORNHARVESTTBL[[#This Row],[Gross/ -Truck Net]]-CORNHARVESTTBL[[#This Row],[Tare]])</f>
        <v>0</v>
      </c>
      <c r="P139" s="184"/>
      <c r="Q139" s="184"/>
      <c r="R139" s="188"/>
      <c r="S139" s="393"/>
      <c r="T139" s="394">
        <f>CORNHARVESTTBL[[#This Row],[Net]]/56</f>
        <v>0</v>
      </c>
      <c r="U139" s="395">
        <v>0</v>
      </c>
      <c r="V139" s="394"/>
      <c r="W139" s="394">
        <f>CORNHARVESTTBL[[#This Row],[Gross Units]]-CORNHARVESTTBL[[#This Row],[Shrink]]</f>
        <v>0</v>
      </c>
      <c r="X139" s="396" t="s">
        <v>117</v>
      </c>
      <c r="Y139" s="181">
        <v>0.65</v>
      </c>
      <c r="Z139" s="181">
        <v>0.35</v>
      </c>
      <c r="AA139" s="394">
        <f t="shared" si="11"/>
        <v>0</v>
      </c>
      <c r="AB139" s="397">
        <f t="shared" si="12"/>
        <v>0</v>
      </c>
    </row>
    <row r="140" spans="1:28" s="528" customFormat="1" x14ac:dyDescent="0.25">
      <c r="A140" s="696">
        <v>45960</v>
      </c>
      <c r="B140" s="697" t="s">
        <v>332</v>
      </c>
      <c r="C140" s="697" t="s">
        <v>438</v>
      </c>
      <c r="D140" s="697" t="s">
        <v>439</v>
      </c>
      <c r="E140" s="697"/>
      <c r="F140" s="697" t="s">
        <v>74</v>
      </c>
      <c r="G140" s="697" t="s">
        <v>21</v>
      </c>
      <c r="H140" s="697" t="s">
        <v>595</v>
      </c>
      <c r="I140" s="697" t="s">
        <v>589</v>
      </c>
      <c r="J140" s="697" t="s">
        <v>597</v>
      </c>
      <c r="K140" s="697"/>
      <c r="L140" s="697">
        <v>72661</v>
      </c>
      <c r="M140" s="697"/>
      <c r="N140" s="391"/>
      <c r="O140" s="392">
        <f>(CORNHARVESTTBL[[#This Row],[Gross/ -Truck Net]]-CORNHARVESTTBL[[#This Row],[Tare]])</f>
        <v>0</v>
      </c>
      <c r="P140" s="184"/>
      <c r="Q140" s="184"/>
      <c r="R140" s="188"/>
      <c r="S140" s="393"/>
      <c r="T140" s="394">
        <f>CORNHARVESTTBL[[#This Row],[Net]]/56</f>
        <v>0</v>
      </c>
      <c r="U140" s="395">
        <v>0</v>
      </c>
      <c r="V140" s="394"/>
      <c r="W140" s="394">
        <f>CORNHARVESTTBL[[#This Row],[Gross Units]]-CORNHARVESTTBL[[#This Row],[Shrink]]</f>
        <v>0</v>
      </c>
      <c r="X140" s="396" t="s">
        <v>117</v>
      </c>
      <c r="Y140" s="181">
        <v>0.65</v>
      </c>
      <c r="Z140" s="181">
        <v>0.35</v>
      </c>
      <c r="AA140" s="394">
        <f t="shared" si="11"/>
        <v>0</v>
      </c>
      <c r="AB140" s="397">
        <f t="shared" si="12"/>
        <v>0</v>
      </c>
    </row>
    <row r="141" spans="1:28" s="528" customFormat="1" x14ac:dyDescent="0.25">
      <c r="A141" s="696">
        <v>45960</v>
      </c>
      <c r="B141" s="697" t="s">
        <v>330</v>
      </c>
      <c r="C141" s="697" t="s">
        <v>433</v>
      </c>
      <c r="D141" s="697" t="s">
        <v>434</v>
      </c>
      <c r="E141" s="697"/>
      <c r="F141" s="697" t="s">
        <v>74</v>
      </c>
      <c r="G141" s="697" t="s">
        <v>21</v>
      </c>
      <c r="H141" s="697" t="s">
        <v>595</v>
      </c>
      <c r="I141" s="697"/>
      <c r="J141" s="697"/>
      <c r="K141" s="697"/>
      <c r="L141" s="697">
        <v>59385</v>
      </c>
      <c r="M141" s="697"/>
      <c r="N141" s="391"/>
      <c r="O141" s="392">
        <f>(CORNHARVESTTBL[[#This Row],[Gross/ -Truck Net]]-CORNHARVESTTBL[[#This Row],[Tare]])</f>
        <v>0</v>
      </c>
      <c r="P141" s="184"/>
      <c r="Q141" s="184"/>
      <c r="R141" s="188"/>
      <c r="S141" s="393"/>
      <c r="T141" s="394">
        <f>CORNHARVESTTBL[[#This Row],[Net]]/56</f>
        <v>0</v>
      </c>
      <c r="U141" s="395">
        <v>0</v>
      </c>
      <c r="V141" s="394"/>
      <c r="W141" s="394">
        <f>CORNHARVESTTBL[[#This Row],[Gross Units]]-CORNHARVESTTBL[[#This Row],[Shrink]]</f>
        <v>0</v>
      </c>
      <c r="X141" s="396" t="s">
        <v>117</v>
      </c>
      <c r="Y141" s="181">
        <v>0.65</v>
      </c>
      <c r="Z141" s="181">
        <v>0.35</v>
      </c>
      <c r="AA141" s="394">
        <f t="shared" si="11"/>
        <v>0</v>
      </c>
      <c r="AB141" s="397">
        <f t="shared" si="12"/>
        <v>0</v>
      </c>
    </row>
    <row r="142" spans="1:28" s="528" customFormat="1" x14ac:dyDescent="0.25">
      <c r="A142" s="696">
        <v>45960</v>
      </c>
      <c r="B142" s="697" t="s">
        <v>332</v>
      </c>
      <c r="C142" s="697" t="s">
        <v>438</v>
      </c>
      <c r="D142" s="697" t="s">
        <v>439</v>
      </c>
      <c r="E142" s="697"/>
      <c r="F142" s="697" t="s">
        <v>74</v>
      </c>
      <c r="G142" s="697" t="s">
        <v>586</v>
      </c>
      <c r="H142" s="697"/>
      <c r="I142" s="697" t="s">
        <v>591</v>
      </c>
      <c r="J142" s="697" t="s">
        <v>594</v>
      </c>
      <c r="K142" s="697"/>
      <c r="L142" s="697"/>
      <c r="M142" s="697"/>
      <c r="N142" s="391"/>
      <c r="O142" s="392">
        <f>(CORNHARVESTTBL[[#This Row],[Gross/ -Truck Net]]-CORNHARVESTTBL[[#This Row],[Tare]])</f>
        <v>0</v>
      </c>
      <c r="P142" s="184"/>
      <c r="Q142" s="184"/>
      <c r="R142" s="188"/>
      <c r="S142" s="393"/>
      <c r="T142" s="394">
        <f>CORNHARVESTTBL[[#This Row],[Net]]/56</f>
        <v>0</v>
      </c>
      <c r="U142" s="395">
        <v>0</v>
      </c>
      <c r="V142" s="394"/>
      <c r="W142" s="394">
        <f>CORNHARVESTTBL[[#This Row],[Gross Units]]-CORNHARVESTTBL[[#This Row],[Shrink]]</f>
        <v>0</v>
      </c>
      <c r="X142" s="396" t="s">
        <v>117</v>
      </c>
      <c r="Y142" s="181">
        <v>0.65</v>
      </c>
      <c r="Z142" s="181">
        <v>0.35</v>
      </c>
      <c r="AA142" s="394">
        <f t="shared" si="11"/>
        <v>0</v>
      </c>
      <c r="AB142" s="397">
        <f t="shared" si="12"/>
        <v>0</v>
      </c>
    </row>
    <row r="143" spans="1:28" s="528" customFormat="1" x14ac:dyDescent="0.25">
      <c r="A143" s="696">
        <v>45960</v>
      </c>
      <c r="B143" s="697" t="s">
        <v>331</v>
      </c>
      <c r="C143" s="697" t="s">
        <v>433</v>
      </c>
      <c r="D143" s="697" t="s">
        <v>434</v>
      </c>
      <c r="E143" s="697"/>
      <c r="F143" s="697" t="s">
        <v>74</v>
      </c>
      <c r="G143" s="697" t="s">
        <v>32</v>
      </c>
      <c r="H143" s="697" t="s">
        <v>598</v>
      </c>
      <c r="I143" s="697"/>
      <c r="J143" s="697"/>
      <c r="K143" s="697"/>
      <c r="L143" s="697">
        <v>63245</v>
      </c>
      <c r="M143" s="697"/>
      <c r="N143" s="391"/>
      <c r="O143" s="392">
        <f>(CORNHARVESTTBL[[#This Row],[Gross/ -Truck Net]]-CORNHARVESTTBL[[#This Row],[Tare]])</f>
        <v>0</v>
      </c>
      <c r="P143" s="184"/>
      <c r="Q143" s="184"/>
      <c r="R143" s="188"/>
      <c r="S143" s="393"/>
      <c r="T143" s="394">
        <f>CORNHARVESTTBL[[#This Row],[Net]]/56</f>
        <v>0</v>
      </c>
      <c r="U143" s="395">
        <v>0</v>
      </c>
      <c r="V143" s="394"/>
      <c r="W143" s="394">
        <f>CORNHARVESTTBL[[#This Row],[Gross Units]]-CORNHARVESTTBL[[#This Row],[Shrink]]</f>
        <v>0</v>
      </c>
      <c r="X143" s="396" t="s">
        <v>117</v>
      </c>
      <c r="Y143" s="181">
        <v>0.65</v>
      </c>
      <c r="Z143" s="181">
        <v>0.35</v>
      </c>
      <c r="AA143" s="394">
        <f t="shared" si="11"/>
        <v>0</v>
      </c>
      <c r="AB143" s="397">
        <f t="shared" si="12"/>
        <v>0</v>
      </c>
    </row>
    <row r="144" spans="1:28" s="528" customFormat="1" x14ac:dyDescent="0.25">
      <c r="A144" s="696">
        <v>45960</v>
      </c>
      <c r="B144" s="697" t="s">
        <v>330</v>
      </c>
      <c r="C144" s="697" t="s">
        <v>433</v>
      </c>
      <c r="D144" s="697" t="s">
        <v>434</v>
      </c>
      <c r="E144" s="697"/>
      <c r="F144" s="697" t="s">
        <v>74</v>
      </c>
      <c r="G144" s="697" t="s">
        <v>32</v>
      </c>
      <c r="H144" s="697" t="s">
        <v>598</v>
      </c>
      <c r="I144" s="697"/>
      <c r="J144" s="697"/>
      <c r="K144" s="697"/>
      <c r="L144" s="697">
        <v>61876</v>
      </c>
      <c r="M144" s="697"/>
      <c r="N144" s="391"/>
      <c r="O144" s="392">
        <f>(CORNHARVESTTBL[[#This Row],[Gross/ -Truck Net]]-CORNHARVESTTBL[[#This Row],[Tare]])</f>
        <v>0</v>
      </c>
      <c r="P144" s="184"/>
      <c r="Q144" s="184"/>
      <c r="R144" s="188"/>
      <c r="S144" s="393"/>
      <c r="T144" s="394">
        <f>CORNHARVESTTBL[[#This Row],[Net]]/56</f>
        <v>0</v>
      </c>
      <c r="U144" s="395">
        <v>0</v>
      </c>
      <c r="V144" s="394"/>
      <c r="W144" s="394">
        <f>CORNHARVESTTBL[[#This Row],[Gross Units]]-CORNHARVESTTBL[[#This Row],[Shrink]]</f>
        <v>0</v>
      </c>
      <c r="X144" s="396" t="s">
        <v>117</v>
      </c>
      <c r="Y144" s="181">
        <v>0.65</v>
      </c>
      <c r="Z144" s="181">
        <v>0.35</v>
      </c>
      <c r="AA144" s="394">
        <f t="shared" si="11"/>
        <v>0</v>
      </c>
      <c r="AB144" s="397">
        <f t="shared" si="12"/>
        <v>0</v>
      </c>
    </row>
    <row r="145" spans="1:28" s="528" customFormat="1" x14ac:dyDescent="0.25">
      <c r="A145" s="398">
        <v>45961</v>
      </c>
      <c r="B145" s="184" t="s">
        <v>332</v>
      </c>
      <c r="C145" s="184" t="s">
        <v>438</v>
      </c>
      <c r="D145" s="184" t="s">
        <v>439</v>
      </c>
      <c r="E145" s="184"/>
      <c r="F145" s="184" t="s">
        <v>74</v>
      </c>
      <c r="G145" s="184"/>
      <c r="H145" s="184"/>
      <c r="I145" s="184" t="s">
        <v>591</v>
      </c>
      <c r="J145" s="184" t="s">
        <v>594</v>
      </c>
      <c r="K145" s="184"/>
      <c r="L145" s="184"/>
      <c r="M145" s="230"/>
      <c r="N145" s="391"/>
      <c r="O145" s="392">
        <f>(CORNHARVESTTBL[[#This Row],[Gross/ -Truck Net]]-CORNHARVESTTBL[[#This Row],[Tare]])</f>
        <v>0</v>
      </c>
      <c r="P145" s="184"/>
      <c r="Q145" s="184"/>
      <c r="R145" s="188"/>
      <c r="S145" s="393"/>
      <c r="T145" s="394">
        <f>CORNHARVESTTBL[[#This Row],[Net]]/56</f>
        <v>0</v>
      </c>
      <c r="U145" s="395"/>
      <c r="V145" s="394"/>
      <c r="W145" s="394">
        <f>CORNHARVESTTBL[[#This Row],[Gross Units]]-CORNHARVESTTBL[[#This Row],[Shrink]]</f>
        <v>0</v>
      </c>
      <c r="X145" s="396"/>
      <c r="Y145" s="181"/>
      <c r="Z145" s="181"/>
      <c r="AA145" s="394"/>
      <c r="AB145" s="397"/>
    </row>
    <row r="146" spans="1:28" s="528" customFormat="1" x14ac:dyDescent="0.25">
      <c r="A146" s="398">
        <v>45962</v>
      </c>
      <c r="B146" s="184" t="s">
        <v>332</v>
      </c>
      <c r="C146" s="184" t="s">
        <v>438</v>
      </c>
      <c r="D146" s="184" t="s">
        <v>439</v>
      </c>
      <c r="E146" s="184"/>
      <c r="F146" s="184" t="s">
        <v>74</v>
      </c>
      <c r="G146" s="184"/>
      <c r="H146" s="184"/>
      <c r="I146" s="184" t="s">
        <v>591</v>
      </c>
      <c r="J146" s="184" t="s">
        <v>597</v>
      </c>
      <c r="K146" s="184"/>
      <c r="L146" s="184"/>
      <c r="M146" s="230"/>
      <c r="N146" s="391"/>
      <c r="O146" s="392">
        <f>(CORNHARVESTTBL[[#This Row],[Gross/ -Truck Net]]-CORNHARVESTTBL[[#This Row],[Tare]])</f>
        <v>0</v>
      </c>
      <c r="P146" s="184"/>
      <c r="Q146" s="184"/>
      <c r="R146" s="188"/>
      <c r="S146" s="393"/>
      <c r="T146" s="394">
        <f>CORNHARVESTTBL[[#This Row],[Net]]/56</f>
        <v>0</v>
      </c>
      <c r="U146" s="395"/>
      <c r="V146" s="394"/>
      <c r="W146" s="394">
        <f>CORNHARVESTTBL[[#This Row],[Gross Units]]-CORNHARVESTTBL[[#This Row],[Shrink]]</f>
        <v>0</v>
      </c>
      <c r="X146" s="396"/>
      <c r="Y146" s="181"/>
      <c r="Z146" s="181"/>
      <c r="AA146" s="394"/>
      <c r="AB146" s="397"/>
    </row>
    <row r="147" spans="1:28" s="528" customFormat="1" x14ac:dyDescent="0.25">
      <c r="A147" s="696">
        <v>45965</v>
      </c>
      <c r="B147" s="697" t="s">
        <v>330</v>
      </c>
      <c r="C147" s="697" t="s">
        <v>424</v>
      </c>
      <c r="D147" s="697" t="s">
        <v>431</v>
      </c>
      <c r="E147" s="697">
        <v>111400</v>
      </c>
      <c r="F147" s="697" t="s">
        <v>74</v>
      </c>
      <c r="G147" s="697" t="s">
        <v>32</v>
      </c>
      <c r="H147" s="697" t="s">
        <v>598</v>
      </c>
      <c r="I147" s="697"/>
      <c r="J147" s="697"/>
      <c r="K147" s="697"/>
      <c r="L147" s="697">
        <v>22183</v>
      </c>
      <c r="M147" s="697">
        <v>89000</v>
      </c>
      <c r="N147" s="391">
        <v>27100</v>
      </c>
      <c r="O147" s="392">
        <f>(CORNHARVESTTBL[[#This Row],[Gross/ -Truck Net]]-CORNHARVESTTBL[[#This Row],[Tare]])</f>
        <v>61900</v>
      </c>
      <c r="P147" s="184">
        <v>57</v>
      </c>
      <c r="Q147" s="184">
        <v>20.399999999999999</v>
      </c>
      <c r="R147" s="188"/>
      <c r="S147" s="393"/>
      <c r="T147" s="394">
        <f>CORNHARVESTTBL[[#This Row],[Net]]/56</f>
        <v>1105.3571428571429</v>
      </c>
      <c r="U147" s="395">
        <v>81.239999999999995</v>
      </c>
      <c r="V147" s="394"/>
      <c r="W147" s="394">
        <f>CORNHARVESTTBL[[#This Row],[Gross Units]]-CORNHARVESTTBL[[#This Row],[Shrink]]</f>
        <v>1024.1171428571429</v>
      </c>
      <c r="X147" s="396" t="s">
        <v>117</v>
      </c>
      <c r="Y147" s="181">
        <v>0.65</v>
      </c>
      <c r="Z147" s="181">
        <v>0.35</v>
      </c>
      <c r="AA147" s="394">
        <f t="shared" si="11"/>
        <v>665.67614285714285</v>
      </c>
      <c r="AB147" s="397">
        <f t="shared" si="12"/>
        <v>358.44099999999997</v>
      </c>
    </row>
    <row r="148" spans="1:28" s="528" customFormat="1" x14ac:dyDescent="0.25">
      <c r="A148" s="696">
        <v>45965</v>
      </c>
      <c r="B148" s="697" t="s">
        <v>331</v>
      </c>
      <c r="C148" s="697" t="s">
        <v>424</v>
      </c>
      <c r="D148" s="697" t="s">
        <v>431</v>
      </c>
      <c r="E148" s="697">
        <v>111473</v>
      </c>
      <c r="F148" s="697" t="s">
        <v>74</v>
      </c>
      <c r="G148" s="697" t="s">
        <v>26</v>
      </c>
      <c r="H148" s="697" t="s">
        <v>599</v>
      </c>
      <c r="I148" s="697"/>
      <c r="J148" s="697"/>
      <c r="K148" s="697"/>
      <c r="L148" s="697">
        <v>63167</v>
      </c>
      <c r="M148" s="697">
        <v>89860</v>
      </c>
      <c r="N148" s="391">
        <v>27100</v>
      </c>
      <c r="O148" s="392">
        <f>(CORNHARVESTTBL[[#This Row],[Gross/ -Truck Net]]-CORNHARVESTTBL[[#This Row],[Tare]])</f>
        <v>62760</v>
      </c>
      <c r="P148" s="184">
        <v>56</v>
      </c>
      <c r="Q148" s="184">
        <v>20.6</v>
      </c>
      <c r="R148" s="188"/>
      <c r="S148" s="393"/>
      <c r="T148" s="394">
        <f>CORNHARVESTTBL[[#This Row],[Net]]/56</f>
        <v>1120.7142857142858</v>
      </c>
      <c r="U148" s="395">
        <v>85.73</v>
      </c>
      <c r="V148" s="394"/>
      <c r="W148" s="394">
        <f>CORNHARVESTTBL[[#This Row],[Gross Units]]-CORNHARVESTTBL[[#This Row],[Shrink]]</f>
        <v>1034.9842857142858</v>
      </c>
      <c r="X148" s="396" t="s">
        <v>117</v>
      </c>
      <c r="Y148" s="181">
        <v>0.65</v>
      </c>
      <c r="Z148" s="181">
        <v>0.35</v>
      </c>
      <c r="AA148" s="394">
        <f t="shared" si="11"/>
        <v>672.73978571428574</v>
      </c>
      <c r="AB148" s="397">
        <f t="shared" si="12"/>
        <v>362.24450000000002</v>
      </c>
    </row>
    <row r="149" spans="1:28" s="528" customFormat="1" x14ac:dyDescent="0.25">
      <c r="A149" s="696">
        <v>45965</v>
      </c>
      <c r="B149" s="697" t="s">
        <v>331</v>
      </c>
      <c r="C149" s="697" t="s">
        <v>424</v>
      </c>
      <c r="D149" s="697" t="s">
        <v>431</v>
      </c>
      <c r="E149" s="697">
        <v>111479</v>
      </c>
      <c r="F149" s="697" t="s">
        <v>74</v>
      </c>
      <c r="G149" s="697" t="s">
        <v>21</v>
      </c>
      <c r="H149" s="697" t="s">
        <v>25</v>
      </c>
      <c r="I149" s="697"/>
      <c r="J149" s="697"/>
      <c r="K149" s="697"/>
      <c r="L149" s="697">
        <v>62501</v>
      </c>
      <c r="M149" s="697">
        <v>88280</v>
      </c>
      <c r="N149" s="391">
        <v>27060</v>
      </c>
      <c r="O149" s="392">
        <f>(CORNHARVESTTBL[[#This Row],[Gross/ -Truck Net]]-CORNHARVESTTBL[[#This Row],[Tare]])</f>
        <v>61220</v>
      </c>
      <c r="P149" s="184">
        <v>56</v>
      </c>
      <c r="Q149" s="184">
        <v>20.7</v>
      </c>
      <c r="R149" s="188"/>
      <c r="S149" s="393"/>
      <c r="T149" s="394">
        <f>CORNHARVESTTBL[[#This Row],[Net]]/56</f>
        <v>1093.2142857142858</v>
      </c>
      <c r="U149" s="395">
        <v>85.27</v>
      </c>
      <c r="V149" s="394"/>
      <c r="W149" s="394">
        <f>CORNHARVESTTBL[[#This Row],[Gross Units]]-CORNHARVESTTBL[[#This Row],[Shrink]]</f>
        <v>1007.9442857142858</v>
      </c>
      <c r="X149" s="396" t="s">
        <v>117</v>
      </c>
      <c r="Y149" s="181">
        <v>0.65</v>
      </c>
      <c r="Z149" s="181">
        <v>0.35</v>
      </c>
      <c r="AA149" s="394">
        <f t="shared" si="11"/>
        <v>655.16378571428584</v>
      </c>
      <c r="AB149" s="397">
        <f t="shared" si="12"/>
        <v>352.78050000000002</v>
      </c>
    </row>
    <row r="150" spans="1:28" s="528" customFormat="1" x14ac:dyDescent="0.25">
      <c r="A150" s="696">
        <v>45965</v>
      </c>
      <c r="B150" s="697" t="s">
        <v>331</v>
      </c>
      <c r="C150" s="697" t="s">
        <v>424</v>
      </c>
      <c r="D150" s="697" t="s">
        <v>431</v>
      </c>
      <c r="E150" s="697">
        <v>111491</v>
      </c>
      <c r="F150" s="697" t="s">
        <v>74</v>
      </c>
      <c r="G150" s="697" t="s">
        <v>21</v>
      </c>
      <c r="H150" s="697" t="s">
        <v>25</v>
      </c>
      <c r="I150" s="697"/>
      <c r="J150" s="697"/>
      <c r="K150" s="697"/>
      <c r="L150" s="697">
        <v>55767</v>
      </c>
      <c r="M150" s="697">
        <v>80440</v>
      </c>
      <c r="N150" s="391">
        <v>26980</v>
      </c>
      <c r="O150" s="392">
        <f>(CORNHARVESTTBL[[#This Row],[Gross/ -Truck Net]]-CORNHARVESTTBL[[#This Row],[Tare]])</f>
        <v>53460</v>
      </c>
      <c r="P150" s="184">
        <v>56</v>
      </c>
      <c r="Q150" s="184">
        <v>20.8</v>
      </c>
      <c r="R150" s="188"/>
      <c r="S150" s="393"/>
      <c r="T150" s="394">
        <f>CORNHARVESTTBL[[#This Row],[Net]]/56</f>
        <v>954.64285714285711</v>
      </c>
      <c r="U150" s="395">
        <v>75.89</v>
      </c>
      <c r="V150" s="394"/>
      <c r="W150" s="394">
        <f>CORNHARVESTTBL[[#This Row],[Gross Units]]-CORNHARVESTTBL[[#This Row],[Shrink]]</f>
        <v>878.75285714285712</v>
      </c>
      <c r="X150" s="396" t="s">
        <v>117</v>
      </c>
      <c r="Y150" s="181">
        <v>0.65</v>
      </c>
      <c r="Z150" s="181">
        <v>0.35</v>
      </c>
      <c r="AA150" s="394">
        <f t="shared" si="11"/>
        <v>571.18935714285715</v>
      </c>
      <c r="AB150" s="397">
        <f t="shared" si="12"/>
        <v>307.56349999999998</v>
      </c>
    </row>
    <row r="151" spans="1:28" s="528" customFormat="1" x14ac:dyDescent="0.25">
      <c r="A151" s="696"/>
      <c r="B151" s="697"/>
      <c r="C151" s="697"/>
      <c r="D151" s="697"/>
      <c r="E151" s="697"/>
      <c r="F151" s="697"/>
      <c r="G151" s="697"/>
      <c r="H151" s="697"/>
      <c r="I151" s="697"/>
      <c r="J151" s="697"/>
      <c r="K151" s="697"/>
      <c r="L151" s="697"/>
      <c r="M151" s="697"/>
      <c r="N151" s="391"/>
      <c r="O151" s="392">
        <f>(CORNHARVESTTBL[[#This Row],[Gross/ -Truck Net]]-CORNHARVESTTBL[[#This Row],[Tare]])</f>
        <v>0</v>
      </c>
      <c r="P151" s="184"/>
      <c r="Q151" s="184"/>
      <c r="R151" s="188"/>
      <c r="S151" s="393"/>
      <c r="T151" s="394">
        <f>CORNHARVESTTBL[[#This Row],[Net]]/56</f>
        <v>0</v>
      </c>
      <c r="U151" s="395">
        <v>0</v>
      </c>
      <c r="V151" s="394"/>
      <c r="W151" s="394">
        <f>CORNHARVESTTBL[[#This Row],[Gross Units]]-CORNHARVESTTBL[[#This Row],[Shrink]]</f>
        <v>0</v>
      </c>
      <c r="X151" s="396" t="s">
        <v>117</v>
      </c>
      <c r="Y151" s="181">
        <v>0.65</v>
      </c>
      <c r="Z151" s="181">
        <v>0.35</v>
      </c>
      <c r="AA151" s="394">
        <f t="shared" si="11"/>
        <v>0</v>
      </c>
      <c r="AB151" s="397">
        <f t="shared" si="12"/>
        <v>0</v>
      </c>
    </row>
    <row r="152" spans="1:28" s="528" customFormat="1" ht="15.75" x14ac:dyDescent="0.25">
      <c r="A152" s="696"/>
      <c r="B152" s="697"/>
      <c r="C152" s="697"/>
      <c r="D152" s="697"/>
      <c r="E152" s="697"/>
      <c r="F152" s="697"/>
      <c r="G152" s="697"/>
      <c r="H152" s="682"/>
      <c r="I152" s="697"/>
      <c r="J152" s="697"/>
      <c r="K152" s="697"/>
      <c r="L152" s="697"/>
      <c r="M152" s="697"/>
      <c r="N152" s="391"/>
      <c r="O152" s="392">
        <f>(CORNHARVESTTBL[[#This Row],[Gross/ -Truck Net]]-CORNHARVESTTBL[[#This Row],[Tare]])</f>
        <v>0</v>
      </c>
      <c r="P152" s="184"/>
      <c r="Q152" s="184"/>
      <c r="R152" s="188"/>
      <c r="S152" s="393"/>
      <c r="T152" s="394">
        <f>CORNHARVESTTBL[[#This Row],[Net]]/56</f>
        <v>0</v>
      </c>
      <c r="U152" s="395">
        <v>0</v>
      </c>
      <c r="V152" s="394"/>
      <c r="W152" s="394">
        <f>CORNHARVESTTBL[[#This Row],[Gross Units]]-CORNHARVESTTBL[[#This Row],[Shrink]]</f>
        <v>0</v>
      </c>
      <c r="X152" s="396" t="s">
        <v>117</v>
      </c>
      <c r="Y152" s="181">
        <v>0.65</v>
      </c>
      <c r="Z152" s="181">
        <v>0.35</v>
      </c>
      <c r="AA152" s="394">
        <f t="shared" si="11"/>
        <v>0</v>
      </c>
      <c r="AB152" s="397">
        <f t="shared" si="12"/>
        <v>0</v>
      </c>
    </row>
    <row r="153" spans="1:28" s="528" customFormat="1" x14ac:dyDescent="0.25">
      <c r="A153" s="696"/>
      <c r="B153" s="697"/>
      <c r="C153" s="697"/>
      <c r="D153" s="697"/>
      <c r="E153" s="697"/>
      <c r="F153" s="697"/>
      <c r="G153" s="697"/>
      <c r="H153" s="697"/>
      <c r="I153" s="697"/>
      <c r="J153" s="697"/>
      <c r="K153" s="697"/>
      <c r="L153" s="697"/>
      <c r="M153" s="697"/>
      <c r="N153" s="391"/>
      <c r="O153" s="392">
        <f>(CORNHARVESTTBL[[#This Row],[Gross/ -Truck Net]]-CORNHARVESTTBL[[#This Row],[Tare]])</f>
        <v>0</v>
      </c>
      <c r="P153" s="184"/>
      <c r="Q153" s="184"/>
      <c r="R153" s="188"/>
      <c r="S153" s="393"/>
      <c r="T153" s="394">
        <f>CORNHARVESTTBL[[#This Row],[Net]]/56</f>
        <v>0</v>
      </c>
      <c r="U153" s="395">
        <v>0</v>
      </c>
      <c r="V153" s="394"/>
      <c r="W153" s="394">
        <f>CORNHARVESTTBL[[#This Row],[Gross Units]]-CORNHARVESTTBL[[#This Row],[Shrink]]</f>
        <v>0</v>
      </c>
      <c r="X153" s="396" t="s">
        <v>117</v>
      </c>
      <c r="Y153" s="181">
        <v>0.65</v>
      </c>
      <c r="Z153" s="181">
        <v>0.35</v>
      </c>
      <c r="AA153" s="394">
        <f t="shared" si="11"/>
        <v>0</v>
      </c>
      <c r="AB153" s="397">
        <f t="shared" si="12"/>
        <v>0</v>
      </c>
    </row>
    <row r="154" spans="1:28" s="528" customFormat="1" x14ac:dyDescent="0.25">
      <c r="A154" s="696"/>
      <c r="B154" s="697"/>
      <c r="C154" s="697"/>
      <c r="D154" s="697"/>
      <c r="E154" s="697"/>
      <c r="F154" s="697"/>
      <c r="G154" s="697"/>
      <c r="H154" s="697"/>
      <c r="I154" s="697"/>
      <c r="J154" s="697"/>
      <c r="K154" s="697"/>
      <c r="L154" s="697"/>
      <c r="M154" s="697"/>
      <c r="N154" s="391"/>
      <c r="O154" s="392">
        <f>(CORNHARVESTTBL[[#This Row],[Gross/ -Truck Net]]-CORNHARVESTTBL[[#This Row],[Tare]])</f>
        <v>0</v>
      </c>
      <c r="P154" s="184"/>
      <c r="Q154" s="184"/>
      <c r="R154" s="188"/>
      <c r="S154" s="393"/>
      <c r="T154" s="394">
        <f>CORNHARVESTTBL[[#This Row],[Net]]/56</f>
        <v>0</v>
      </c>
      <c r="U154" s="395">
        <v>0</v>
      </c>
      <c r="V154" s="394"/>
      <c r="W154" s="394">
        <f>CORNHARVESTTBL[[#This Row],[Gross Units]]-CORNHARVESTTBL[[#This Row],[Shrink]]</f>
        <v>0</v>
      </c>
      <c r="X154" s="396" t="s">
        <v>117</v>
      </c>
      <c r="Y154" s="181">
        <v>0.65</v>
      </c>
      <c r="Z154" s="181">
        <v>0.35</v>
      </c>
      <c r="AA154" s="394">
        <f t="shared" si="11"/>
        <v>0</v>
      </c>
      <c r="AB154" s="397">
        <f t="shared" si="12"/>
        <v>0</v>
      </c>
    </row>
    <row r="155" spans="1:28" s="528" customFormat="1" x14ac:dyDescent="0.25">
      <c r="A155" s="696"/>
      <c r="B155" s="697"/>
      <c r="C155" s="697"/>
      <c r="D155" s="697"/>
      <c r="E155" s="697"/>
      <c r="F155" s="697"/>
      <c r="G155" s="697"/>
      <c r="H155" s="697"/>
      <c r="I155" s="697"/>
      <c r="J155" s="697"/>
      <c r="K155" s="697"/>
      <c r="L155" s="697"/>
      <c r="M155" s="697"/>
      <c r="N155" s="391"/>
      <c r="O155" s="392">
        <f>(CORNHARVESTTBL[[#This Row],[Gross/ -Truck Net]]-CORNHARVESTTBL[[#This Row],[Tare]])</f>
        <v>0</v>
      </c>
      <c r="P155" s="184"/>
      <c r="Q155" s="184"/>
      <c r="R155" s="188"/>
      <c r="S155" s="393"/>
      <c r="T155" s="394">
        <f>CORNHARVESTTBL[[#This Row],[Net]]/56</f>
        <v>0</v>
      </c>
      <c r="U155" s="395">
        <v>0</v>
      </c>
      <c r="V155" s="394"/>
      <c r="W155" s="394">
        <f>CORNHARVESTTBL[[#This Row],[Gross Units]]-CORNHARVESTTBL[[#This Row],[Shrink]]</f>
        <v>0</v>
      </c>
      <c r="X155" s="396" t="s">
        <v>117</v>
      </c>
      <c r="Y155" s="181">
        <v>0.65</v>
      </c>
      <c r="Z155" s="181">
        <v>0.35</v>
      </c>
      <c r="AA155" s="394">
        <f t="shared" si="11"/>
        <v>0</v>
      </c>
      <c r="AB155" s="397">
        <f t="shared" si="12"/>
        <v>0</v>
      </c>
    </row>
    <row r="156" spans="1:28" s="528" customFormat="1" x14ac:dyDescent="0.25">
      <c r="A156" s="696"/>
      <c r="B156" s="697"/>
      <c r="C156" s="697"/>
      <c r="D156" s="697"/>
      <c r="E156" s="697"/>
      <c r="F156" s="697"/>
      <c r="G156" s="697"/>
      <c r="H156" s="697"/>
      <c r="I156" s="697"/>
      <c r="J156" s="697"/>
      <c r="K156" s="697"/>
      <c r="L156" s="697"/>
      <c r="M156" s="697"/>
      <c r="N156" s="391"/>
      <c r="O156" s="392">
        <f>(CORNHARVESTTBL[[#This Row],[Gross/ -Truck Net]]-CORNHARVESTTBL[[#This Row],[Tare]])</f>
        <v>0</v>
      </c>
      <c r="P156" s="184"/>
      <c r="Q156" s="184"/>
      <c r="R156" s="188"/>
      <c r="S156" s="393"/>
      <c r="T156" s="394">
        <f>CORNHARVESTTBL[[#This Row],[Net]]/56</f>
        <v>0</v>
      </c>
      <c r="U156" s="395">
        <v>0</v>
      </c>
      <c r="V156" s="394"/>
      <c r="W156" s="394">
        <f>CORNHARVESTTBL[[#This Row],[Gross Units]]-CORNHARVESTTBL[[#This Row],[Shrink]]</f>
        <v>0</v>
      </c>
      <c r="X156" s="396" t="s">
        <v>117</v>
      </c>
      <c r="Y156" s="181">
        <v>0.65</v>
      </c>
      <c r="Z156" s="181">
        <v>0.35</v>
      </c>
      <c r="AA156" s="394">
        <f t="shared" si="11"/>
        <v>0</v>
      </c>
      <c r="AB156" s="397">
        <f t="shared" si="12"/>
        <v>0</v>
      </c>
    </row>
    <row r="157" spans="1:28" s="528" customFormat="1" ht="15.75" x14ac:dyDescent="0.25">
      <c r="A157" s="696"/>
      <c r="B157" s="697"/>
      <c r="C157" s="697"/>
      <c r="D157" s="697"/>
      <c r="E157" s="697"/>
      <c r="F157" s="697"/>
      <c r="G157" s="697"/>
      <c r="H157" s="681"/>
      <c r="I157" s="697"/>
      <c r="J157" s="697"/>
      <c r="K157" s="697"/>
      <c r="L157" s="697"/>
      <c r="M157" s="697"/>
      <c r="N157" s="391"/>
      <c r="O157" s="392">
        <f>(CORNHARVESTTBL[[#This Row],[Gross/ -Truck Net]]-CORNHARVESTTBL[[#This Row],[Tare]])</f>
        <v>0</v>
      </c>
      <c r="P157" s="184"/>
      <c r="Q157" s="184"/>
      <c r="R157" s="188"/>
      <c r="S157" s="393"/>
      <c r="T157" s="394">
        <f>CORNHARVESTTBL[[#This Row],[Net]]/56</f>
        <v>0</v>
      </c>
      <c r="U157" s="395">
        <v>0</v>
      </c>
      <c r="V157" s="394"/>
      <c r="W157" s="394">
        <f>CORNHARVESTTBL[[#This Row],[Gross Units]]-CORNHARVESTTBL[[#This Row],[Shrink]]</f>
        <v>0</v>
      </c>
      <c r="X157" s="396" t="s">
        <v>297</v>
      </c>
      <c r="Y157" s="181">
        <v>1</v>
      </c>
      <c r="Z157" s="181"/>
      <c r="AA157" s="394">
        <f>CORNHARVESTTBL[[#This Row],[Net Units]]*CORNHARVESTTBL[[#This Row],[MCC. ENT.]]</f>
        <v>0</v>
      </c>
      <c r="AB157" s="397">
        <f>CORNHARVESTTBL[[#This Row],[Net Units]]*CORNHARVESTTBL[[#This Row],[L.L.]]</f>
        <v>0</v>
      </c>
    </row>
    <row r="158" spans="1:28" s="528" customFormat="1" x14ac:dyDescent="0.25">
      <c r="A158" s="696"/>
      <c r="B158" s="697"/>
      <c r="C158" s="697"/>
      <c r="D158" s="697"/>
      <c r="E158" s="697"/>
      <c r="F158" s="697"/>
      <c r="G158" s="697"/>
      <c r="H158" s="697"/>
      <c r="I158" s="697"/>
      <c r="J158" s="697"/>
      <c r="K158" s="697"/>
      <c r="L158" s="697"/>
      <c r="M158" s="697"/>
      <c r="N158" s="391"/>
      <c r="O158" s="392">
        <f>(CORNHARVESTTBL[[#This Row],[Gross/ -Truck Net]]-CORNHARVESTTBL[[#This Row],[Tare]])</f>
        <v>0</v>
      </c>
      <c r="P158" s="184"/>
      <c r="Q158" s="184"/>
      <c r="R158" s="188"/>
      <c r="S158" s="393"/>
      <c r="T158" s="394">
        <f>CORNHARVESTTBL[[#This Row],[Net]]/56</f>
        <v>0</v>
      </c>
      <c r="U158" s="395">
        <v>0</v>
      </c>
      <c r="V158" s="394"/>
      <c r="W158" s="394">
        <f>CORNHARVESTTBL[[#This Row],[Gross Units]]-CORNHARVESTTBL[[#This Row],[Shrink]]</f>
        <v>0</v>
      </c>
      <c r="X158" s="396" t="s">
        <v>297</v>
      </c>
      <c r="Y158" s="181">
        <v>1</v>
      </c>
      <c r="Z158" s="181"/>
      <c r="AA158" s="394">
        <f>CORNHARVESTTBL[[#This Row],[Net Units]]*CORNHARVESTTBL[[#This Row],[MCC. ENT.]]</f>
        <v>0</v>
      </c>
      <c r="AB158" s="397">
        <f>CORNHARVESTTBL[[#This Row],[Net Units]]*CORNHARVESTTBL[[#This Row],[L.L.]]</f>
        <v>0</v>
      </c>
    </row>
    <row r="159" spans="1:28" s="528" customFormat="1" x14ac:dyDescent="0.25">
      <c r="A159" s="696"/>
      <c r="B159" s="697"/>
      <c r="C159" s="697"/>
      <c r="D159" s="697"/>
      <c r="E159" s="697"/>
      <c r="F159" s="697"/>
      <c r="G159" s="697"/>
      <c r="H159" s="697"/>
      <c r="I159" s="697"/>
      <c r="J159" s="697"/>
      <c r="K159" s="697"/>
      <c r="L159" s="697"/>
      <c r="M159" s="697"/>
      <c r="N159" s="391"/>
      <c r="O159" s="392">
        <f>(CORNHARVESTTBL[[#This Row],[Gross/ -Truck Net]]-CORNHARVESTTBL[[#This Row],[Tare]])</f>
        <v>0</v>
      </c>
      <c r="P159" s="184"/>
      <c r="Q159" s="184"/>
      <c r="R159" s="188"/>
      <c r="S159" s="393"/>
      <c r="T159" s="394">
        <f>CORNHARVESTTBL[[#This Row],[Net]]/56</f>
        <v>0</v>
      </c>
      <c r="U159" s="395">
        <v>0</v>
      </c>
      <c r="V159" s="394"/>
      <c r="W159" s="394">
        <f>CORNHARVESTTBL[[#This Row],[Gross Units]]-CORNHARVESTTBL[[#This Row],[Shrink]]</f>
        <v>0</v>
      </c>
      <c r="X159" s="396" t="s">
        <v>297</v>
      </c>
      <c r="Y159" s="181">
        <v>1</v>
      </c>
      <c r="Z159" s="181"/>
      <c r="AA159" s="394">
        <f>CORNHARVESTTBL[[#This Row],[Net Units]]*CORNHARVESTTBL[[#This Row],[MCC. ENT.]]</f>
        <v>0</v>
      </c>
      <c r="AB159" s="397">
        <f>CORNHARVESTTBL[[#This Row],[Net Units]]*CORNHARVESTTBL[[#This Row],[L.L.]]</f>
        <v>0</v>
      </c>
    </row>
    <row r="160" spans="1:28" s="528" customFormat="1" x14ac:dyDescent="0.25">
      <c r="A160" s="696"/>
      <c r="B160" s="697"/>
      <c r="C160" s="697"/>
      <c r="D160" s="697"/>
      <c r="E160" s="697"/>
      <c r="F160" s="697"/>
      <c r="G160" s="697"/>
      <c r="H160" s="697"/>
      <c r="I160" s="697"/>
      <c r="J160" s="697"/>
      <c r="K160" s="697"/>
      <c r="L160" s="697"/>
      <c r="M160" s="697"/>
      <c r="N160" s="391"/>
      <c r="O160" s="392">
        <f>(CORNHARVESTTBL[[#This Row],[Gross/ -Truck Net]]-CORNHARVESTTBL[[#This Row],[Tare]])</f>
        <v>0</v>
      </c>
      <c r="P160" s="184"/>
      <c r="Q160" s="184"/>
      <c r="R160" s="188"/>
      <c r="S160" s="393"/>
      <c r="T160" s="394">
        <f>CORNHARVESTTBL[[#This Row],[Net]]/56</f>
        <v>0</v>
      </c>
      <c r="U160" s="395">
        <v>0</v>
      </c>
      <c r="V160" s="394"/>
      <c r="W160" s="394">
        <f>CORNHARVESTTBL[[#This Row],[Gross Units]]-CORNHARVESTTBL[[#This Row],[Shrink]]</f>
        <v>0</v>
      </c>
      <c r="X160" s="396" t="s">
        <v>297</v>
      </c>
      <c r="Y160" s="181">
        <v>1</v>
      </c>
      <c r="Z160" s="181"/>
      <c r="AA160" s="394">
        <f>CORNHARVESTTBL[[#This Row],[Net Units]]*CORNHARVESTTBL[[#This Row],[MCC. ENT.]]</f>
        <v>0</v>
      </c>
      <c r="AB160" s="397">
        <f>CORNHARVESTTBL[[#This Row],[Net Units]]*CORNHARVESTTBL[[#This Row],[L.L.]]</f>
        <v>0</v>
      </c>
    </row>
    <row r="161" spans="1:28" s="528" customFormat="1" x14ac:dyDescent="0.25">
      <c r="A161" s="696"/>
      <c r="B161" s="697"/>
      <c r="C161" s="697"/>
      <c r="D161" s="697"/>
      <c r="E161" s="697"/>
      <c r="F161" s="697"/>
      <c r="G161" s="697"/>
      <c r="H161" s="684"/>
      <c r="I161" s="697"/>
      <c r="J161" s="697"/>
      <c r="K161" s="697"/>
      <c r="L161" s="697"/>
      <c r="M161" s="697"/>
      <c r="N161" s="391"/>
      <c r="O161" s="392">
        <f>(CORNHARVESTTBL[[#This Row],[Gross/ -Truck Net]]-CORNHARVESTTBL[[#This Row],[Tare]])</f>
        <v>0</v>
      </c>
      <c r="P161" s="184"/>
      <c r="Q161" s="184"/>
      <c r="R161" s="188"/>
      <c r="S161" s="393"/>
      <c r="T161" s="394">
        <f>CORNHARVESTTBL[[#This Row],[Net]]/56</f>
        <v>0</v>
      </c>
      <c r="U161" s="395">
        <v>0</v>
      </c>
      <c r="V161" s="394"/>
      <c r="W161" s="394">
        <f>CORNHARVESTTBL[[#This Row],[Gross Units]]-CORNHARVESTTBL[[#This Row],[Shrink]]</f>
        <v>0</v>
      </c>
      <c r="X161" s="396" t="s">
        <v>297</v>
      </c>
      <c r="Y161" s="181">
        <v>1</v>
      </c>
      <c r="Z161" s="181"/>
      <c r="AA161" s="394">
        <f>CORNHARVESTTBL[[#This Row],[Net Units]]*CORNHARVESTTBL[[#This Row],[MCC. ENT.]]</f>
        <v>0</v>
      </c>
      <c r="AB161" s="397">
        <f>CORNHARVESTTBL[[#This Row],[Net Units]]*CORNHARVESTTBL[[#This Row],[L.L.]]</f>
        <v>0</v>
      </c>
    </row>
    <row r="162" spans="1:28" s="528" customFormat="1" ht="15.75" x14ac:dyDescent="0.25">
      <c r="A162" s="696"/>
      <c r="B162" s="697"/>
      <c r="C162" s="697"/>
      <c r="D162" s="697"/>
      <c r="E162" s="697"/>
      <c r="F162" s="697"/>
      <c r="G162" s="697"/>
      <c r="H162" s="685"/>
      <c r="I162" s="697"/>
      <c r="J162" s="697"/>
      <c r="K162" s="697"/>
      <c r="L162" s="697"/>
      <c r="M162" s="699"/>
      <c r="N162" s="391">
        <v>26960</v>
      </c>
      <c r="O162" s="392">
        <f>(CORNHARVESTTBL[[#This Row],[Gross/ -Truck Net]]-CORNHARVESTTBL[[#This Row],[Tare]])</f>
        <v>-26960</v>
      </c>
      <c r="P162" s="184">
        <v>57</v>
      </c>
      <c r="Q162" s="184">
        <v>17</v>
      </c>
      <c r="R162" s="188"/>
      <c r="S162" s="393"/>
      <c r="T162" s="394">
        <f>CORNHARVESTTBL[[#This Row],[Net]]/56</f>
        <v>-481.42857142857144</v>
      </c>
      <c r="U162" s="395">
        <v>23.3</v>
      </c>
      <c r="V162" s="394"/>
      <c r="W162" s="394">
        <f>CORNHARVESTTBL[[#This Row],[Gross Units]]-CORNHARVESTTBL[[#This Row],[Shrink]]</f>
        <v>-504.72857142857146</v>
      </c>
      <c r="X162" s="396" t="s">
        <v>297</v>
      </c>
      <c r="Y162" s="181">
        <v>1</v>
      </c>
      <c r="Z162" s="181"/>
      <c r="AA162" s="394">
        <f>CORNHARVESTTBL[[#This Row],[Net Units]]*CORNHARVESTTBL[[#This Row],[MCC. ENT.]]</f>
        <v>-504.72857142857146</v>
      </c>
      <c r="AB162" s="397">
        <f>CORNHARVESTTBL[[#This Row],[Net Units]]*CORNHARVESTTBL[[#This Row],[L.L.]]</f>
        <v>0</v>
      </c>
    </row>
    <row r="163" spans="1:28" s="528" customFormat="1" ht="15.75" x14ac:dyDescent="0.25">
      <c r="A163" s="696"/>
      <c r="B163" s="697"/>
      <c r="C163" s="697"/>
      <c r="D163" s="697"/>
      <c r="E163" s="697"/>
      <c r="F163" s="697"/>
      <c r="G163" s="697"/>
      <c r="H163" s="685"/>
      <c r="I163" s="697"/>
      <c r="J163" s="697"/>
      <c r="K163" s="697"/>
      <c r="L163" s="697"/>
      <c r="M163" s="697"/>
      <c r="N163" s="391"/>
      <c r="O163" s="392">
        <f>(CORNHARVESTTBL[[#This Row],[Gross/ -Truck Net]]-CORNHARVESTTBL[[#This Row],[Tare]])</f>
        <v>0</v>
      </c>
      <c r="P163" s="184"/>
      <c r="Q163" s="184"/>
      <c r="R163" s="188"/>
      <c r="S163" s="393"/>
      <c r="T163" s="394">
        <f>CORNHARVESTTBL[[#This Row],[Net]]/56</f>
        <v>0</v>
      </c>
      <c r="U163" s="395"/>
      <c r="V163" s="394"/>
      <c r="W163" s="394">
        <f>CORNHARVESTTBL[[#This Row],[Gross Units]]-CORNHARVESTTBL[[#This Row],[Shrink]]</f>
        <v>0</v>
      </c>
      <c r="X163" s="396" t="s">
        <v>297</v>
      </c>
      <c r="Y163" s="181">
        <v>1</v>
      </c>
      <c r="Z163" s="181"/>
      <c r="AA163" s="394">
        <f>CORNHARVESTTBL[[#This Row],[Net Units]]*CORNHARVESTTBL[[#This Row],[MCC. ENT.]]</f>
        <v>0</v>
      </c>
      <c r="AB163" s="397">
        <f>CORNHARVESTTBL[[#This Row],[Net Units]]*CORNHARVESTTBL[[#This Row],[L.L.]]</f>
        <v>0</v>
      </c>
    </row>
    <row r="164" spans="1:28" s="528" customFormat="1" ht="15.75" x14ac:dyDescent="0.25">
      <c r="A164" s="696"/>
      <c r="B164" s="697"/>
      <c r="C164" s="697"/>
      <c r="D164" s="697"/>
      <c r="E164" s="697"/>
      <c r="F164" s="697"/>
      <c r="G164" s="697"/>
      <c r="H164" s="685"/>
      <c r="I164" s="697"/>
      <c r="J164" s="697"/>
      <c r="K164" s="697"/>
      <c r="L164" s="697"/>
      <c r="M164" s="697"/>
      <c r="N164" s="391"/>
      <c r="O164" s="392">
        <f>(CORNHARVESTTBL[[#This Row],[Gross/ -Truck Net]]-CORNHARVESTTBL[[#This Row],[Tare]])</f>
        <v>0</v>
      </c>
      <c r="P164" s="184"/>
      <c r="Q164" s="184"/>
      <c r="R164" s="188"/>
      <c r="S164" s="393"/>
      <c r="T164" s="394">
        <f>CORNHARVESTTBL[[#This Row],[Net]]/56</f>
        <v>0</v>
      </c>
      <c r="U164" s="395"/>
      <c r="V164" s="394"/>
      <c r="W164" s="394">
        <f>CORNHARVESTTBL[[#This Row],[Gross Units]]-CORNHARVESTTBL[[#This Row],[Shrink]]</f>
        <v>0</v>
      </c>
      <c r="X164" s="396" t="s">
        <v>297</v>
      </c>
      <c r="Y164" s="181">
        <v>1</v>
      </c>
      <c r="Z164" s="181"/>
      <c r="AA164" s="394">
        <f>CORNHARVESTTBL[[#This Row],[Net Units]]*CORNHARVESTTBL[[#This Row],[MCC. ENT.]]</f>
        <v>0</v>
      </c>
      <c r="AB164" s="397">
        <f>CORNHARVESTTBL[[#This Row],[Net Units]]*CORNHARVESTTBL[[#This Row],[L.L.]]</f>
        <v>0</v>
      </c>
    </row>
    <row r="165" spans="1:28" s="528" customFormat="1" ht="15.75" x14ac:dyDescent="0.25">
      <c r="A165" s="696"/>
      <c r="B165" s="697"/>
      <c r="C165" s="697"/>
      <c r="D165" s="697"/>
      <c r="E165" s="697"/>
      <c r="F165" s="697"/>
      <c r="G165" s="697"/>
      <c r="H165" s="685"/>
      <c r="I165" s="697"/>
      <c r="J165" s="697"/>
      <c r="K165" s="697"/>
      <c r="L165" s="697"/>
      <c r="M165" s="697"/>
      <c r="N165" s="391"/>
      <c r="O165" s="392">
        <f>(CORNHARVESTTBL[[#This Row],[Gross/ -Truck Net]]-CORNHARVESTTBL[[#This Row],[Tare]])</f>
        <v>0</v>
      </c>
      <c r="P165" s="184"/>
      <c r="Q165" s="184"/>
      <c r="R165" s="188"/>
      <c r="S165" s="393"/>
      <c r="T165" s="394">
        <f>CORNHARVESTTBL[[#This Row],[Net]]/56</f>
        <v>0</v>
      </c>
      <c r="U165" s="395"/>
      <c r="V165" s="394"/>
      <c r="W165" s="394">
        <f>CORNHARVESTTBL[[#This Row],[Gross Units]]-CORNHARVESTTBL[[#This Row],[Shrink]]</f>
        <v>0</v>
      </c>
      <c r="X165" s="396" t="s">
        <v>297</v>
      </c>
      <c r="Y165" s="181">
        <v>1</v>
      </c>
      <c r="Z165" s="181"/>
      <c r="AA165" s="394">
        <f>CORNHARVESTTBL[[#This Row],[Net Units]]*CORNHARVESTTBL[[#This Row],[MCC. ENT.]]</f>
        <v>0</v>
      </c>
      <c r="AB165" s="397">
        <f>CORNHARVESTTBL[[#This Row],[Net Units]]*CORNHARVESTTBL[[#This Row],[L.L.]]</f>
        <v>0</v>
      </c>
    </row>
    <row r="166" spans="1:28" s="528" customFormat="1" ht="15.75" x14ac:dyDescent="0.25">
      <c r="A166" s="696"/>
      <c r="B166" s="697"/>
      <c r="C166" s="697"/>
      <c r="D166" s="697"/>
      <c r="E166" s="697"/>
      <c r="F166" s="697"/>
      <c r="G166" s="697"/>
      <c r="H166" s="685"/>
      <c r="I166" s="697"/>
      <c r="J166" s="697"/>
      <c r="K166" s="697"/>
      <c r="L166" s="697"/>
      <c r="M166" s="697"/>
      <c r="N166" s="391"/>
      <c r="O166" s="392">
        <f>(CORNHARVESTTBL[[#This Row],[Gross/ -Truck Net]]-CORNHARVESTTBL[[#This Row],[Tare]])</f>
        <v>0</v>
      </c>
      <c r="P166" s="184"/>
      <c r="Q166" s="184"/>
      <c r="R166" s="188"/>
      <c r="S166" s="393"/>
      <c r="T166" s="394">
        <f>CORNHARVESTTBL[[#This Row],[Net]]/56</f>
        <v>0</v>
      </c>
      <c r="U166" s="395"/>
      <c r="V166" s="394"/>
      <c r="W166" s="394">
        <f>CORNHARVESTTBL[[#This Row],[Gross Units]]-CORNHARVESTTBL[[#This Row],[Shrink]]</f>
        <v>0</v>
      </c>
      <c r="X166" s="396" t="s">
        <v>297</v>
      </c>
      <c r="Y166" s="181">
        <v>1</v>
      </c>
      <c r="Z166" s="181"/>
      <c r="AA166" s="394">
        <f>CORNHARVESTTBL[[#This Row],[Net Units]]*CORNHARVESTTBL[[#This Row],[MCC. ENT.]]</f>
        <v>0</v>
      </c>
      <c r="AB166" s="397">
        <f>CORNHARVESTTBL[[#This Row],[Net Units]]*CORNHARVESTTBL[[#This Row],[L.L.]]</f>
        <v>0</v>
      </c>
    </row>
    <row r="167" spans="1:28" s="528" customFormat="1" ht="15.75" x14ac:dyDescent="0.25">
      <c r="A167" s="696"/>
      <c r="B167" s="697"/>
      <c r="C167" s="697"/>
      <c r="D167" s="697"/>
      <c r="E167" s="697"/>
      <c r="F167" s="697"/>
      <c r="G167" s="697"/>
      <c r="H167" s="685"/>
      <c r="I167" s="697"/>
      <c r="J167" s="697"/>
      <c r="K167" s="697"/>
      <c r="L167" s="697"/>
      <c r="M167" s="697"/>
      <c r="N167" s="391"/>
      <c r="O167" s="392">
        <f>(CORNHARVESTTBL[[#This Row],[Gross/ -Truck Net]]-CORNHARVESTTBL[[#This Row],[Tare]])</f>
        <v>0</v>
      </c>
      <c r="P167" s="184"/>
      <c r="Q167" s="184"/>
      <c r="R167" s="188"/>
      <c r="S167" s="393"/>
      <c r="T167" s="394">
        <f>CORNHARVESTTBL[[#This Row],[Net]]/56</f>
        <v>0</v>
      </c>
      <c r="U167" s="395"/>
      <c r="V167" s="394"/>
      <c r="W167" s="394">
        <f>CORNHARVESTTBL[[#This Row],[Gross Units]]-CORNHARVESTTBL[[#This Row],[Shrink]]</f>
        <v>0</v>
      </c>
      <c r="X167" s="396" t="s">
        <v>297</v>
      </c>
      <c r="Y167" s="181">
        <v>1</v>
      </c>
      <c r="Z167" s="181"/>
      <c r="AA167" s="394">
        <f>CORNHARVESTTBL[[#This Row],[Net Units]]*CORNHARVESTTBL[[#This Row],[MCC. ENT.]]</f>
        <v>0</v>
      </c>
      <c r="AB167" s="397">
        <f>CORNHARVESTTBL[[#This Row],[Net Units]]*CORNHARVESTTBL[[#This Row],[L.L.]]</f>
        <v>0</v>
      </c>
    </row>
    <row r="168" spans="1:28" s="528" customFormat="1" ht="15.75" x14ac:dyDescent="0.25">
      <c r="A168" s="696"/>
      <c r="B168" s="697"/>
      <c r="C168" s="697"/>
      <c r="D168" s="697"/>
      <c r="E168" s="697"/>
      <c r="F168" s="697"/>
      <c r="G168" s="697"/>
      <c r="H168" s="685"/>
      <c r="I168" s="697"/>
      <c r="J168" s="697"/>
      <c r="K168" s="697"/>
      <c r="L168" s="697"/>
      <c r="M168" s="697"/>
      <c r="N168" s="391"/>
      <c r="O168" s="392">
        <f>(CORNHARVESTTBL[[#This Row],[Gross/ -Truck Net]]-CORNHARVESTTBL[[#This Row],[Tare]])</f>
        <v>0</v>
      </c>
      <c r="P168" s="184"/>
      <c r="Q168" s="184"/>
      <c r="R168" s="188"/>
      <c r="S168" s="393"/>
      <c r="T168" s="394">
        <f>CORNHARVESTTBL[[#This Row],[Net]]/56</f>
        <v>0</v>
      </c>
      <c r="U168" s="395"/>
      <c r="V168" s="394"/>
      <c r="W168" s="394">
        <f>CORNHARVESTTBL[[#This Row],[Gross Units]]-CORNHARVESTTBL[[#This Row],[Shrink]]</f>
        <v>0</v>
      </c>
      <c r="X168" s="396" t="s">
        <v>297</v>
      </c>
      <c r="Y168" s="181">
        <v>1</v>
      </c>
      <c r="Z168" s="181"/>
      <c r="AA168" s="394">
        <f>CORNHARVESTTBL[[#This Row],[Net Units]]*CORNHARVESTTBL[[#This Row],[MCC. ENT.]]</f>
        <v>0</v>
      </c>
      <c r="AB168" s="397">
        <f>CORNHARVESTTBL[[#This Row],[Net Units]]*CORNHARVESTTBL[[#This Row],[L.L.]]</f>
        <v>0</v>
      </c>
    </row>
    <row r="169" spans="1:28" s="528" customFormat="1" ht="15.75" x14ac:dyDescent="0.25">
      <c r="A169" s="696"/>
      <c r="B169" s="697"/>
      <c r="C169" s="697"/>
      <c r="D169" s="697"/>
      <c r="E169" s="697"/>
      <c r="F169" s="697"/>
      <c r="G169" s="697"/>
      <c r="H169" s="685"/>
      <c r="I169" s="697"/>
      <c r="J169" s="697"/>
      <c r="K169" s="697"/>
      <c r="L169" s="697"/>
      <c r="M169" s="697"/>
      <c r="N169" s="391"/>
      <c r="O169" s="392">
        <f>(CORNHARVESTTBL[[#This Row],[Gross/ -Truck Net]]-CORNHARVESTTBL[[#This Row],[Tare]])</f>
        <v>0</v>
      </c>
      <c r="P169" s="184"/>
      <c r="Q169" s="184"/>
      <c r="R169" s="188"/>
      <c r="S169" s="393"/>
      <c r="T169" s="394">
        <f>CORNHARVESTTBL[[#This Row],[Net]]/56</f>
        <v>0</v>
      </c>
      <c r="U169" s="395"/>
      <c r="V169" s="394"/>
      <c r="W169" s="394">
        <f>CORNHARVESTTBL[[#This Row],[Gross Units]]-CORNHARVESTTBL[[#This Row],[Shrink]]</f>
        <v>0</v>
      </c>
      <c r="X169" s="396" t="s">
        <v>297</v>
      </c>
      <c r="Y169" s="181">
        <v>1</v>
      </c>
      <c r="Z169" s="181"/>
      <c r="AA169" s="394">
        <f>CORNHARVESTTBL[[#This Row],[Net Units]]*CORNHARVESTTBL[[#This Row],[MCC. ENT.]]</f>
        <v>0</v>
      </c>
      <c r="AB169" s="397">
        <f>CORNHARVESTTBL[[#This Row],[Net Units]]*CORNHARVESTTBL[[#This Row],[L.L.]]</f>
        <v>0</v>
      </c>
    </row>
    <row r="170" spans="1:28" s="528" customFormat="1" ht="15.75" x14ac:dyDescent="0.25">
      <c r="A170" s="696"/>
      <c r="B170" s="697"/>
      <c r="C170" s="697"/>
      <c r="D170" s="697"/>
      <c r="E170" s="697"/>
      <c r="F170" s="697"/>
      <c r="G170" s="697"/>
      <c r="H170" s="685"/>
      <c r="I170" s="697"/>
      <c r="J170" s="697"/>
      <c r="K170" s="697"/>
      <c r="L170" s="697"/>
      <c r="M170" s="697"/>
      <c r="N170" s="391"/>
      <c r="O170" s="392">
        <f>(CORNHARVESTTBL[[#This Row],[Gross/ -Truck Net]]-CORNHARVESTTBL[[#This Row],[Tare]])</f>
        <v>0</v>
      </c>
      <c r="P170" s="184"/>
      <c r="Q170" s="184"/>
      <c r="R170" s="188"/>
      <c r="S170" s="393"/>
      <c r="T170" s="394">
        <f>CORNHARVESTTBL[[#This Row],[Net]]/56</f>
        <v>0</v>
      </c>
      <c r="U170" s="395"/>
      <c r="V170" s="394"/>
      <c r="W170" s="394">
        <f>CORNHARVESTTBL[[#This Row],[Gross Units]]-CORNHARVESTTBL[[#This Row],[Shrink]]</f>
        <v>0</v>
      </c>
      <c r="X170" s="396" t="s">
        <v>297</v>
      </c>
      <c r="Y170" s="181">
        <v>1</v>
      </c>
      <c r="Z170" s="181"/>
      <c r="AA170" s="394">
        <f>CORNHARVESTTBL[[#This Row],[Net Units]]*CORNHARVESTTBL[[#This Row],[MCC. ENT.]]</f>
        <v>0</v>
      </c>
      <c r="AB170" s="397">
        <f>CORNHARVESTTBL[[#This Row],[Net Units]]*CORNHARVESTTBL[[#This Row],[L.L.]]</f>
        <v>0</v>
      </c>
    </row>
    <row r="171" spans="1:28" s="528" customFormat="1" x14ac:dyDescent="0.25">
      <c r="A171" s="696"/>
      <c r="B171" s="697"/>
      <c r="C171" s="697"/>
      <c r="D171" s="697"/>
      <c r="E171" s="697"/>
      <c r="F171" s="697"/>
      <c r="G171" s="697"/>
      <c r="H171" s="697"/>
      <c r="I171" s="697"/>
      <c r="J171" s="697"/>
      <c r="K171" s="697"/>
      <c r="L171" s="697"/>
      <c r="M171" s="699"/>
      <c r="N171" s="391">
        <v>31380</v>
      </c>
      <c r="O171" s="392">
        <f>(CORNHARVESTTBL[[#This Row],[Gross/ -Truck Net]]-CORNHARVESTTBL[[#This Row],[Tare]])</f>
        <v>-31380</v>
      </c>
      <c r="P171" s="184"/>
      <c r="Q171" s="184"/>
      <c r="R171" s="188"/>
      <c r="S171" s="393"/>
      <c r="T171" s="394">
        <f>CORNHARVESTTBL[[#This Row],[Net]]/56</f>
        <v>-560.35714285714289</v>
      </c>
      <c r="U171" s="395"/>
      <c r="V171" s="394"/>
      <c r="W171" s="394">
        <f>CORNHARVESTTBL[[#This Row],[Gross Units]]-CORNHARVESTTBL[[#This Row],[Shrink]]</f>
        <v>-560.35714285714289</v>
      </c>
      <c r="X171" s="396" t="s">
        <v>297</v>
      </c>
      <c r="Y171" s="181"/>
      <c r="Z171" s="181"/>
      <c r="AA171" s="394"/>
      <c r="AB171" s="397"/>
    </row>
    <row r="172" spans="1:28" s="528" customFormat="1" x14ac:dyDescent="0.25">
      <c r="A172" s="696"/>
      <c r="B172" s="697"/>
      <c r="C172" s="697"/>
      <c r="D172" s="697"/>
      <c r="E172" s="697"/>
      <c r="F172" s="697"/>
      <c r="G172" s="697"/>
      <c r="H172" s="697"/>
      <c r="I172" s="697"/>
      <c r="J172" s="697"/>
      <c r="K172" s="697"/>
      <c r="L172" s="697"/>
      <c r="M172" s="699"/>
      <c r="N172" s="391">
        <v>31420</v>
      </c>
      <c r="O172" s="392">
        <f>(CORNHARVESTTBL[[#This Row],[Gross/ -Truck Net]]-CORNHARVESTTBL[[#This Row],[Tare]])</f>
        <v>-31420</v>
      </c>
      <c r="P172" s="184"/>
      <c r="Q172" s="184"/>
      <c r="R172" s="188"/>
      <c r="S172" s="393"/>
      <c r="T172" s="394">
        <f>CORNHARVESTTBL[[#This Row],[Net]]/56</f>
        <v>-561.07142857142856</v>
      </c>
      <c r="U172" s="395"/>
      <c r="V172" s="394"/>
      <c r="W172" s="394">
        <f>CORNHARVESTTBL[[#This Row],[Gross Units]]-CORNHARVESTTBL[[#This Row],[Shrink]]</f>
        <v>-561.07142857142856</v>
      </c>
      <c r="X172" s="396" t="s">
        <v>297</v>
      </c>
      <c r="Y172" s="181"/>
      <c r="Z172" s="181"/>
      <c r="AA172" s="394"/>
      <c r="AB172" s="397"/>
    </row>
    <row r="173" spans="1:28" s="528" customFormat="1" x14ac:dyDescent="0.25">
      <c r="A173" s="696"/>
      <c r="B173" s="697"/>
      <c r="C173" s="697"/>
      <c r="D173" s="697"/>
      <c r="E173" s="697"/>
      <c r="F173" s="697"/>
      <c r="G173" s="697"/>
      <c r="H173" s="697"/>
      <c r="I173" s="697"/>
      <c r="J173" s="697"/>
      <c r="K173" s="697"/>
      <c r="L173" s="697"/>
      <c r="M173" s="699"/>
      <c r="N173" s="391">
        <v>31340</v>
      </c>
      <c r="O173" s="392">
        <f>(CORNHARVESTTBL[[#This Row],[Gross/ -Truck Net]]-CORNHARVESTTBL[[#This Row],[Tare]])</f>
        <v>-31340</v>
      </c>
      <c r="P173" s="184">
        <v>59.8</v>
      </c>
      <c r="Q173" s="184">
        <v>12.8</v>
      </c>
      <c r="R173" s="188"/>
      <c r="S173" s="393"/>
      <c r="T173" s="394">
        <f>CORNHARVESTTBL[[#This Row],[Net]]/56</f>
        <v>-559.64285714285711</v>
      </c>
      <c r="U173" s="395"/>
      <c r="V173" s="394"/>
      <c r="W173" s="394">
        <f>CORNHARVESTTBL[[#This Row],[Gross Units]]-CORNHARVESTTBL[[#This Row],[Shrink]]</f>
        <v>-559.64285714285711</v>
      </c>
      <c r="X173" s="396" t="s">
        <v>297</v>
      </c>
      <c r="Y173" s="181"/>
      <c r="Z173" s="181"/>
      <c r="AA173" s="394"/>
      <c r="AB173" s="397"/>
    </row>
    <row r="174" spans="1:28" s="528" customFormat="1" x14ac:dyDescent="0.25">
      <c r="A174" s="696"/>
      <c r="B174" s="697"/>
      <c r="C174" s="697"/>
      <c r="D174" s="697"/>
      <c r="E174" s="697"/>
      <c r="F174" s="697"/>
      <c r="G174" s="697"/>
      <c r="H174" s="697"/>
      <c r="I174" s="697"/>
      <c r="J174" s="697"/>
      <c r="K174" s="697"/>
      <c r="L174" s="697"/>
      <c r="M174" s="699"/>
      <c r="N174" s="391">
        <v>28260</v>
      </c>
      <c r="O174" s="392">
        <f>(CORNHARVESTTBL[[#This Row],[Gross/ -Truck Net]]-CORNHARVESTTBL[[#This Row],[Tare]])</f>
        <v>-28260</v>
      </c>
      <c r="P174" s="184">
        <v>56.8</v>
      </c>
      <c r="Q174" s="184">
        <v>16.399999999999999</v>
      </c>
      <c r="R174" s="188"/>
      <c r="S174" s="393"/>
      <c r="T174" s="394">
        <f>CORNHARVESTTBL[[#This Row],[Net]]/56</f>
        <v>-504.64285714285717</v>
      </c>
      <c r="U174" s="395">
        <v>16.41</v>
      </c>
      <c r="V174" s="394"/>
      <c r="W174" s="394">
        <f>CORNHARVESTTBL[[#This Row],[Gross Units]]-CORNHARVESTTBL[[#This Row],[Shrink]]</f>
        <v>-521.05285714285719</v>
      </c>
      <c r="X174" s="396" t="s">
        <v>297</v>
      </c>
      <c r="Y174" s="181"/>
      <c r="Z174" s="181"/>
      <c r="AA174" s="394"/>
      <c r="AB174" s="397"/>
    </row>
    <row r="175" spans="1:28" s="528" customFormat="1" x14ac:dyDescent="0.25">
      <c r="A175" s="696"/>
      <c r="B175" s="697"/>
      <c r="C175" s="697"/>
      <c r="D175" s="697"/>
      <c r="E175" s="697"/>
      <c r="F175" s="697"/>
      <c r="G175" s="697"/>
      <c r="H175" s="697"/>
      <c r="I175" s="697"/>
      <c r="J175" s="697"/>
      <c r="K175" s="697"/>
      <c r="L175" s="697"/>
      <c r="M175" s="699"/>
      <c r="N175" s="391">
        <v>33900</v>
      </c>
      <c r="O175" s="392">
        <f>(CORNHARVESTTBL[[#This Row],[Gross/ -Truck Net]]-CORNHARVESTTBL[[#This Row],[Tare]])</f>
        <v>-33900</v>
      </c>
      <c r="P175" s="184">
        <v>58</v>
      </c>
      <c r="Q175" s="184">
        <v>15.69</v>
      </c>
      <c r="R175" s="188"/>
      <c r="S175" s="393"/>
      <c r="T175" s="394">
        <f>CORNHARVESTTBL[[#This Row],[Net]]/56</f>
        <v>-605.35714285714289</v>
      </c>
      <c r="U175" s="395">
        <v>3.7</v>
      </c>
      <c r="V175" s="394"/>
      <c r="W175" s="394">
        <f>CORNHARVESTTBL[[#This Row],[Gross Units]]-CORNHARVESTTBL[[#This Row],[Shrink]]</f>
        <v>-609.05714285714294</v>
      </c>
      <c r="X175" s="396" t="s">
        <v>297</v>
      </c>
      <c r="Y175" s="181"/>
      <c r="Z175" s="181"/>
      <c r="AA175" s="394"/>
      <c r="AB175" s="397"/>
    </row>
    <row r="176" spans="1:28" s="528" customFormat="1" x14ac:dyDescent="0.25">
      <c r="A176" s="696"/>
      <c r="B176" s="697"/>
      <c r="C176" s="697"/>
      <c r="D176" s="697"/>
      <c r="E176" s="697"/>
      <c r="F176" s="697"/>
      <c r="G176" s="697"/>
      <c r="H176" s="697"/>
      <c r="I176" s="697"/>
      <c r="J176" s="697"/>
      <c r="K176" s="697"/>
      <c r="L176" s="697"/>
      <c r="M176" s="699"/>
      <c r="N176" s="391">
        <v>33060</v>
      </c>
      <c r="O176" s="392">
        <f>(CORNHARVESTTBL[[#This Row],[Gross/ -Truck Net]]-CORNHARVESTTBL[[#This Row],[Tare]])</f>
        <v>-33060</v>
      </c>
      <c r="P176" s="184">
        <v>56.9</v>
      </c>
      <c r="Q176" s="184">
        <v>16.100000000000001</v>
      </c>
      <c r="R176" s="188"/>
      <c r="S176" s="393"/>
      <c r="T176" s="394">
        <f>CORNHARVESTTBL[[#This Row],[Net]]/56</f>
        <v>-590.35714285714289</v>
      </c>
      <c r="U176" s="395">
        <v>11.34</v>
      </c>
      <c r="V176" s="394"/>
      <c r="W176" s="394">
        <f>CORNHARVESTTBL[[#This Row],[Gross Units]]-CORNHARVESTTBL[[#This Row],[Shrink]]</f>
        <v>-601.69714285714292</v>
      </c>
      <c r="X176" s="396" t="s">
        <v>297</v>
      </c>
      <c r="Y176" s="181"/>
      <c r="Z176" s="181"/>
      <c r="AA176" s="394"/>
      <c r="AB176" s="397"/>
    </row>
    <row r="177" spans="1:29" s="528" customFormat="1" x14ac:dyDescent="0.25">
      <c r="A177" s="696"/>
      <c r="B177" s="697"/>
      <c r="C177" s="697"/>
      <c r="D177" s="697"/>
      <c r="E177" s="697"/>
      <c r="F177" s="697"/>
      <c r="G177" s="697"/>
      <c r="H177" s="697"/>
      <c r="I177" s="697"/>
      <c r="J177" s="697"/>
      <c r="K177" s="697"/>
      <c r="L177" s="697"/>
      <c r="M177" s="699"/>
      <c r="N177" s="391">
        <v>33740</v>
      </c>
      <c r="O177" s="392">
        <f>(CORNHARVESTTBL[[#This Row],[Gross/ -Truck Net]]-CORNHARVESTTBL[[#This Row],[Tare]])</f>
        <v>-33740</v>
      </c>
      <c r="P177" s="184">
        <v>59.9</v>
      </c>
      <c r="Q177" s="184">
        <v>15.56</v>
      </c>
      <c r="R177" s="188"/>
      <c r="S177" s="393"/>
      <c r="T177" s="394">
        <f>CORNHARVESTTBL[[#This Row],[Net]]/56</f>
        <v>-602.5</v>
      </c>
      <c r="U177" s="395">
        <v>1.96</v>
      </c>
      <c r="V177" s="394"/>
      <c r="W177" s="394">
        <f>CORNHARVESTTBL[[#This Row],[Gross Units]]-CORNHARVESTTBL[[#This Row],[Shrink]]</f>
        <v>-604.46</v>
      </c>
      <c r="X177" s="396" t="s">
        <v>297</v>
      </c>
      <c r="Y177" s="181"/>
      <c r="Z177" s="181"/>
      <c r="AA177" s="394"/>
      <c r="AB177" s="397"/>
    </row>
    <row r="178" spans="1:29" s="528" customFormat="1" x14ac:dyDescent="0.25">
      <c r="A178" s="696"/>
      <c r="B178" s="697"/>
      <c r="C178" s="697"/>
      <c r="D178" s="697"/>
      <c r="E178" s="697"/>
      <c r="F178" s="697"/>
      <c r="G178" s="697"/>
      <c r="H178" s="697"/>
      <c r="I178" s="697"/>
      <c r="J178" s="697"/>
      <c r="K178" s="697"/>
      <c r="L178" s="697"/>
      <c r="M178" s="699"/>
      <c r="N178" s="391">
        <v>33800</v>
      </c>
      <c r="O178" s="392">
        <f>(CORNHARVESTTBL[[#This Row],[Gross/ -Truck Net]]-CORNHARVESTTBL[[#This Row],[Tare]])</f>
        <v>-33800</v>
      </c>
      <c r="P178" s="184">
        <v>58.5</v>
      </c>
      <c r="Q178" s="184">
        <v>15.3</v>
      </c>
      <c r="R178" s="188"/>
      <c r="S178" s="393"/>
      <c r="T178" s="394">
        <f>CORNHARVESTTBL[[#This Row],[Net]]/56</f>
        <v>-603.57142857142856</v>
      </c>
      <c r="U178" s="395"/>
      <c r="V178" s="394"/>
      <c r="W178" s="394">
        <f>CORNHARVESTTBL[[#This Row],[Gross Units]]-CORNHARVESTTBL[[#This Row],[Shrink]]</f>
        <v>-603.57142857142856</v>
      </c>
      <c r="X178" s="396" t="s">
        <v>297</v>
      </c>
      <c r="Y178" s="181"/>
      <c r="Z178" s="181"/>
      <c r="AA178" s="394"/>
      <c r="AB178" s="397"/>
    </row>
    <row r="179" spans="1:29" s="528" customFormat="1" x14ac:dyDescent="0.25">
      <c r="A179" s="696"/>
      <c r="B179" s="697"/>
      <c r="C179" s="697"/>
      <c r="D179" s="697"/>
      <c r="E179" s="697"/>
      <c r="F179" s="697"/>
      <c r="G179" s="697"/>
      <c r="H179" s="697"/>
      <c r="I179" s="697"/>
      <c r="J179" s="697"/>
      <c r="K179" s="697"/>
      <c r="L179" s="697"/>
      <c r="M179" s="699"/>
      <c r="N179" s="391">
        <v>32860</v>
      </c>
      <c r="O179" s="392">
        <f>(CORNHARVESTTBL[[#This Row],[Gross/ -Truck Net]]-CORNHARVESTTBL[[#This Row],[Tare]])</f>
        <v>-32860</v>
      </c>
      <c r="P179" s="184">
        <v>57.3</v>
      </c>
      <c r="Q179" s="184">
        <v>12.9</v>
      </c>
      <c r="R179" s="188"/>
      <c r="S179" s="393"/>
      <c r="T179" s="394">
        <f>CORNHARVESTTBL[[#This Row],[Net]]/56</f>
        <v>-586.78571428571433</v>
      </c>
      <c r="U179" s="395"/>
      <c r="V179" s="394"/>
      <c r="W179" s="394">
        <f>CORNHARVESTTBL[[#This Row],[Gross Units]]-CORNHARVESTTBL[[#This Row],[Shrink]]</f>
        <v>-586.78571428571433</v>
      </c>
      <c r="X179" s="396" t="s">
        <v>297</v>
      </c>
      <c r="Y179" s="181"/>
      <c r="Z179" s="181"/>
      <c r="AA179" s="394"/>
      <c r="AB179" s="397"/>
    </row>
    <row r="180" spans="1:29" s="528" customFormat="1" x14ac:dyDescent="0.25">
      <c r="A180" s="398"/>
      <c r="B180" s="184"/>
      <c r="C180" s="184"/>
      <c r="D180" s="184"/>
      <c r="E180" s="184"/>
      <c r="F180" s="184"/>
      <c r="G180" s="184"/>
      <c r="H180" s="184"/>
      <c r="I180" s="184"/>
      <c r="J180" s="184"/>
      <c r="K180" s="184"/>
      <c r="L180" s="184"/>
      <c r="M180" s="230"/>
      <c r="N180" s="391"/>
      <c r="O180" s="392">
        <f>(CORNHARVESTTBL[[#This Row],[Gross/ -Truck Net]]-CORNHARVESTTBL[[#This Row],[Tare]])</f>
        <v>0</v>
      </c>
      <c r="P180" s="184"/>
      <c r="Q180" s="184"/>
      <c r="R180" s="188"/>
      <c r="S180" s="393"/>
      <c r="T180" s="394">
        <f>CORNHARVESTTBL[[#This Row],[Net]]/56</f>
        <v>0</v>
      </c>
      <c r="U180" s="395"/>
      <c r="V180" s="394"/>
      <c r="W180" s="394">
        <f>CORNHARVESTTBL[[#This Row],[Gross Units]]-CORNHARVESTTBL[[#This Row],[Shrink]]</f>
        <v>0</v>
      </c>
      <c r="X180" s="396"/>
      <c r="Y180" s="181"/>
      <c r="Z180" s="181"/>
      <c r="AA180" s="394">
        <f>CORNHARVESTTBL[[#This Row],[Net Units]]*CORNHARVESTTBL[[#This Row],[MCC. ENT.]]</f>
        <v>0</v>
      </c>
      <c r="AB180" s="397">
        <f>CORNHARVESTTBL[[#This Row],[Net Units]]*CORNHARVESTTBL[[#This Row],[L.L.]]</f>
        <v>0</v>
      </c>
    </row>
    <row r="181" spans="1:29" s="531" customFormat="1" ht="23.25" x14ac:dyDescent="0.25">
      <c r="A181" s="529" t="s">
        <v>38</v>
      </c>
      <c r="B181" s="530"/>
      <c r="C181" s="530"/>
      <c r="D181" s="399"/>
      <c r="E181" s="399"/>
      <c r="F181" s="399"/>
      <c r="G181" s="399"/>
      <c r="H181" s="399"/>
      <c r="I181" s="399"/>
      <c r="J181" s="399"/>
      <c r="K181" s="399"/>
      <c r="L181" s="399"/>
      <c r="M181" s="400"/>
      <c r="N181" s="401"/>
      <c r="O181" s="402">
        <f>SUBTOTAL(109,CORNHARVESTTBL[Net])</f>
        <v>55680</v>
      </c>
      <c r="P181" s="399"/>
      <c r="Q181" s="399"/>
      <c r="R181" s="403"/>
      <c r="S181" s="404"/>
      <c r="T181" s="402"/>
      <c r="U181" s="405">
        <f>SUBTOTAL(109,CORNHARVESTTBL[Shrink])</f>
        <v>472.66999999999996</v>
      </c>
      <c r="V181" s="402"/>
      <c r="W181" s="402"/>
      <c r="X181" s="399"/>
      <c r="Y181" s="403"/>
      <c r="Z181" s="403"/>
      <c r="AA181" s="406">
        <f>SUBTOTAL(109,CORNHARVESTTBL[MCC. ENT. BU])</f>
        <v>4348.2819285714286</v>
      </c>
      <c r="AB181" s="407">
        <f>SUBTOTAL(109,CORNHARVESTTBL[L.L. BU])</f>
        <v>1381.0295000000001</v>
      </c>
      <c r="AC181" s="561"/>
    </row>
    <row r="182" spans="1:29" ht="18.75" customHeight="1" x14ac:dyDescent="0.25">
      <c r="A182" s="465"/>
      <c r="B182" s="465"/>
      <c r="C182" s="436"/>
      <c r="D182" s="436"/>
      <c r="E182" s="436"/>
      <c r="F182" s="436"/>
      <c r="G182" s="436"/>
      <c r="H182" s="436"/>
      <c r="I182" s="436"/>
      <c r="J182" s="436"/>
      <c r="K182" s="436"/>
      <c r="L182" s="436"/>
      <c r="M182" s="436"/>
      <c r="N182" s="436"/>
      <c r="O182" s="436"/>
      <c r="P182" s="436"/>
      <c r="Q182" s="436"/>
      <c r="R182" s="436"/>
      <c r="S182" s="436"/>
      <c r="T182" s="436"/>
      <c r="U182" s="436"/>
      <c r="V182" s="436"/>
      <c r="W182" s="436"/>
      <c r="X182" s="436"/>
      <c r="Y182" s="436"/>
      <c r="Z182" s="436"/>
      <c r="AA182" s="271"/>
      <c r="AB182" s="271"/>
    </row>
    <row r="183" spans="1:29" ht="18.75" customHeight="1" x14ac:dyDescent="0.25">
      <c r="A183" s="466" t="s">
        <v>282</v>
      </c>
      <c r="B183" s="466" t="s">
        <v>335</v>
      </c>
      <c r="C183" s="436"/>
      <c r="D183" s="436"/>
      <c r="E183" s="436"/>
      <c r="F183" s="436"/>
      <c r="G183" s="436"/>
      <c r="H183" s="436"/>
      <c r="I183" s="436"/>
      <c r="J183" s="436"/>
      <c r="K183" s="436"/>
      <c r="L183" s="436"/>
      <c r="M183" s="436"/>
      <c r="N183" s="436"/>
      <c r="O183" s="436"/>
      <c r="P183" s="436"/>
      <c r="Q183" s="436"/>
      <c r="R183" s="436"/>
      <c r="S183" s="436"/>
      <c r="T183" s="436"/>
      <c r="U183" s="436"/>
      <c r="V183" s="436"/>
      <c r="W183" s="436"/>
      <c r="X183" s="436"/>
      <c r="Y183" s="436"/>
      <c r="Z183" s="436"/>
      <c r="AA183" s="737">
        <f>SUM(AA181:AB181)</f>
        <v>5729.3114285714291</v>
      </c>
      <c r="AB183" s="737"/>
    </row>
    <row r="184" spans="1:29" s="160" customFormat="1" ht="18.75" customHeight="1" x14ac:dyDescent="0.25">
      <c r="A184" s="466" t="s">
        <v>283</v>
      </c>
      <c r="B184" s="466">
        <v>2025</v>
      </c>
      <c r="C184" s="436"/>
      <c r="D184" s="436"/>
      <c r="E184" s="436"/>
      <c r="F184" s="436"/>
      <c r="G184" s="436"/>
      <c r="H184" s="436"/>
      <c r="I184" s="436"/>
      <c r="J184" s="436"/>
      <c r="K184" s="436"/>
      <c r="L184" s="436"/>
      <c r="M184" s="436"/>
      <c r="N184" s="436"/>
      <c r="O184" s="436"/>
      <c r="P184" s="436"/>
      <c r="Q184" s="436"/>
      <c r="R184" s="436"/>
      <c r="S184" s="436"/>
      <c r="T184" s="436"/>
      <c r="U184" s="436"/>
      <c r="V184" s="436"/>
      <c r="W184" s="436"/>
      <c r="X184" s="436"/>
      <c r="Y184" s="436"/>
      <c r="Z184" s="436"/>
      <c r="AA184" s="532"/>
      <c r="AB184" s="532"/>
    </row>
    <row r="185" spans="1:29" s="160" customFormat="1" ht="31.5" customHeight="1" x14ac:dyDescent="0.25">
      <c r="A185" s="92" t="s">
        <v>481</v>
      </c>
      <c r="B185" s="92" t="s">
        <v>482</v>
      </c>
      <c r="C185" s="92" t="s">
        <v>118</v>
      </c>
      <c r="D185" s="92" t="s">
        <v>119</v>
      </c>
      <c r="E185" s="92" t="s">
        <v>483</v>
      </c>
      <c r="F185" s="92" t="s">
        <v>484</v>
      </c>
      <c r="G185" s="92" t="s">
        <v>485</v>
      </c>
      <c r="H185" s="92" t="s">
        <v>477</v>
      </c>
      <c r="I185" s="92" t="s">
        <v>478</v>
      </c>
      <c r="J185" s="92" t="s">
        <v>486</v>
      </c>
      <c r="K185" s="92" t="s">
        <v>600</v>
      </c>
      <c r="L185" s="92" t="s">
        <v>601</v>
      </c>
      <c r="M185" s="92" t="s">
        <v>602</v>
      </c>
      <c r="N185" s="92" t="s">
        <v>556</v>
      </c>
      <c r="O185" s="505" t="s">
        <v>552</v>
      </c>
      <c r="P185" s="505" t="s">
        <v>553</v>
      </c>
      <c r="Q185" s="505" t="s">
        <v>603</v>
      </c>
      <c r="R185" s="505" t="s">
        <v>555</v>
      </c>
      <c r="S185" s="505" t="s">
        <v>604</v>
      </c>
      <c r="T185" s="505" t="s">
        <v>557</v>
      </c>
      <c r="U185" s="505" t="s">
        <v>536</v>
      </c>
      <c r="V185" s="736" t="s">
        <v>605</v>
      </c>
      <c r="W185" s="736"/>
      <c r="X185" s="736"/>
      <c r="Y185" s="736"/>
      <c r="Z185" s="736"/>
      <c r="AA185" s="736"/>
      <c r="AB185" s="736"/>
    </row>
    <row r="186" spans="1:29" s="160" customFormat="1" ht="15.75" x14ac:dyDescent="0.25">
      <c r="A186" s="568" t="s">
        <v>20</v>
      </c>
      <c r="B186" s="645" t="s">
        <v>21</v>
      </c>
      <c r="C186" s="654" t="s">
        <v>149</v>
      </c>
      <c r="D186" s="99">
        <f>IFERROR((VLOOKUP(CORNYIELDPERF[[#This Row],[Field]],FIELDACRE,2,FALSE)),"")</f>
        <v>78.599999999999994</v>
      </c>
      <c r="E186" s="99" t="str">
        <f>IFERROR(VLOOKUP(CORNYIELDPERF[[#This Row],[Field]],FIELDACRE,3,FALSE),"")</f>
        <v>SW4 14-7-48</v>
      </c>
      <c r="F186" s="94">
        <f>IFERROR(VLOOKUP(CORNYIELDPERF[[#This Row],[Field]],FIELDACRE,4,FALSE),"")</f>
        <v>3438</v>
      </c>
      <c r="G186" s="94">
        <f>IFERROR(VLOOKUP(CORNYIELDPERF[[#This Row],[Field]],FIELDACRE,5,FALSE),"")</f>
        <v>1750</v>
      </c>
      <c r="H186" s="99" t="s">
        <v>283</v>
      </c>
      <c r="I186" s="99"/>
      <c r="J186" s="99">
        <f>IFERROR(CORNYIELDPERF[[#This Row],[TOT BU]]/CORNYIELDPERF[[#This Row],[Acres]],"")</f>
        <v>0</v>
      </c>
      <c r="K186" s="100">
        <f>SUMIF(CORNHARVESTTBL[Field],CORNYIELDPERF[[#This Row],[Field]],CORNHARVESTTBL[Net])</f>
        <v>0</v>
      </c>
      <c r="L186" s="100">
        <f>SUMIF(CORNHARVESTTBL[Field],CORNYIELDPERF[[#This Row],[Field]],CORNHARVESTTBL[Net Units])</f>
        <v>0</v>
      </c>
      <c r="M186" s="99">
        <f>CORNYIELDPERF[[#This Row],[TOT BU]]*0.65</f>
        <v>0</v>
      </c>
      <c r="N186" s="99">
        <f>CORNYIELDPERF[[#This Row],[TOT BU]]*0.35</f>
        <v>0</v>
      </c>
      <c r="O186" s="198">
        <f>SUMIFS(EXPENSETBL45[TOTAL],EXPENSETBL45[FIELD],CORNYIELDPERF[[#This Row],[Field]],EXPENSETBL45[CROP],$A$184,EXPENSETBL45[YEAR],$B$184)</f>
        <v>0</v>
      </c>
      <c r="P186" s="99" t="str">
        <f>IFERROR((CORNYIELDPERF[[#This Row],[TOTAL EXP]]/CORNYIELDPERF[[#This Row],[TOT BU]]),"-")</f>
        <v>-</v>
      </c>
      <c r="Q186" s="99">
        <f>SUMIFS(EXPENSETBL45[$M.E.],EXPENSETBL45[FIELD],CORNYIELDPERF[[#This Row],[Field]],EXPENSETBL45[CROP],$A$184,EXPENSETBL45[YEAR],$B$184)</f>
        <v>0</v>
      </c>
      <c r="R186" s="99" t="str">
        <f>IFERROR((CORNYIELDPERF[[#This Row],[TOTM77]]/CORNYIELDPERF[[#This Row],[TOT. M77]]),"-")</f>
        <v>-</v>
      </c>
      <c r="S186" s="99">
        <f>SUMIFS(EXPENSETBL45[$L.L.],EXPENSETBL45[FIELD],CORNYIELDPERF[[#This Row],[Field]],EXPENSETBL45[CROP],$A$184,EXPENSETBL45[YEAR],$B$184)</f>
        <v>0</v>
      </c>
      <c r="T186" s="99" t="str">
        <f>IFERROR((CORNYIELDPERF[[#This Row],[TOT LL2]]/CORNYIELDPERF[[#This Row],[TOT LL]]),"-")</f>
        <v>-</v>
      </c>
      <c r="U186" s="100"/>
      <c r="V186" s="736"/>
      <c r="W186" s="736"/>
      <c r="X186" s="736"/>
      <c r="Y186" s="736"/>
      <c r="Z186" s="736"/>
      <c r="AA186" s="736"/>
      <c r="AB186" s="736"/>
    </row>
    <row r="187" spans="1:29" s="160" customFormat="1" ht="15.75" x14ac:dyDescent="0.25">
      <c r="A187" s="568" t="s">
        <v>20</v>
      </c>
      <c r="B187" s="568" t="s">
        <v>21</v>
      </c>
      <c r="C187" s="637" t="s">
        <v>163</v>
      </c>
      <c r="D187" s="99">
        <f>IFERROR((VLOOKUP(CORNYIELDPERF[[#This Row],[Field]],FIELDACRE,2,FALSE)),"")</f>
        <v>80.09</v>
      </c>
      <c r="E187" s="99" t="str">
        <f>IFERROR(VLOOKUP(CORNYIELDPERF[[#This Row],[Field]],FIELDACRE,3,FALSE),"")</f>
        <v>E2 7-9-46</v>
      </c>
      <c r="F187" s="94">
        <f>IFERROR(VLOOKUP(CORNYIELDPERF[[#This Row],[Field]],FIELDACRE,4,FALSE),"")</f>
        <v>3939</v>
      </c>
      <c r="G187" s="94">
        <f>IFERROR(VLOOKUP(CORNYIELDPERF[[#This Row],[Field]],FIELDACRE,5,FALSE),"")</f>
        <v>3938</v>
      </c>
      <c r="H187" s="99" t="s">
        <v>283</v>
      </c>
      <c r="I187" s="99"/>
      <c r="J187" s="99">
        <f>IFERROR(CORNYIELDPERF[[#This Row],[TOT BU]]/CORNYIELDPERF[[#This Row],[Acres]],"")</f>
        <v>0</v>
      </c>
      <c r="K187" s="100">
        <f>SUMIF(CORNHARVESTTBL[Field],CORNYIELDPERF[[#This Row],[Field]],CORNHARVESTTBL[Net])</f>
        <v>0</v>
      </c>
      <c r="L187" s="100">
        <f>SUMIF(CORNHARVESTTBL[Field],CORNYIELDPERF[[#This Row],[Field]],CORNHARVESTTBL[Net Units])</f>
        <v>0</v>
      </c>
      <c r="M187" s="99">
        <f>CORNYIELDPERF[[#This Row],[TOT BU]]*0.65</f>
        <v>0</v>
      </c>
      <c r="N187" s="99">
        <f>CORNYIELDPERF[[#This Row],[TOT BU]]*0.35</f>
        <v>0</v>
      </c>
      <c r="O187" s="198">
        <f>SUMIFS(EXPENSETBL45[TOTAL],EXPENSETBL45[FIELD],CORNYIELDPERF[[#This Row],[Field]],EXPENSETBL45[CROP],$A$184,EXPENSETBL45[YEAR],$B$184)</f>
        <v>0</v>
      </c>
      <c r="P187" s="99" t="str">
        <f>IFERROR((CORNYIELDPERF[[#This Row],[TOTAL EXP]]/CORNYIELDPERF[[#This Row],[TOT BU]]),"-")</f>
        <v>-</v>
      </c>
      <c r="Q187" s="99">
        <f>SUMIFS(EXPENSETBL45[$M.E.],EXPENSETBL45[FIELD],CORNYIELDPERF[[#This Row],[Field]],EXPENSETBL45[CROP],$A$184,EXPENSETBL45[YEAR],$B$184)</f>
        <v>0</v>
      </c>
      <c r="R187" s="99" t="str">
        <f>IFERROR((CORNYIELDPERF[[#This Row],[TOTM77]]/CORNYIELDPERF[[#This Row],[TOT. M77]]),"-")</f>
        <v>-</v>
      </c>
      <c r="S187" s="99">
        <f>SUMIFS(EXPENSETBL45[$L.L.],EXPENSETBL45[FIELD],CORNYIELDPERF[[#This Row],[Field]],EXPENSETBL45[CROP],$A$184,EXPENSETBL45[YEAR],$B$184)</f>
        <v>0</v>
      </c>
      <c r="T187" s="99" t="str">
        <f>IFERROR((CORNYIELDPERF[[#This Row],[TOT LL2]]/CORNYIELDPERF[[#This Row],[TOT LL]]),"-")</f>
        <v>-</v>
      </c>
      <c r="U187" s="99"/>
      <c r="V187" s="533" t="s">
        <v>606</v>
      </c>
      <c r="W187" s="534"/>
      <c r="X187" s="534"/>
      <c r="Y187" s="535" t="s">
        <v>607</v>
      </c>
      <c r="Z187" s="536"/>
      <c r="AA187" s="537" t="s">
        <v>608</v>
      </c>
      <c r="AB187" s="537" t="s">
        <v>609</v>
      </c>
    </row>
    <row r="188" spans="1:29" s="160" customFormat="1" ht="15.75" x14ac:dyDescent="0.25">
      <c r="A188" s="645" t="s">
        <v>20</v>
      </c>
      <c r="B188" s="568" t="s">
        <v>26</v>
      </c>
      <c r="C188" s="157" t="s">
        <v>610</v>
      </c>
      <c r="D188" s="99" t="str">
        <f>IFERROR((VLOOKUP(CORNYIELDPERF[[#This Row],[Field]],FIELDACRE,2,FALSE)),"")</f>
        <v/>
      </c>
      <c r="E188" s="99" t="str">
        <f>IFERROR(VLOOKUP(CORNYIELDPERF[[#This Row],[Field]],FIELDACRE,3,FALSE),"")</f>
        <v/>
      </c>
      <c r="F188" s="94" t="str">
        <f>IFERROR(VLOOKUP(CORNYIELDPERF[[#This Row],[Field]],FIELDACRE,4,FALSE),"")</f>
        <v/>
      </c>
      <c r="G188" s="94" t="str">
        <f>IFERROR(VLOOKUP(CORNYIELDPERF[[#This Row],[Field]],FIELDACRE,5,FALSE),"")</f>
        <v/>
      </c>
      <c r="H188" s="99" t="s">
        <v>283</v>
      </c>
      <c r="I188" s="99"/>
      <c r="J188" s="99" t="str">
        <f>IFERROR(CORNYIELDPERF[[#This Row],[TOT BU]]/CORNYIELDPERF[[#This Row],[Acres]],"")</f>
        <v/>
      </c>
      <c r="K188" s="99">
        <f>SUMIF(CORNHARVESTTBL[Field],CORNYIELDPERF[[#This Row],[Field]],CORNHARVESTTBL[Net])</f>
        <v>0</v>
      </c>
      <c r="L188" s="99">
        <f>SUMIF(CORNHARVESTTBL[Field],CORNYIELDPERF[[#This Row],[Field]],CORNHARVESTTBL[Net Units])</f>
        <v>0</v>
      </c>
      <c r="M188" s="99">
        <f>CORNYIELDPERF[[#This Row],[TOT BU]]*0.65</f>
        <v>0</v>
      </c>
      <c r="N188" s="99">
        <f>CORNYIELDPERF[[#This Row],[TOT BU]]*0.35</f>
        <v>0</v>
      </c>
      <c r="O188" s="198">
        <f>SUMIFS(EXPENSETBL45[TOTAL],EXPENSETBL45[FIELD],CORNYIELDPERF[[#This Row],[Field]],EXPENSETBL45[CROP],$A$184,EXPENSETBL45[YEAR],$B$184)</f>
        <v>0</v>
      </c>
      <c r="P188" s="99" t="str">
        <f>IFERROR((CORNYIELDPERF[[#This Row],[TOTAL EXP]]/CORNYIELDPERF[[#This Row],[TOT BU]]),"-")</f>
        <v>-</v>
      </c>
      <c r="Q188" s="99">
        <f>SUMIFS(EXPENSETBL45[$M.E.],EXPENSETBL45[FIELD],CORNYIELDPERF[[#This Row],[Field]],EXPENSETBL45[CROP],$A$184,EXPENSETBL45[YEAR],$B$184)</f>
        <v>0</v>
      </c>
      <c r="R188" s="99" t="str">
        <f>IFERROR((CORNYIELDPERF[[#This Row],[TOTM77]]/CORNYIELDPERF[[#This Row],[TOT. M77]]),"-")</f>
        <v>-</v>
      </c>
      <c r="S188" s="99">
        <f>SUMIFS(EXPENSETBL45[$L.L.],EXPENSETBL45[FIELD],CORNYIELDPERF[[#This Row],[Field]],EXPENSETBL45[CROP],$A$184,EXPENSETBL45[YEAR],$B$184)</f>
        <v>0</v>
      </c>
      <c r="T188" s="99" t="str">
        <f>IFERROR((CORNYIELDPERF[[#This Row],[TOT LL2]]/CORNYIELDPERF[[#This Row],[TOT LL]]),"-")</f>
        <v>-</v>
      </c>
      <c r="U188" s="99"/>
      <c r="V188" s="533"/>
      <c r="W188" s="534"/>
      <c r="X188" s="534"/>
      <c r="Y188" s="535"/>
      <c r="Z188" s="536"/>
      <c r="AA188" s="537"/>
      <c r="AB188" s="537"/>
    </row>
    <row r="189" spans="1:29" s="160" customFormat="1" ht="15.75" x14ac:dyDescent="0.25">
      <c r="A189" s="568" t="s">
        <v>20</v>
      </c>
      <c r="B189" s="568" t="s">
        <v>28</v>
      </c>
      <c r="C189" s="637" t="s">
        <v>218</v>
      </c>
      <c r="D189" s="99">
        <f>IFERROR((VLOOKUP(CORNYIELDPERF[[#This Row],[Field]],FIELDACRE,2,FALSE)),"")</f>
        <v>79.3</v>
      </c>
      <c r="E189" s="99" t="str">
        <f>IFERROR(VLOOKUP(CORNYIELDPERF[[#This Row],[Field]],FIELDACRE,3,FALSE),"")</f>
        <v>NE4 6-6-46</v>
      </c>
      <c r="F189" s="94">
        <f>IFERROR(VLOOKUP(CORNYIELDPERF[[#This Row],[Field]],FIELDACRE,4,FALSE),"")</f>
        <v>50</v>
      </c>
      <c r="G189" s="94">
        <f>IFERROR(VLOOKUP(CORNYIELDPERF[[#This Row],[Field]],FIELDACRE,5,FALSE),"")</f>
        <v>1339</v>
      </c>
      <c r="H189" s="99" t="s">
        <v>283</v>
      </c>
      <c r="I189" s="99"/>
      <c r="J189" s="99">
        <f>IFERROR(CORNYIELDPERF[[#This Row],[TOT BU]]/CORNYIELDPERF[[#This Row],[Acres]],"")</f>
        <v>0</v>
      </c>
      <c r="K189" s="99">
        <f>SUMIF(CORNHARVESTTBL[Field],CORNYIELDPERF[[#This Row],[Field]],CORNHARVESTTBL[Net])</f>
        <v>0</v>
      </c>
      <c r="L189" s="99">
        <f>SUMIF(CORNHARVESTTBL[Field],CORNYIELDPERF[[#This Row],[Field]],CORNHARVESTTBL[Net Units])</f>
        <v>0</v>
      </c>
      <c r="M189" s="99">
        <f>CORNYIELDPERF[[#This Row],[TOT BU]]*0.65</f>
        <v>0</v>
      </c>
      <c r="N189" s="99">
        <f>CORNYIELDPERF[[#This Row],[TOT BU]]*0.35</f>
        <v>0</v>
      </c>
      <c r="O189" s="198">
        <f>SUMIFS(EXPENSETBL45[TOTAL],EXPENSETBL45[FIELD],CORNYIELDPERF[[#This Row],[Field]],EXPENSETBL45[CROP],$A$184,EXPENSETBL45[YEAR],$B$184)</f>
        <v>0</v>
      </c>
      <c r="P189" s="99" t="str">
        <f>IFERROR((CORNYIELDPERF[[#This Row],[TOTAL EXP]]/CORNYIELDPERF[[#This Row],[TOT BU]]),"-")</f>
        <v>-</v>
      </c>
      <c r="Q189" s="99">
        <f>SUMIFS(EXPENSETBL45[$M.E.],EXPENSETBL45[FIELD],CORNYIELDPERF[[#This Row],[Field]],EXPENSETBL45[CROP],$A$184,EXPENSETBL45[YEAR],$B$184)</f>
        <v>0</v>
      </c>
      <c r="R189" s="99" t="str">
        <f>IFERROR((CORNYIELDPERF[[#This Row],[TOTM77]]/CORNYIELDPERF[[#This Row],[TOT. M77]]),"-")</f>
        <v>-</v>
      </c>
      <c r="S189" s="99">
        <f>SUMIFS(EXPENSETBL45[$L.L.],EXPENSETBL45[FIELD],CORNYIELDPERF[[#This Row],[Field]],EXPENSETBL45[CROP],$A$184,EXPENSETBL45[YEAR],$B$184)</f>
        <v>0</v>
      </c>
      <c r="T189" s="99" t="str">
        <f>IFERROR((CORNYIELDPERF[[#This Row],[TOT LL2]]/CORNYIELDPERF[[#This Row],[TOT LL]]),"-")</f>
        <v>-</v>
      </c>
      <c r="U189" s="99"/>
      <c r="V189" s="533"/>
      <c r="W189" s="534"/>
      <c r="X189" s="534"/>
      <c r="Y189" s="535"/>
      <c r="Z189" s="536"/>
      <c r="AA189" s="537"/>
      <c r="AB189" s="537"/>
    </row>
    <row r="190" spans="1:29" s="160" customFormat="1" ht="15.75" x14ac:dyDescent="0.25">
      <c r="A190" s="645" t="s">
        <v>20</v>
      </c>
      <c r="B190" s="651" t="s">
        <v>32</v>
      </c>
      <c r="C190" s="664" t="s">
        <v>239</v>
      </c>
      <c r="D190" s="99">
        <f>IFERROR((VLOOKUP(CORNYIELDPERF[[#This Row],[Field]],FIELDACRE,2,FALSE)),"")</f>
        <v>79.099999999999994</v>
      </c>
      <c r="E190" s="99" t="str">
        <f>IFERROR(VLOOKUP(CORNYIELDPERF[[#This Row],[Field]],FIELDACRE,3,FALSE),"")</f>
        <v>NW4 12-8-47</v>
      </c>
      <c r="F190" s="94">
        <f>IFERROR(VLOOKUP(CORNYIELDPERF[[#This Row],[Field]],FIELDACRE,4,FALSE),"")</f>
        <v>2522</v>
      </c>
      <c r="G190" s="94">
        <f>IFERROR(VLOOKUP(CORNYIELDPERF[[#This Row],[Field]],FIELDACRE,5,FALSE),"")</f>
        <v>3251</v>
      </c>
      <c r="H190" s="99" t="s">
        <v>283</v>
      </c>
      <c r="I190" s="99"/>
      <c r="J190" s="99">
        <f>IFERROR(CORNYIELDPERF[[#This Row],[TOT BU]]/CORNYIELDPERF[[#This Row],[Acres]],"")</f>
        <v>0</v>
      </c>
      <c r="K190" s="99">
        <f>SUMIF(CORNHARVESTTBL[Field],CORNYIELDPERF[[#This Row],[Field]],CORNHARVESTTBL[Net])</f>
        <v>0</v>
      </c>
      <c r="L190" s="99">
        <f>SUMIF(CORNHARVESTTBL[Field],CORNYIELDPERF[[#This Row],[Field]],CORNHARVESTTBL[Net Units])</f>
        <v>0</v>
      </c>
      <c r="M190" s="99">
        <f>CORNYIELDPERF[[#This Row],[TOT BU]]*0.65</f>
        <v>0</v>
      </c>
      <c r="N190" s="99">
        <f>CORNYIELDPERF[[#This Row],[TOT BU]]*0.35</f>
        <v>0</v>
      </c>
      <c r="O190" s="198">
        <f>SUMIFS(EXPENSETBL45[TOTAL],EXPENSETBL45[FIELD],CORNYIELDPERF[[#This Row],[Field]],EXPENSETBL45[CROP],$A$184,EXPENSETBL45[YEAR],$B$184)</f>
        <v>0</v>
      </c>
      <c r="P190" s="99" t="str">
        <f>IFERROR((CORNYIELDPERF[[#This Row],[TOTAL EXP]]/CORNYIELDPERF[[#This Row],[TOT BU]]),"-")</f>
        <v>-</v>
      </c>
      <c r="Q190" s="99">
        <f>SUMIFS(EXPENSETBL45[$M.E.],EXPENSETBL45[FIELD],CORNYIELDPERF[[#This Row],[Field]],EXPENSETBL45[CROP],$A$184,EXPENSETBL45[YEAR],$B$184)</f>
        <v>0</v>
      </c>
      <c r="R190" s="99" t="str">
        <f>IFERROR((CORNYIELDPERF[[#This Row],[TOTM77]]/CORNYIELDPERF[[#This Row],[TOT. M77]]),"-")</f>
        <v>-</v>
      </c>
      <c r="S190" s="99">
        <f>SUMIFS(EXPENSETBL45[$L.L.],EXPENSETBL45[FIELD],CORNYIELDPERF[[#This Row],[Field]],EXPENSETBL45[CROP],$A$184,EXPENSETBL45[YEAR],$B$184)</f>
        <v>0</v>
      </c>
      <c r="T190" s="99" t="str">
        <f>IFERROR((CORNYIELDPERF[[#This Row],[TOT LL2]]/CORNYIELDPERF[[#This Row],[TOT LL]]),"-")</f>
        <v>-</v>
      </c>
      <c r="U190" s="99"/>
      <c r="V190" s="533"/>
      <c r="W190" s="534"/>
      <c r="X190" s="534"/>
      <c r="Y190" s="535"/>
      <c r="Z190" s="536"/>
      <c r="AA190" s="537"/>
      <c r="AB190" s="537"/>
    </row>
    <row r="191" spans="1:29" s="160" customFormat="1" ht="15.75" x14ac:dyDescent="0.25">
      <c r="A191" s="651" t="s">
        <v>20</v>
      </c>
      <c r="B191" s="568" t="s">
        <v>32</v>
      </c>
      <c r="C191" s="637" t="s">
        <v>247</v>
      </c>
      <c r="D191" s="99">
        <f>IFERROR((VLOOKUP(CORNYIELDPERF[[#This Row],[Field]],FIELDACRE,2,FALSE)),"")</f>
        <v>77.5</v>
      </c>
      <c r="E191" s="99" t="str">
        <f>IFERROR(VLOOKUP(CORNYIELDPERF[[#This Row],[Field]],FIELDACRE,3,FALSE),"")</f>
        <v>NE4 32-8-47</v>
      </c>
      <c r="F191" s="94">
        <f>IFERROR(VLOOKUP(CORNYIELDPERF[[#This Row],[Field]],FIELDACRE,4,FALSE),"")</f>
        <v>2522</v>
      </c>
      <c r="G191" s="94">
        <f>IFERROR(VLOOKUP(CORNYIELDPERF[[#This Row],[Field]],FIELDACRE,5,FALSE),"")</f>
        <v>1626</v>
      </c>
      <c r="H191" s="99" t="s">
        <v>283</v>
      </c>
      <c r="I191" s="99"/>
      <c r="J191" s="99">
        <f>IFERROR(CORNYIELDPERF[[#This Row],[TOT BU]]/CORNYIELDPERF[[#This Row],[Acres]],"")</f>
        <v>0</v>
      </c>
      <c r="K191" s="99">
        <f>SUMIF(CORNHARVESTTBL[Field],CORNYIELDPERF[[#This Row],[Field]],CORNHARVESTTBL[Net])</f>
        <v>0</v>
      </c>
      <c r="L191" s="99">
        <f>SUMIF(CORNHARVESTTBL[Field],CORNYIELDPERF[[#This Row],[Field]],CORNHARVESTTBL[Net Units])</f>
        <v>0</v>
      </c>
      <c r="M191" s="99">
        <f>CORNYIELDPERF[[#This Row],[TOT BU]]*0.65</f>
        <v>0</v>
      </c>
      <c r="N191" s="99">
        <f>CORNYIELDPERF[[#This Row],[TOT BU]]*0.35</f>
        <v>0</v>
      </c>
      <c r="O191" s="198">
        <f>SUMIFS(EXPENSETBL45[TOTAL],EXPENSETBL45[FIELD],CORNYIELDPERF[[#This Row],[Field]],EXPENSETBL45[CROP],$A$184,EXPENSETBL45[YEAR],$B$184)</f>
        <v>0</v>
      </c>
      <c r="P191" s="99" t="str">
        <f>IFERROR((CORNYIELDPERF[[#This Row],[TOTAL EXP]]/CORNYIELDPERF[[#This Row],[TOT BU]]),"-")</f>
        <v>-</v>
      </c>
      <c r="Q191" s="99">
        <f>SUMIFS(EXPENSETBL45[$M.E.],EXPENSETBL45[FIELD],CORNYIELDPERF[[#This Row],[Field]],EXPENSETBL45[CROP],$A$184,EXPENSETBL45[YEAR],$B$184)</f>
        <v>0</v>
      </c>
      <c r="R191" s="99" t="str">
        <f>IFERROR((CORNYIELDPERF[[#This Row],[TOTM77]]/CORNYIELDPERF[[#This Row],[TOT. M77]]),"-")</f>
        <v>-</v>
      </c>
      <c r="S191" s="99">
        <f>SUMIFS(EXPENSETBL45[$L.L.],EXPENSETBL45[FIELD],CORNYIELDPERF[[#This Row],[Field]],EXPENSETBL45[CROP],$A$184,EXPENSETBL45[YEAR],$B$184)</f>
        <v>0</v>
      </c>
      <c r="T191" s="99" t="str">
        <f>IFERROR((CORNYIELDPERF[[#This Row],[TOT LL2]]/CORNYIELDPERF[[#This Row],[TOT LL]]),"-")</f>
        <v>-</v>
      </c>
      <c r="U191" s="99"/>
      <c r="V191" s="533"/>
      <c r="W191" s="534"/>
      <c r="X191" s="534"/>
      <c r="Y191" s="535"/>
      <c r="Z191" s="536"/>
      <c r="AA191" s="537"/>
      <c r="AB191" s="537"/>
    </row>
    <row r="192" spans="1:29" s="160" customFormat="1" ht="15.75" x14ac:dyDescent="0.25">
      <c r="A192" s="568" t="s">
        <v>20</v>
      </c>
      <c r="B192" s="645" t="s">
        <v>32</v>
      </c>
      <c r="C192" s="645" t="s">
        <v>96</v>
      </c>
      <c r="D192" s="99">
        <f>IFERROR((VLOOKUP(CORNYIELDPERF[[#This Row],[Field]],FIELDACRE,2,FALSE)),"")</f>
        <v>117.25</v>
      </c>
      <c r="E192" s="99" t="str">
        <f>IFERROR(VLOOKUP(CORNYIELDPERF[[#This Row],[Field]],FIELDACRE,3,FALSE),"")</f>
        <v>SW4 20-8-47</v>
      </c>
      <c r="F192" s="94">
        <f>IFERROR(VLOOKUP(CORNYIELDPERF[[#This Row],[Field]],FIELDACRE,4,FALSE),"")</f>
        <v>2522</v>
      </c>
      <c r="G192" s="94">
        <f>IFERROR(VLOOKUP(CORNYIELDPERF[[#This Row],[Field]],FIELDACRE,5,FALSE),"")</f>
        <v>1586</v>
      </c>
      <c r="H192" s="99" t="s">
        <v>283</v>
      </c>
      <c r="I192" s="99"/>
      <c r="J192" s="99">
        <f>IFERROR(CORNYIELDPERF[[#This Row],[TOT BU]]/CORNYIELDPERF[[#This Row],[Acres]],"")</f>
        <v>0</v>
      </c>
      <c r="K192" s="99">
        <f>SUMIF(CORNHARVESTTBL[Field],CORNYIELDPERF[[#This Row],[Field]],CORNHARVESTTBL[Net])</f>
        <v>0</v>
      </c>
      <c r="L192" s="99">
        <f>SUMIF(CORNHARVESTTBL[Field],CORNYIELDPERF[[#This Row],[Field]],CORNHARVESTTBL[Net Units])</f>
        <v>0</v>
      </c>
      <c r="M192" s="99">
        <f>CORNYIELDPERF[[#This Row],[TOT BU]]*0.65</f>
        <v>0</v>
      </c>
      <c r="N192" s="99">
        <f>CORNYIELDPERF[[#This Row],[TOT BU]]*0.35</f>
        <v>0</v>
      </c>
      <c r="O192" s="198">
        <f>SUMIFS(EXPENSETBL45[TOTAL],EXPENSETBL45[FIELD],CORNYIELDPERF[[#This Row],[Field]],EXPENSETBL45[CROP],$A$184,EXPENSETBL45[YEAR],$B$184)</f>
        <v>0</v>
      </c>
      <c r="P192" s="99" t="str">
        <f>IFERROR((CORNYIELDPERF[[#This Row],[TOTAL EXP]]/CORNYIELDPERF[[#This Row],[TOT BU]]),"-")</f>
        <v>-</v>
      </c>
      <c r="Q192" s="99">
        <f>SUMIFS(EXPENSETBL45[$M.E.],EXPENSETBL45[FIELD],CORNYIELDPERF[[#This Row],[Field]],EXPENSETBL45[CROP],$A$184,EXPENSETBL45[YEAR],$B$184)</f>
        <v>0</v>
      </c>
      <c r="R192" s="99" t="str">
        <f>IFERROR((CORNYIELDPERF[[#This Row],[TOTM77]]/CORNYIELDPERF[[#This Row],[TOT. M77]]),"-")</f>
        <v>-</v>
      </c>
      <c r="S192" s="99">
        <f>SUMIFS(EXPENSETBL45[$L.L.],EXPENSETBL45[FIELD],CORNYIELDPERF[[#This Row],[Field]],EXPENSETBL45[CROP],$A$184,EXPENSETBL45[YEAR],$B$184)</f>
        <v>0</v>
      </c>
      <c r="T192" s="99" t="str">
        <f>IFERROR((CORNYIELDPERF[[#This Row],[TOT LL2]]/CORNYIELDPERF[[#This Row],[TOT LL]]),"-")</f>
        <v>-</v>
      </c>
      <c r="U192" s="99"/>
      <c r="V192" s="533"/>
      <c r="W192" s="534"/>
      <c r="X192" s="534"/>
      <c r="Y192" s="535"/>
      <c r="Z192" s="536"/>
      <c r="AA192" s="537"/>
      <c r="AB192" s="537"/>
    </row>
    <row r="193" spans="1:28" s="160" customFormat="1" ht="15.75" x14ac:dyDescent="0.25">
      <c r="A193" s="568" t="s">
        <v>20</v>
      </c>
      <c r="B193" s="647" t="s">
        <v>32</v>
      </c>
      <c r="C193" s="647" t="s">
        <v>250</v>
      </c>
      <c r="D193" s="99">
        <f>IFERROR((VLOOKUP(CORNYIELDPERF[[#This Row],[Field]],FIELDACRE,2,FALSE)),"")</f>
        <v>68.260000000000005</v>
      </c>
      <c r="E193" s="99" t="str">
        <f>IFERROR(VLOOKUP(CORNYIELDPERF[[#This Row],[Field]],FIELDACRE,3,FALSE),"")</f>
        <v>NW 4 8-8-47</v>
      </c>
      <c r="F193" s="94">
        <f>IFERROR(VLOOKUP(CORNYIELDPERF[[#This Row],[Field]],FIELDACRE,4,FALSE),"")</f>
        <v>2522</v>
      </c>
      <c r="G193" s="94">
        <f>IFERROR(VLOOKUP(CORNYIELDPERF[[#This Row],[Field]],FIELDACRE,5,FALSE),"")</f>
        <v>1534</v>
      </c>
      <c r="H193" s="99" t="s">
        <v>283</v>
      </c>
      <c r="I193" s="99"/>
      <c r="J193" s="99">
        <f>IFERROR(CORNYIELDPERF[[#This Row],[TOT BU]]/CORNYIELDPERF[[#This Row],[Acres]],"")</f>
        <v>0</v>
      </c>
      <c r="K193" s="99">
        <f>SUMIF(CORNHARVESTTBL[Field],CORNYIELDPERF[[#This Row],[Field]],CORNHARVESTTBL[Net])</f>
        <v>0</v>
      </c>
      <c r="L193" s="99">
        <f>SUMIF(CORNHARVESTTBL[Field],CORNYIELDPERF[[#This Row],[Field]],CORNHARVESTTBL[Net Units])</f>
        <v>0</v>
      </c>
      <c r="M193" s="99">
        <f>CORNYIELDPERF[[#This Row],[TOT BU]]*0.65</f>
        <v>0</v>
      </c>
      <c r="N193" s="99">
        <f>CORNYIELDPERF[[#This Row],[TOT BU]]*0.35</f>
        <v>0</v>
      </c>
      <c r="O193" s="198">
        <f>SUMIFS(EXPENSETBL45[TOTAL],EXPENSETBL45[FIELD],CORNYIELDPERF[[#This Row],[Field]],EXPENSETBL45[CROP],$A$184,EXPENSETBL45[YEAR],$B$184)</f>
        <v>0</v>
      </c>
      <c r="P193" s="99" t="str">
        <f>IFERROR((CORNYIELDPERF[[#This Row],[TOTAL EXP]]/CORNYIELDPERF[[#This Row],[TOT BU]]),"-")</f>
        <v>-</v>
      </c>
      <c r="Q193" s="99">
        <f>SUMIFS(EXPENSETBL45[$M.E.],EXPENSETBL45[FIELD],CORNYIELDPERF[[#This Row],[Field]],EXPENSETBL45[CROP],$A$184,EXPENSETBL45[YEAR],$B$184)</f>
        <v>0</v>
      </c>
      <c r="R193" s="99" t="str">
        <f>IFERROR((CORNYIELDPERF[[#This Row],[TOTM77]]/CORNYIELDPERF[[#This Row],[TOT. M77]]),"-")</f>
        <v>-</v>
      </c>
      <c r="S193" s="99">
        <f>SUMIFS(EXPENSETBL45[$L.L.],EXPENSETBL45[FIELD],CORNYIELDPERF[[#This Row],[Field]],EXPENSETBL45[CROP],$A$184,EXPENSETBL45[YEAR],$B$184)</f>
        <v>0</v>
      </c>
      <c r="T193" s="99" t="str">
        <f>IFERROR((CORNYIELDPERF[[#This Row],[TOT LL2]]/CORNYIELDPERF[[#This Row],[TOT LL]]),"-")</f>
        <v>-</v>
      </c>
      <c r="U193" s="99"/>
      <c r="V193" s="533"/>
      <c r="W193" s="534"/>
      <c r="X193" s="534"/>
      <c r="Y193" s="535"/>
      <c r="Z193" s="536"/>
      <c r="AA193" s="537"/>
      <c r="AB193" s="537"/>
    </row>
    <row r="194" spans="1:28" s="160" customFormat="1" ht="15.75" x14ac:dyDescent="0.25">
      <c r="A194" s="568" t="s">
        <v>20</v>
      </c>
      <c r="B194" s="568" t="s">
        <v>35</v>
      </c>
      <c r="C194" s="568" t="s">
        <v>258</v>
      </c>
      <c r="D194" s="99">
        <f>IFERROR((VLOOKUP(CORNYIELDPERF[[#This Row],[Field]],FIELDACRE,2,FALSE)),"")</f>
        <v>25.67</v>
      </c>
      <c r="E194" s="99" t="str">
        <f>IFERROR(VLOOKUP(CORNYIELDPERF[[#This Row],[Field]],FIELDACRE,3,FALSE),"")</f>
        <v>SE4 8-9-47</v>
      </c>
      <c r="F194" s="94">
        <f>IFERROR(VLOOKUP(CORNYIELDPERF[[#This Row],[Field]],FIELDACRE,4,FALSE),"")</f>
        <v>4071</v>
      </c>
      <c r="G194" s="94">
        <f>IFERROR(VLOOKUP(CORNYIELDPERF[[#This Row],[Field]],FIELDACRE,5,FALSE),"")</f>
        <v>4021</v>
      </c>
      <c r="H194" s="99" t="s">
        <v>283</v>
      </c>
      <c r="I194" s="99"/>
      <c r="J194" s="99">
        <f>IFERROR(CORNYIELDPERF[[#This Row],[TOT BU]]/CORNYIELDPERF[[#This Row],[Acres]],"")</f>
        <v>0</v>
      </c>
      <c r="K194" s="99">
        <f>SUMIF(CORNHARVESTTBL[Field],CORNYIELDPERF[[#This Row],[Field]],CORNHARVESTTBL[Net])</f>
        <v>0</v>
      </c>
      <c r="L194" s="99">
        <f>SUMIF(CORNHARVESTTBL[Field],CORNYIELDPERF[[#This Row],[Field]],CORNHARVESTTBL[Net Units])</f>
        <v>0</v>
      </c>
      <c r="M194" s="99">
        <f>CORNYIELDPERF[[#This Row],[TOT BU]]*0.65</f>
        <v>0</v>
      </c>
      <c r="N194" s="99">
        <f>CORNYIELDPERF[[#This Row],[TOT BU]]*0.35</f>
        <v>0</v>
      </c>
      <c r="O194" s="198">
        <f>SUMIFS(EXPENSETBL45[TOTAL],EXPENSETBL45[FIELD],CORNYIELDPERF[[#This Row],[Field]],EXPENSETBL45[CROP],$A$184,EXPENSETBL45[YEAR],$B$184)</f>
        <v>0</v>
      </c>
      <c r="P194" s="99" t="str">
        <f>IFERROR((CORNYIELDPERF[[#This Row],[TOTAL EXP]]/CORNYIELDPERF[[#This Row],[TOT BU]]),"-")</f>
        <v>-</v>
      </c>
      <c r="Q194" s="99">
        <f>SUMIFS(EXPENSETBL45[$M.E.],EXPENSETBL45[FIELD],CORNYIELDPERF[[#This Row],[Field]],EXPENSETBL45[CROP],$A$184,EXPENSETBL45[YEAR],$B$184)</f>
        <v>0</v>
      </c>
      <c r="R194" s="99" t="str">
        <f>IFERROR((CORNYIELDPERF[[#This Row],[TOTM77]]/CORNYIELDPERF[[#This Row],[TOT. M77]]),"-")</f>
        <v>-</v>
      </c>
      <c r="S194" s="99">
        <f>SUMIFS(EXPENSETBL45[$L.L.],EXPENSETBL45[FIELD],CORNYIELDPERF[[#This Row],[Field]],EXPENSETBL45[CROP],$A$184,EXPENSETBL45[YEAR],$B$184)</f>
        <v>0</v>
      </c>
      <c r="T194" s="99" t="str">
        <f>IFERROR((CORNYIELDPERF[[#This Row],[TOT LL2]]/CORNYIELDPERF[[#This Row],[TOT LL]]),"-")</f>
        <v>-</v>
      </c>
      <c r="U194" s="99"/>
      <c r="V194" s="533"/>
      <c r="W194" s="534"/>
      <c r="X194" s="534"/>
      <c r="Y194" s="535"/>
      <c r="Z194" s="536"/>
      <c r="AA194" s="537"/>
      <c r="AB194" s="537"/>
    </row>
    <row r="195" spans="1:28" s="160" customFormat="1" ht="15.75" x14ac:dyDescent="0.25">
      <c r="A195" s="568" t="s">
        <v>20</v>
      </c>
      <c r="B195" s="568" t="s">
        <v>35</v>
      </c>
      <c r="C195" s="568" t="s">
        <v>259</v>
      </c>
      <c r="D195" s="99">
        <f>IFERROR((VLOOKUP(CORNYIELDPERF[[#This Row],[Field]],FIELDACRE,2,FALSE)),"")</f>
        <v>49.63</v>
      </c>
      <c r="E195" s="99" t="str">
        <f>IFERROR(VLOOKUP(CORNYIELDPERF[[#This Row],[Field]],FIELDACRE,3,FALSE),"")</f>
        <v>SE4 8-9-47</v>
      </c>
      <c r="F195" s="94">
        <f>IFERROR(VLOOKUP(CORNYIELDPERF[[#This Row],[Field]],FIELDACRE,4,FALSE),"")</f>
        <v>4071</v>
      </c>
      <c r="G195" s="94">
        <f>IFERROR(VLOOKUP(CORNYIELDPERF[[#This Row],[Field]],FIELDACRE,5,FALSE),"")</f>
        <v>4021</v>
      </c>
      <c r="H195" s="99" t="s">
        <v>283</v>
      </c>
      <c r="I195" s="99"/>
      <c r="J195" s="99">
        <f>IFERROR(CORNYIELDPERF[[#This Row],[TOT BU]]/CORNYIELDPERF[[#This Row],[Acres]],"")</f>
        <v>0</v>
      </c>
      <c r="K195" s="99">
        <f>SUMIF(CORNHARVESTTBL[Field],CORNYIELDPERF[[#This Row],[Field]],CORNHARVESTTBL[Net])</f>
        <v>0</v>
      </c>
      <c r="L195" s="99">
        <f>SUMIF(CORNHARVESTTBL[Field],CORNYIELDPERF[[#This Row],[Field]],CORNHARVESTTBL[Net Units])</f>
        <v>0</v>
      </c>
      <c r="M195" s="99">
        <f>CORNYIELDPERF[[#This Row],[TOT BU]]*0.65</f>
        <v>0</v>
      </c>
      <c r="N195" s="99">
        <f>CORNYIELDPERF[[#This Row],[TOT BU]]*0.35</f>
        <v>0</v>
      </c>
      <c r="O195" s="198">
        <f>SUMIFS(EXPENSETBL45[TOTAL],EXPENSETBL45[FIELD],CORNYIELDPERF[[#This Row],[Field]],EXPENSETBL45[CROP],$A$184,EXPENSETBL45[YEAR],$B$184)</f>
        <v>0</v>
      </c>
      <c r="P195" s="99" t="str">
        <f>IFERROR((CORNYIELDPERF[[#This Row],[TOTAL EXP]]/CORNYIELDPERF[[#This Row],[TOT BU]]),"-")</f>
        <v>-</v>
      </c>
      <c r="Q195" s="99">
        <f>SUMIFS(EXPENSETBL45[$M.E.],EXPENSETBL45[FIELD],CORNYIELDPERF[[#This Row],[Field]],EXPENSETBL45[CROP],$A$184,EXPENSETBL45[YEAR],$B$184)</f>
        <v>0</v>
      </c>
      <c r="R195" s="99" t="str">
        <f>IFERROR((CORNYIELDPERF[[#This Row],[TOTM77]]/CORNYIELDPERF[[#This Row],[TOT. M77]]),"-")</f>
        <v>-</v>
      </c>
      <c r="S195" s="99">
        <f>SUMIFS(EXPENSETBL45[$L.L.],EXPENSETBL45[FIELD],CORNYIELDPERF[[#This Row],[Field]],EXPENSETBL45[CROP],$A$184,EXPENSETBL45[YEAR],$B$184)</f>
        <v>0</v>
      </c>
      <c r="T195" s="99" t="str">
        <f>IFERROR((CORNYIELDPERF[[#This Row],[TOT LL2]]/CORNYIELDPERF[[#This Row],[TOT LL]]),"-")</f>
        <v>-</v>
      </c>
      <c r="U195" s="99"/>
      <c r="V195" s="533"/>
      <c r="W195" s="534"/>
      <c r="X195" s="534"/>
      <c r="Y195" s="535"/>
      <c r="Z195" s="536"/>
      <c r="AA195" s="537"/>
      <c r="AB195" s="537"/>
    </row>
    <row r="196" spans="1:28" s="160" customFormat="1" ht="15.75" x14ac:dyDescent="0.25">
      <c r="A196" s="568" t="s">
        <v>20</v>
      </c>
      <c r="B196" s="568" t="s">
        <v>35</v>
      </c>
      <c r="C196" s="637" t="s">
        <v>263</v>
      </c>
      <c r="D196" s="99">
        <f>IFERROR((VLOOKUP(CORNYIELDPERF[[#This Row],[Field]],FIELDACRE,2,FALSE)),"")</f>
        <v>78.39</v>
      </c>
      <c r="E196" s="99" t="str">
        <f>IFERROR(VLOOKUP(CORNYIELDPERF[[#This Row],[Field]],FIELDACRE,3,FALSE),"")</f>
        <v>SW 33-7-46</v>
      </c>
      <c r="F196" s="94">
        <f>IFERROR(VLOOKUP(CORNYIELDPERF[[#This Row],[Field]],FIELDACRE,4,FALSE),"")</f>
        <v>247</v>
      </c>
      <c r="G196" s="94">
        <f>IFERROR(VLOOKUP(CORNYIELDPERF[[#This Row],[Field]],FIELDACRE,5,FALSE),"")</f>
        <v>1311</v>
      </c>
      <c r="H196" s="99" t="s">
        <v>283</v>
      </c>
      <c r="I196" s="99"/>
      <c r="J196" s="99">
        <f>IFERROR(CORNYIELDPERF[[#This Row],[TOT BU]]/CORNYIELDPERF[[#This Row],[Acres]],"")</f>
        <v>0</v>
      </c>
      <c r="K196" s="99">
        <f>SUMIF(CORNHARVESTTBL[Field],CORNYIELDPERF[[#This Row],[Field]],CORNHARVESTTBL[Net])</f>
        <v>0</v>
      </c>
      <c r="L196" s="99">
        <f>SUMIF(CORNHARVESTTBL[Field],CORNYIELDPERF[[#This Row],[Field]],CORNHARVESTTBL[Net Units])</f>
        <v>0</v>
      </c>
      <c r="M196" s="99">
        <f>CORNYIELDPERF[[#This Row],[TOT BU]]*0.65</f>
        <v>0</v>
      </c>
      <c r="N196" s="99">
        <f>CORNYIELDPERF[[#This Row],[TOT BU]]*0.35</f>
        <v>0</v>
      </c>
      <c r="O196" s="198">
        <f>SUMIFS(EXPENSETBL45[TOTAL],EXPENSETBL45[FIELD],CORNYIELDPERF[[#This Row],[Field]],EXPENSETBL45[CROP],$A$184,EXPENSETBL45[YEAR],$B$184)</f>
        <v>0</v>
      </c>
      <c r="P196" s="99" t="str">
        <f>IFERROR((CORNYIELDPERF[[#This Row],[TOTAL EXP]]/CORNYIELDPERF[[#This Row],[TOT BU]]),"-")</f>
        <v>-</v>
      </c>
      <c r="Q196" s="99">
        <f>SUMIFS(EXPENSETBL45[$M.E.],EXPENSETBL45[FIELD],CORNYIELDPERF[[#This Row],[Field]],EXPENSETBL45[CROP],$A$184,EXPENSETBL45[YEAR],$B$184)</f>
        <v>0</v>
      </c>
      <c r="R196" s="99" t="str">
        <f>IFERROR((CORNYIELDPERF[[#This Row],[TOTM77]]/CORNYIELDPERF[[#This Row],[TOT. M77]]),"-")</f>
        <v>-</v>
      </c>
      <c r="S196" s="99">
        <f>SUMIFS(EXPENSETBL45[$L.L.],EXPENSETBL45[FIELD],CORNYIELDPERF[[#This Row],[Field]],EXPENSETBL45[CROP],$A$184,EXPENSETBL45[YEAR],$B$184)</f>
        <v>0</v>
      </c>
      <c r="T196" s="99" t="str">
        <f>IFERROR((CORNYIELDPERF[[#This Row],[TOT LL2]]/CORNYIELDPERF[[#This Row],[TOT LL]]),"-")</f>
        <v>-</v>
      </c>
      <c r="U196" s="99"/>
      <c r="V196" s="533"/>
      <c r="W196" s="534"/>
      <c r="X196" s="534"/>
      <c r="Y196" s="535"/>
      <c r="Z196" s="536"/>
      <c r="AA196" s="537"/>
      <c r="AB196" s="537"/>
    </row>
    <row r="197" spans="1:28" s="160" customFormat="1" ht="15.75" x14ac:dyDescent="0.25">
      <c r="A197" s="568" t="s">
        <v>20</v>
      </c>
      <c r="B197" s="568" t="s">
        <v>80</v>
      </c>
      <c r="C197" s="637" t="s">
        <v>280</v>
      </c>
      <c r="D197" s="99">
        <f>IFERROR((VLOOKUP(CORNYIELDPERF[[#This Row],[Field]],FIELDACRE,2,FALSE)),"")</f>
        <v>78.900000000000006</v>
      </c>
      <c r="E197" s="99" t="str">
        <f>IFERROR(VLOOKUP(CORNYIELDPERF[[#This Row],[Field]],FIELDACRE,3,FALSE),"")</f>
        <v>SE4 35-7-47</v>
      </c>
      <c r="F197" s="94">
        <f>IFERROR(VLOOKUP(CORNYIELDPERF[[#This Row],[Field]],FIELDACRE,4,FALSE),"")</f>
        <v>6759</v>
      </c>
      <c r="G197" s="94">
        <f>IFERROR(VLOOKUP(CORNYIELDPERF[[#This Row],[Field]],FIELDACRE,5,FALSE),"")</f>
        <v>3794</v>
      </c>
      <c r="H197" s="99" t="s">
        <v>283</v>
      </c>
      <c r="I197" s="99"/>
      <c r="J197" s="99">
        <f>IFERROR(CORNYIELDPERF[[#This Row],[TOT BU]]/CORNYIELDPERF[[#This Row],[Acres]],"")</f>
        <v>0</v>
      </c>
      <c r="K197" s="99">
        <f>SUMIF(CORNHARVESTTBL[Field],CORNYIELDPERF[[#This Row],[Field]],CORNHARVESTTBL[Net])</f>
        <v>0</v>
      </c>
      <c r="L197" s="99">
        <f>SUMIF(CORNHARVESTTBL[Field],CORNYIELDPERF[[#This Row],[Field]],CORNHARVESTTBL[Net Units])</f>
        <v>0</v>
      </c>
      <c r="M197" s="99">
        <f>CORNYIELDPERF[[#This Row],[TOT BU]]*0.65</f>
        <v>0</v>
      </c>
      <c r="N197" s="99">
        <f>CORNYIELDPERF[[#This Row],[TOT BU]]*0.35</f>
        <v>0</v>
      </c>
      <c r="O197" s="198">
        <f>SUMIFS(EXPENSETBL45[TOTAL],EXPENSETBL45[FIELD],CORNYIELDPERF[[#This Row],[Field]],EXPENSETBL45[CROP],$A$184,EXPENSETBL45[YEAR],$B$184)</f>
        <v>0</v>
      </c>
      <c r="P197" s="99" t="str">
        <f>IFERROR((CORNYIELDPERF[[#This Row],[TOTAL EXP]]/CORNYIELDPERF[[#This Row],[TOT BU]]),"-")</f>
        <v>-</v>
      </c>
      <c r="Q197" s="99">
        <f>SUMIFS(EXPENSETBL45[$M.E.],EXPENSETBL45[FIELD],CORNYIELDPERF[[#This Row],[Field]],EXPENSETBL45[CROP],$A$184,EXPENSETBL45[YEAR],$B$184)</f>
        <v>0</v>
      </c>
      <c r="R197" s="99" t="str">
        <f>IFERROR((CORNYIELDPERF[[#This Row],[TOTM77]]/CORNYIELDPERF[[#This Row],[TOT. M77]]),"-")</f>
        <v>-</v>
      </c>
      <c r="S197" s="99">
        <f>SUMIFS(EXPENSETBL45[$L.L.],EXPENSETBL45[FIELD],CORNYIELDPERF[[#This Row],[Field]],EXPENSETBL45[CROP],$A$184,EXPENSETBL45[YEAR],$B$184)</f>
        <v>0</v>
      </c>
      <c r="T197" s="99" t="str">
        <f>IFERROR((CORNYIELDPERF[[#This Row],[TOT LL2]]/CORNYIELDPERF[[#This Row],[TOT LL]]),"-")</f>
        <v>-</v>
      </c>
      <c r="U197" s="99"/>
      <c r="V197" s="533"/>
      <c r="W197" s="534"/>
      <c r="X197" s="534"/>
      <c r="Y197" s="535"/>
      <c r="Z197" s="536"/>
      <c r="AA197" s="537"/>
      <c r="AB197" s="537"/>
    </row>
    <row r="198" spans="1:28" s="160" customFormat="1" x14ac:dyDescent="0.25">
      <c r="A198" s="94" t="s">
        <v>74</v>
      </c>
      <c r="B198" s="94" t="s">
        <v>35</v>
      </c>
      <c r="C198" s="94" t="s">
        <v>271</v>
      </c>
      <c r="D198" s="99">
        <f>IFERROR((VLOOKUP(CORNYIELDPERF[[#This Row],[Field]],FIELDACRE,2,FALSE)),"")</f>
        <v>78.8</v>
      </c>
      <c r="E198" s="99" t="str">
        <f>IFERROR(VLOOKUP(CORNYIELDPERF[[#This Row],[Field]],FIELDACRE,3,FALSE),"")</f>
        <v>NW 29-7-47</v>
      </c>
      <c r="F198" s="94">
        <f>IFERROR(VLOOKUP(CORNYIELDPERF[[#This Row],[Field]],FIELDACRE,4,FALSE),"")</f>
        <v>4667</v>
      </c>
      <c r="G198" s="94">
        <f>IFERROR(VLOOKUP(CORNYIELDPERF[[#This Row],[Field]],FIELDACRE,5,FALSE),"")</f>
        <v>5798</v>
      </c>
      <c r="H198" s="99"/>
      <c r="I198" s="99"/>
      <c r="J198" s="99">
        <f>IFERROR(CORNYIELDPERF[[#This Row],[TOT BU]]/CORNYIELDPERF[[#This Row],[Acres]],"")</f>
        <v>29.03859680928209</v>
      </c>
      <c r="K198" s="99">
        <f>SUMIF(CORNHARVESTTBL[Field],CORNYIELDPERF[[#This Row],[Field]],CORNHARVESTTBL[Net])</f>
        <v>133060</v>
      </c>
      <c r="L198" s="99">
        <f>SUMIF(CORNHARVESTTBL[Field],CORNYIELDPERF[[#This Row],[Field]],CORNHARVESTTBL[Net Units])</f>
        <v>2288.2414285714285</v>
      </c>
      <c r="M198" s="99">
        <f>CORNYIELDPERF[[#This Row],[TOT BU]]*0.65</f>
        <v>1487.3569285714286</v>
      </c>
      <c r="N198" s="99">
        <f>CORNYIELDPERF[[#This Row],[TOT BU]]*0.35</f>
        <v>800.88449999999989</v>
      </c>
      <c r="O198" s="198">
        <f>SUMIFS(EXPENSETBL45[TOTAL],EXPENSETBL45[FIELD],CORNYIELDPERF[[#This Row],[Field]],EXPENSETBL45[CROP],$A$184,EXPENSETBL45[YEAR],$B$184)</f>
        <v>0</v>
      </c>
      <c r="P198" s="99">
        <f>IFERROR((CORNYIELDPERF[[#This Row],[TOTAL EXP]]/CORNYIELDPERF[[#This Row],[TOT BU]]),"-")</f>
        <v>0</v>
      </c>
      <c r="Q198" s="99">
        <f>SUMIFS(EXPENSETBL45[$M.E.],EXPENSETBL45[FIELD],CORNYIELDPERF[[#This Row],[Field]],EXPENSETBL45[CROP],$A$184,EXPENSETBL45[YEAR],$B$184)</f>
        <v>0</v>
      </c>
      <c r="R198" s="99">
        <f>IFERROR((CORNYIELDPERF[[#This Row],[TOTM77]]/CORNYIELDPERF[[#This Row],[TOT. M77]]),"-")</f>
        <v>0</v>
      </c>
      <c r="S198" s="99">
        <f>SUMIFS(EXPENSETBL45[$L.L.],EXPENSETBL45[FIELD],CORNYIELDPERF[[#This Row],[Field]],EXPENSETBL45[CROP],$A$184,EXPENSETBL45[YEAR],$B$184)</f>
        <v>0</v>
      </c>
      <c r="T198" s="99">
        <f>IFERROR((CORNYIELDPERF[[#This Row],[TOT LL2]]/CORNYIELDPERF[[#This Row],[TOT LL]]),"-")</f>
        <v>0</v>
      </c>
      <c r="U198" s="99"/>
      <c r="V198" s="533"/>
      <c r="W198" s="534"/>
      <c r="X198" s="534"/>
      <c r="Y198" s="535"/>
      <c r="Z198" s="536"/>
      <c r="AA198" s="537"/>
      <c r="AB198" s="537"/>
    </row>
    <row r="199" spans="1:28" s="160" customFormat="1" x14ac:dyDescent="0.25">
      <c r="A199" s="94"/>
      <c r="B199" s="94"/>
      <c r="C199" s="94"/>
      <c r="D199" s="99" t="str">
        <f>IFERROR((VLOOKUP(CORNYIELDPERF[[#This Row],[Field]],FIELDACRE,2,FALSE)),"")</f>
        <v/>
      </c>
      <c r="E199" s="99" t="str">
        <f>IFERROR(VLOOKUP(CORNYIELDPERF[[#This Row],[Field]],FIELDACRE,3,FALSE),"")</f>
        <v/>
      </c>
      <c r="F199" s="94" t="str">
        <f>IFERROR(VLOOKUP(CORNYIELDPERF[[#This Row],[Field]],FIELDACRE,4,FALSE),"")</f>
        <v/>
      </c>
      <c r="G199" s="94" t="str">
        <f>IFERROR(VLOOKUP(CORNYIELDPERF[[#This Row],[Field]],FIELDACRE,5,FALSE),"")</f>
        <v/>
      </c>
      <c r="H199" s="99"/>
      <c r="I199" s="99"/>
      <c r="J199" s="99" t="str">
        <f>IFERROR(CORNYIELDPERF[[#This Row],[TOT BU]]/CORNYIELDPERF[[#This Row],[Acres]],"")</f>
        <v/>
      </c>
      <c r="K199" s="99">
        <f>SUMIF(CORNHARVESTTBL[Field],CORNYIELDPERF[[#This Row],[Field]],CORNHARVESTTBL[Net])</f>
        <v>0</v>
      </c>
      <c r="L199" s="99">
        <f>SUMIF(CORNHARVESTTBL[Field],CORNYIELDPERF[[#This Row],[Field]],CORNHARVESTTBL[Net Units])</f>
        <v>0</v>
      </c>
      <c r="M199" s="99">
        <f>CORNYIELDPERF[[#This Row],[TOT BU]]*0.65</f>
        <v>0</v>
      </c>
      <c r="N199" s="99">
        <f>CORNYIELDPERF[[#This Row],[TOT BU]]*0.35</f>
        <v>0</v>
      </c>
      <c r="O199" s="198">
        <f>SUMIFS(EXPENSETBL45[TOTAL],EXPENSETBL45[FIELD],CORNYIELDPERF[[#This Row],[Field]],EXPENSETBL45[CROP],$A$184,EXPENSETBL45[YEAR],$B$184)</f>
        <v>0</v>
      </c>
      <c r="P199" s="99" t="str">
        <f>IFERROR((CORNYIELDPERF[[#This Row],[TOTAL EXP]]/CORNYIELDPERF[[#This Row],[TOT BU]]),"-")</f>
        <v>-</v>
      </c>
      <c r="Q199" s="99">
        <f>SUMIFS(EXPENSETBL45[$M.E.],EXPENSETBL45[FIELD],CORNYIELDPERF[[#This Row],[Field]],EXPENSETBL45[CROP],$A$184,EXPENSETBL45[YEAR],$B$184)</f>
        <v>0</v>
      </c>
      <c r="R199" s="99" t="str">
        <f>IFERROR((CORNYIELDPERF[[#This Row],[TOTM77]]/CORNYIELDPERF[[#This Row],[TOT. M77]]),"-")</f>
        <v>-</v>
      </c>
      <c r="S199" s="99">
        <f>SUMIFS(EXPENSETBL45[$L.L.],EXPENSETBL45[FIELD],CORNYIELDPERF[[#This Row],[Field]],EXPENSETBL45[CROP],$A$184,EXPENSETBL45[YEAR],$B$184)</f>
        <v>0</v>
      </c>
      <c r="T199" s="99" t="str">
        <f>IFERROR((CORNYIELDPERF[[#This Row],[TOT LL2]]/CORNYIELDPERF[[#This Row],[TOT LL]]),"-")</f>
        <v>-</v>
      </c>
      <c r="U199" s="197"/>
      <c r="V199" s="533"/>
      <c r="W199" s="534"/>
      <c r="X199" s="534"/>
      <c r="Y199" s="535"/>
      <c r="Z199" s="536"/>
      <c r="AA199" s="537"/>
      <c r="AB199" s="537"/>
    </row>
    <row r="200" spans="1:28" s="160" customFormat="1" ht="18.75" x14ac:dyDescent="0.25">
      <c r="A200" s="103" t="s">
        <v>38</v>
      </c>
      <c r="B200" s="103"/>
      <c r="C200" s="103"/>
      <c r="D200" s="103">
        <f>SUBTOTAL(109,CORNYIELDPERF[Acres])</f>
        <v>891.4899999999999</v>
      </c>
      <c r="E200" s="103"/>
      <c r="F200" s="103"/>
      <c r="G200" s="103"/>
      <c r="H200" s="114"/>
      <c r="I200" s="103"/>
      <c r="J200" s="103">
        <f>SUBTOTAL(101,CORNYIELDPERF[Yield/ Acre])</f>
        <v>2.4198830674401743</v>
      </c>
      <c r="K200" s="103"/>
      <c r="L200" s="103">
        <f>SUBTOTAL(109,CORNYIELDPERF[TOT BU])</f>
        <v>2288.2414285714285</v>
      </c>
      <c r="M200" s="103">
        <f>SUBTOTAL(109,CORNYIELDPERF[TOT. M77])</f>
        <v>1487.3569285714286</v>
      </c>
      <c r="N200" s="103">
        <f>SUBTOTAL(109,N186:N199)</f>
        <v>800.88449999999989</v>
      </c>
      <c r="O200" s="387">
        <f>SUBTOTAL(109,CORNYIELDPERF[TOTAL EXP])</f>
        <v>0</v>
      </c>
      <c r="P200" s="145"/>
      <c r="Q200" s="145"/>
      <c r="R200" s="145"/>
      <c r="S200" s="145"/>
      <c r="T200" s="145"/>
      <c r="U200" s="145"/>
      <c r="V200" s="538"/>
      <c r="W200" s="539"/>
      <c r="X200" s="540"/>
      <c r="Y200" s="538"/>
      <c r="Z200" s="540"/>
      <c r="AA200" s="541"/>
      <c r="AB200" s="541">
        <f>Y200-AA200</f>
        <v>0</v>
      </c>
    </row>
    <row r="201" spans="1:28" s="160" customFormat="1" ht="18.75" x14ac:dyDescent="0.25">
      <c r="A201" s="114"/>
      <c r="B201" s="114"/>
      <c r="C201" s="114"/>
      <c r="D201" s="114"/>
      <c r="E201" s="114"/>
      <c r="F201" s="114"/>
      <c r="G201" s="114"/>
      <c r="H201" s="114"/>
      <c r="I201" s="114"/>
      <c r="J201" s="114"/>
      <c r="K201" s="114"/>
      <c r="L201" s="114"/>
      <c r="M201" s="114"/>
      <c r="N201" s="114"/>
      <c r="O201" s="413"/>
      <c r="P201" s="413"/>
      <c r="Q201" s="413"/>
      <c r="R201" s="413"/>
      <c r="S201" s="413"/>
      <c r="T201" s="413"/>
      <c r="U201" s="515"/>
      <c r="V201" s="515"/>
      <c r="W201" s="515"/>
      <c r="X201" s="515"/>
      <c r="Y201" s="515"/>
      <c r="Z201" s="515"/>
      <c r="AA201" s="542"/>
      <c r="AB201" s="542"/>
    </row>
    <row r="202" spans="1:28" s="160" customFormat="1" ht="18.75" x14ac:dyDescent="0.25">
      <c r="A202" s="114"/>
      <c r="B202" s="114"/>
      <c r="C202" s="114"/>
      <c r="D202" s="114"/>
      <c r="E202" s="114"/>
      <c r="F202" s="114"/>
      <c r="G202" s="114"/>
      <c r="H202" s="114"/>
      <c r="I202" s="515"/>
      <c r="J202" s="114" t="s">
        <v>560</v>
      </c>
      <c r="K202" s="132">
        <f>IFERROR((CORNSOLDTBL44[[#Totals],[Price]]),"-")</f>
        <v>0</v>
      </c>
      <c r="L202" s="132">
        <f>IFERROR((CORNYIELDPERF[[#Totals],[TOT BU]]*K202),"-")</f>
        <v>0</v>
      </c>
      <c r="M202" s="132">
        <f>IFERROR((CORNYIELDPERF[[#Totals],[TOT. M77]]*K202),"-")</f>
        <v>0</v>
      </c>
      <c r="N202" s="132">
        <f>IFERROR((CORNYIELDPERF[[#Totals],[TOT LL]]*K202),"-")</f>
        <v>0</v>
      </c>
      <c r="O202" s="114"/>
      <c r="P202" s="159"/>
      <c r="Q202" s="543"/>
      <c r="R202" s="159"/>
      <c r="S202" s="159"/>
      <c r="T202" s="159"/>
      <c r="U202" s="515"/>
      <c r="V202" s="515"/>
      <c r="W202" s="515"/>
      <c r="X202" s="515"/>
      <c r="Y202" s="515"/>
      <c r="Z202" s="515"/>
      <c r="AA202" s="542"/>
      <c r="AB202" s="542"/>
    </row>
    <row r="203" spans="1:28" s="160" customFormat="1" ht="18.75" customHeight="1" x14ac:dyDescent="0.25">
      <c r="A203" s="544" t="s">
        <v>561</v>
      </c>
      <c r="B203" s="544" t="s">
        <v>562</v>
      </c>
      <c r="C203" s="544" t="s">
        <v>601</v>
      </c>
      <c r="D203" s="544" t="s">
        <v>611</v>
      </c>
      <c r="E203" s="545" t="s">
        <v>612</v>
      </c>
      <c r="F203" s="546" t="s">
        <v>613</v>
      </c>
      <c r="G203" s="547" t="s">
        <v>476</v>
      </c>
      <c r="H203" s="548" t="s">
        <v>614</v>
      </c>
      <c r="I203" s="548" t="s">
        <v>615</v>
      </c>
      <c r="J203" s="114"/>
      <c r="K203" s="132">
        <v>6.3</v>
      </c>
      <c r="L203" s="132">
        <f>IFERROR((CORNYIELDPERF[[#Totals],[TOT BU]]*K203),"-")</f>
        <v>14415.920999999998</v>
      </c>
      <c r="M203" s="132">
        <f>CORNYIELDPERF[[#Totals],[TOT. M77]]*K203</f>
        <v>9370.3486499999999</v>
      </c>
      <c r="N203" s="132">
        <f>CORNYIELDPERF[[#Totals],[TOT LL]]*K203</f>
        <v>5045.5723499999995</v>
      </c>
      <c r="O203" s="733" t="s">
        <v>616</v>
      </c>
      <c r="P203" s="733"/>
      <c r="Q203" s="733"/>
      <c r="R203" s="733"/>
      <c r="S203" s="733"/>
      <c r="T203" s="733"/>
      <c r="U203" s="515"/>
      <c r="V203" s="515"/>
      <c r="W203" s="515"/>
      <c r="X203" s="515"/>
      <c r="Y203" s="515"/>
      <c r="Z203" s="515"/>
      <c r="AA203" s="542"/>
      <c r="AB203" s="542"/>
    </row>
    <row r="204" spans="1:28" s="160" customFormat="1" ht="18.75" customHeight="1" x14ac:dyDescent="0.25">
      <c r="A204" s="200">
        <v>19659</v>
      </c>
      <c r="B204" s="201">
        <v>3.9</v>
      </c>
      <c r="C204" s="201">
        <v>2921.68</v>
      </c>
      <c r="D204" s="201"/>
      <c r="E204" s="201">
        <v>2921.68</v>
      </c>
      <c r="F204" s="210">
        <f>CORNSOLDTBL44[[#This Row],[Price]]*CORNSOLDTBL44[[#This Row],[TOT BU]]</f>
        <v>11394.552</v>
      </c>
      <c r="G204" s="202" t="s">
        <v>431</v>
      </c>
      <c r="H204" s="215">
        <v>-614.57000000000005</v>
      </c>
      <c r="I204" s="213">
        <f>CORNSOLDTBL44[[#This Row],[TOT $]]+CORNSOLDTBL44[[#This Row],[DEDUCTIONS]]</f>
        <v>10779.982</v>
      </c>
      <c r="J204" s="114"/>
      <c r="K204" s="132">
        <v>5.8</v>
      </c>
      <c r="L204" s="132">
        <f>CORNYIELDPERF[[#Totals],[TOT BU]]*K204</f>
        <v>13271.800285714286</v>
      </c>
      <c r="M204" s="132">
        <f>CORNYIELDPERF[[#Totals],[TOT. M77]]*K204</f>
        <v>8626.6701857142853</v>
      </c>
      <c r="N204" s="132">
        <f>CORNYIELDPERF[[#Totals],[TOT LL]]*K204</f>
        <v>4645.1300999999994</v>
      </c>
      <c r="O204" s="733"/>
      <c r="P204" s="733"/>
      <c r="Q204" s="733"/>
      <c r="R204" s="733"/>
      <c r="S204" s="733"/>
      <c r="T204" s="733"/>
      <c r="U204" s="515"/>
      <c r="V204" s="515"/>
      <c r="W204" s="515"/>
      <c r="X204" s="515"/>
      <c r="Y204" s="515"/>
      <c r="Z204" s="515"/>
      <c r="AA204" s="542"/>
      <c r="AB204" s="542"/>
    </row>
    <row r="205" spans="1:28" s="160" customFormat="1" ht="18.75" customHeight="1" x14ac:dyDescent="0.25">
      <c r="A205" s="200" t="s">
        <v>617</v>
      </c>
      <c r="B205" s="201">
        <v>3.87</v>
      </c>
      <c r="C205" s="201">
        <v>2288.2399999999998</v>
      </c>
      <c r="D205" s="201"/>
      <c r="E205" s="201">
        <v>2288.2399999999998</v>
      </c>
      <c r="F205" s="210">
        <f>CORNSOLDTBL44[[#This Row],[Price]]*CORNSOLDTBL44[[#This Row],[TOT BU]]</f>
        <v>8855.4887999999992</v>
      </c>
      <c r="G205" s="202" t="s">
        <v>425</v>
      </c>
      <c r="H205" s="216">
        <v>-280.56</v>
      </c>
      <c r="I205" s="213">
        <f>CORNSOLDTBL44[[#This Row],[TOT $]]+CORNSOLDTBL44[[#This Row],[DEDUCTIONS]]</f>
        <v>8574.9287999999997</v>
      </c>
      <c r="J205" s="114"/>
      <c r="K205" s="132">
        <v>7.35</v>
      </c>
      <c r="L205" s="132">
        <f>CORNYIELDPERF[[#Totals],[TOT BU]]*K205</f>
        <v>16818.574499999999</v>
      </c>
      <c r="M205" s="132">
        <f>CORNYIELDPERF[[#Totals],[TOT. M77]]*K205</f>
        <v>10932.073425</v>
      </c>
      <c r="N205" s="132">
        <f>CORNYIELDPERF[[#Totals],[TOT LL]]*K205</f>
        <v>5886.5010749999992</v>
      </c>
      <c r="O205" s="733"/>
      <c r="P205" s="733"/>
      <c r="Q205" s="733"/>
      <c r="R205" s="733"/>
      <c r="S205" s="733"/>
      <c r="T205" s="733"/>
      <c r="U205" s="515"/>
      <c r="V205" s="515"/>
      <c r="W205" s="515"/>
      <c r="X205" s="515"/>
      <c r="Y205" s="515"/>
      <c r="Z205" s="515"/>
      <c r="AA205" s="542"/>
      <c r="AB205" s="542"/>
    </row>
    <row r="206" spans="1:28" s="160" customFormat="1" ht="18.75" customHeight="1" x14ac:dyDescent="0.25">
      <c r="A206" s="200"/>
      <c r="B206" s="201"/>
      <c r="C206" s="201"/>
      <c r="D206" s="201"/>
      <c r="E206" s="201"/>
      <c r="F206" s="210">
        <f>CORNSOLDTBL44[[#This Row],[Price]]*CORNSOLDTBL44[[#This Row],[TOT BU]]</f>
        <v>0</v>
      </c>
      <c r="G206" s="202"/>
      <c r="H206" s="216"/>
      <c r="I206" s="213">
        <f>CORNSOLDTBL44[[#This Row],[TOT $]]+CORNSOLDTBL44[[#This Row],[DEDUCTIONS]]</f>
        <v>0</v>
      </c>
      <c r="J206" s="114"/>
      <c r="K206" s="114"/>
      <c r="L206" s="114"/>
      <c r="M206" s="114"/>
      <c r="N206" s="114"/>
      <c r="O206" s="733"/>
      <c r="P206" s="733"/>
      <c r="Q206" s="733"/>
      <c r="R206" s="733"/>
      <c r="S206" s="733"/>
      <c r="T206" s="733"/>
      <c r="U206" s="515"/>
      <c r="V206" s="515"/>
      <c r="W206" s="515"/>
      <c r="X206" s="515"/>
      <c r="Y206" s="515"/>
      <c r="Z206" s="515"/>
      <c r="AA206" s="542"/>
      <c r="AB206" s="542"/>
    </row>
    <row r="207" spans="1:28" s="160" customFormat="1" ht="18.75" customHeight="1" x14ac:dyDescent="0.25">
      <c r="A207" s="200"/>
      <c r="B207" s="201"/>
      <c r="C207" s="201"/>
      <c r="D207" s="201"/>
      <c r="E207" s="201"/>
      <c r="F207" s="210">
        <f>CORNSOLDTBL44[[#This Row],[Price]]*CORNSOLDTBL44[[#This Row],[TOT BU]]</f>
        <v>0</v>
      </c>
      <c r="G207" s="202"/>
      <c r="H207" s="216"/>
      <c r="I207" s="213">
        <f>CORNSOLDTBL44[[#This Row],[TOT $]]+CORNSOLDTBL44[[#This Row],[DEDUCTIONS]]</f>
        <v>0</v>
      </c>
      <c r="J207" s="142" t="s">
        <v>574</v>
      </c>
      <c r="K207" s="143">
        <f>K202</f>
        <v>0</v>
      </c>
      <c r="L207" s="141">
        <f>K203</f>
        <v>6.3</v>
      </c>
      <c r="M207" s="141">
        <f>K204</f>
        <v>5.8</v>
      </c>
      <c r="N207" s="141">
        <f>K205</f>
        <v>7.35</v>
      </c>
      <c r="O207" s="429" t="s">
        <v>572</v>
      </c>
      <c r="P207" s="429"/>
      <c r="Q207" s="429" t="s">
        <v>573</v>
      </c>
      <c r="R207" s="429"/>
      <c r="S207" s="429" t="s">
        <v>570</v>
      </c>
      <c r="T207" s="429"/>
      <c r="U207" s="515"/>
      <c r="V207" s="515"/>
      <c r="W207" s="515"/>
      <c r="X207" s="515"/>
      <c r="Y207" s="515"/>
      <c r="Z207" s="515"/>
      <c r="AA207" s="542"/>
      <c r="AB207" s="542"/>
    </row>
    <row r="208" spans="1:28" s="160" customFormat="1" ht="18.75" x14ac:dyDescent="0.25">
      <c r="A208" s="200"/>
      <c r="B208" s="201"/>
      <c r="C208" s="201"/>
      <c r="D208" s="201"/>
      <c r="E208" s="201"/>
      <c r="F208" s="210">
        <f>CORNSOLDTBL44[[#This Row],[Price]]*CORNSOLDTBL44[[#This Row],[TOT BU]]</f>
        <v>0</v>
      </c>
      <c r="G208" s="202"/>
      <c r="H208" s="216"/>
      <c r="I208" s="213">
        <f>CORNSOLDTBL44[[#This Row],[TOT $]]+CORNSOLDTBL44[[#This Row],[DEDUCTIONS]]</f>
        <v>0</v>
      </c>
      <c r="J208" s="142" t="s">
        <v>618</v>
      </c>
      <c r="K208" s="143">
        <f>IFERROR((L202/CORNYIELDPERF[[#Totals],[Acres]]),"-")</f>
        <v>0</v>
      </c>
      <c r="L208" s="141">
        <f>IFERROR((L203/CORNYIELDPERF[[#Totals],[Acres]]),"-")</f>
        <v>16.170591930363774</v>
      </c>
      <c r="M208" s="141">
        <f>IFERROR((L204/CORNYIELDPERF[[#Totals],[Acres]]),"-")</f>
        <v>14.887211618430142</v>
      </c>
      <c r="N208" s="141">
        <f>IFERROR((L205/CORNYIELDPERF[[#Totals],[Acres]]),"-")</f>
        <v>18.865690585424403</v>
      </c>
      <c r="O208" s="429"/>
      <c r="P208" s="429"/>
      <c r="Q208" s="429"/>
      <c r="R208" s="429"/>
      <c r="S208" s="429"/>
      <c r="T208" s="429"/>
      <c r="U208" s="515"/>
      <c r="V208" s="515"/>
      <c r="W208" s="515"/>
      <c r="X208" s="515"/>
      <c r="Y208" s="515"/>
      <c r="Z208" s="515"/>
      <c r="AA208" s="542"/>
      <c r="AB208" s="542"/>
    </row>
    <row r="209" spans="1:28" s="160" customFormat="1" ht="18.75" x14ac:dyDescent="0.25">
      <c r="A209" s="200"/>
      <c r="B209" s="201"/>
      <c r="C209" s="201"/>
      <c r="D209" s="201"/>
      <c r="E209" s="201"/>
      <c r="F209" s="210">
        <f>CORNSOLDTBL44[[#This Row],[Price]]*CORNSOLDTBL44[[#This Row],[TOT BU]]</f>
        <v>0</v>
      </c>
      <c r="G209" s="202"/>
      <c r="H209" s="216"/>
      <c r="I209" s="213">
        <f>CORNSOLDTBL44[[#This Row],[TOT $]]+CORNSOLDTBL44[[#This Row],[DEDUCTIONS]]</f>
        <v>0</v>
      </c>
      <c r="J209" s="142" t="s">
        <v>619</v>
      </c>
      <c r="K209" s="142">
        <f>IFERROR((M202/CORNYIELDPERF[[#Totals],[Acres]]),"-")</f>
        <v>0</v>
      </c>
      <c r="L209" s="114">
        <f>IFERROR((M203/CORNYIELDPERF[[#Totals],[Acres]]),"-")</f>
        <v>10.510884754736454</v>
      </c>
      <c r="M209" s="114">
        <f>IFERROR((M204/CORNYIELDPERF[[#Totals],[Acres]]),"-")</f>
        <v>9.6766875519795921</v>
      </c>
      <c r="N209" s="114">
        <f>IFERROR((M205/CORNYIELDPERF[[#Totals],[Acres]]),"-")</f>
        <v>12.262698880525862</v>
      </c>
      <c r="O209" s="430">
        <f>CORNYIELDPERF[[#Totals],[TOTAL EXP]]</f>
        <v>0</v>
      </c>
      <c r="P209" s="429"/>
      <c r="Q209" s="430">
        <f>CORNSOLDTBL44[[#Totals],[TOT $]]</f>
        <v>0</v>
      </c>
      <c r="R209" s="429"/>
      <c r="S209" s="430">
        <f>Q209+O209</f>
        <v>0</v>
      </c>
      <c r="T209" s="429"/>
      <c r="U209" s="515"/>
      <c r="V209" s="515"/>
      <c r="W209" s="515"/>
      <c r="X209" s="515"/>
      <c r="Y209" s="515"/>
      <c r="Z209" s="515"/>
      <c r="AA209" s="542"/>
      <c r="AB209" s="542"/>
    </row>
    <row r="210" spans="1:28" s="160" customFormat="1" ht="18.75" x14ac:dyDescent="0.25">
      <c r="A210" s="200"/>
      <c r="B210" s="201"/>
      <c r="C210" s="201"/>
      <c r="D210" s="201"/>
      <c r="E210" s="201"/>
      <c r="F210" s="210">
        <f>CORNSOLDTBL44[[#This Row],[Price]]*CORNSOLDTBL44[[#This Row],[TOT BU]]</f>
        <v>0</v>
      </c>
      <c r="G210" s="202"/>
      <c r="H210" s="216"/>
      <c r="I210" s="213">
        <f>CORNSOLDTBL44[[#This Row],[TOT $]]+CORNSOLDTBL44[[#This Row],[DEDUCTIONS]]</f>
        <v>0</v>
      </c>
      <c r="J210" s="142" t="s">
        <v>620</v>
      </c>
      <c r="K210" s="142">
        <f>IFERROR((N202/CORNYIELDPERF[[#Totals],[Acres]]),"-")</f>
        <v>0</v>
      </c>
      <c r="L210" s="114">
        <f>IFERROR((N203/CORNYIELDPERF[[#Totals],[Acres]]),"-")</f>
        <v>5.6597071756273207</v>
      </c>
      <c r="M210" s="114">
        <f>IFERROR((N204/CORNYIELDPERF[[#Totals],[Acres]]),"_")</f>
        <v>5.2105240664505494</v>
      </c>
      <c r="N210" s="114">
        <f>IFERROR((N205/CORNYIELDPERF[[#Totals],[Acres]]),"-")</f>
        <v>6.6029917048985407</v>
      </c>
      <c r="O210" s="429"/>
      <c r="P210" s="429"/>
      <c r="Q210" s="429"/>
      <c r="R210" s="429"/>
      <c r="S210" s="429"/>
      <c r="T210" s="429"/>
      <c r="U210" s="515"/>
      <c r="V210" s="515"/>
      <c r="W210" s="515"/>
      <c r="X210" s="515"/>
      <c r="Y210" s="515"/>
      <c r="Z210" s="515"/>
      <c r="AA210" s="542"/>
      <c r="AB210" s="542"/>
    </row>
    <row r="211" spans="1:28" s="160" customFormat="1" ht="18.75" x14ac:dyDescent="0.25">
      <c r="A211" s="218"/>
      <c r="B211" s="201"/>
      <c r="C211" s="201"/>
      <c r="D211" s="201"/>
      <c r="E211" s="201"/>
      <c r="F211" s="210">
        <f>CORNSOLDTBL44[[#This Row],[Price]]*CORNSOLDTBL44[[#This Row],[TOT BU]]</f>
        <v>0</v>
      </c>
      <c r="G211" s="203"/>
      <c r="H211" s="216"/>
      <c r="I211" s="213">
        <f>CORNSOLDTBL44[[#This Row],[TOT $]]+CORNSOLDTBL44[[#This Row],[DEDUCTIONS]]</f>
        <v>0</v>
      </c>
      <c r="J211" s="142"/>
      <c r="K211" s="142"/>
      <c r="L211" s="114"/>
      <c r="M211" s="114"/>
      <c r="N211" s="114"/>
      <c r="O211" s="429"/>
      <c r="P211" s="429"/>
      <c r="Q211" s="429"/>
      <c r="R211" s="429"/>
      <c r="S211" s="429"/>
      <c r="T211" s="429"/>
      <c r="U211" s="515"/>
      <c r="V211" s="515"/>
      <c r="W211" s="515"/>
      <c r="X211" s="515"/>
      <c r="Y211" s="515"/>
      <c r="Z211" s="515"/>
      <c r="AA211" s="542"/>
      <c r="AB211" s="542"/>
    </row>
    <row r="212" spans="1:28" s="160" customFormat="1" ht="18.75" x14ac:dyDescent="0.25">
      <c r="A212" s="218"/>
      <c r="B212" s="201"/>
      <c r="C212" s="201"/>
      <c r="D212" s="201"/>
      <c r="E212" s="201"/>
      <c r="F212" s="210">
        <f>CORNSOLDTBL44[[#This Row],[Price]]*CORNSOLDTBL44[[#This Row],[TOT BU]]</f>
        <v>0</v>
      </c>
      <c r="G212" s="203"/>
      <c r="H212" s="216"/>
      <c r="I212" s="213">
        <f>CORNSOLDTBL44[[#This Row],[TOT $]]+CORNSOLDTBL44[[#This Row],[DEDUCTIONS]]</f>
        <v>0</v>
      </c>
      <c r="J212" s="142"/>
      <c r="K212" s="142"/>
      <c r="L212" s="114"/>
      <c r="M212" s="114"/>
      <c r="N212" s="114"/>
      <c r="O212" s="114"/>
      <c r="P212" s="159"/>
      <c r="Q212" s="543"/>
      <c r="R212" s="159"/>
      <c r="S212" s="159"/>
      <c r="T212" s="159"/>
      <c r="U212" s="515"/>
      <c r="V212" s="515"/>
      <c r="W212" s="515"/>
      <c r="X212" s="515"/>
      <c r="Y212" s="515"/>
      <c r="Z212" s="515"/>
      <c r="AA212" s="542"/>
      <c r="AB212" s="542"/>
    </row>
    <row r="213" spans="1:28" s="160" customFormat="1" ht="18.75" x14ac:dyDescent="0.25">
      <c r="A213" s="218"/>
      <c r="B213" s="201"/>
      <c r="C213" s="201"/>
      <c r="D213" s="201"/>
      <c r="E213" s="201"/>
      <c r="F213" s="210">
        <f>CORNSOLDTBL44[[#This Row],[Price]]*CORNSOLDTBL44[[#This Row],[TOT BU]]</f>
        <v>0</v>
      </c>
      <c r="G213" s="203"/>
      <c r="H213" s="216"/>
      <c r="I213" s="213">
        <f>CORNSOLDTBL44[[#This Row],[TOT $]]+CORNSOLDTBL44[[#This Row],[DEDUCTIONS]]</f>
        <v>0</v>
      </c>
      <c r="J213" s="142"/>
      <c r="K213" s="142"/>
      <c r="L213" s="114"/>
      <c r="M213" s="114"/>
      <c r="N213" s="114"/>
      <c r="O213" s="114"/>
      <c r="P213" s="159"/>
      <c r="Q213" s="543"/>
      <c r="R213" s="159"/>
      <c r="S213" s="159"/>
      <c r="T213" s="159"/>
      <c r="U213" s="515"/>
      <c r="V213" s="515"/>
      <c r="W213" s="515"/>
      <c r="X213" s="515"/>
      <c r="Y213" s="515"/>
      <c r="Z213" s="515"/>
      <c r="AA213" s="542"/>
      <c r="AB213" s="542"/>
    </row>
    <row r="214" spans="1:28" s="160" customFormat="1" ht="18.75" x14ac:dyDescent="0.25">
      <c r="A214" s="218"/>
      <c r="B214" s="201"/>
      <c r="C214" s="201"/>
      <c r="D214" s="201"/>
      <c r="E214" s="201"/>
      <c r="F214" s="219">
        <f>CORNSOLDTBL44[[#This Row],[Price]]*CORNSOLDTBL44[[#This Row],[TOT BU]]</f>
        <v>0</v>
      </c>
      <c r="G214" s="203"/>
      <c r="H214" s="216"/>
      <c r="I214" s="212">
        <f>CORNSOLDTBL44[[#This Row],[TOT $]]+CORNSOLDTBL44[[#This Row],[DEDUCTIONS]]</f>
        <v>0</v>
      </c>
      <c r="J214" s="142"/>
      <c r="K214" s="142"/>
      <c r="L214" s="114"/>
      <c r="M214" s="114"/>
      <c r="N214" s="114"/>
      <c r="O214" s="114"/>
      <c r="P214" s="159"/>
      <c r="Q214" s="543"/>
      <c r="R214" s="159"/>
      <c r="S214" s="159"/>
      <c r="T214" s="159"/>
      <c r="U214" s="515"/>
      <c r="V214" s="515"/>
      <c r="W214" s="515"/>
      <c r="X214" s="515"/>
      <c r="Y214" s="515"/>
      <c r="Z214" s="515"/>
      <c r="AA214" s="542"/>
      <c r="AB214" s="542"/>
    </row>
    <row r="215" spans="1:28" s="160" customFormat="1" ht="18.75" x14ac:dyDescent="0.25">
      <c r="A215" s="218"/>
      <c r="B215" s="201"/>
      <c r="C215" s="201"/>
      <c r="D215" s="201"/>
      <c r="E215" s="201"/>
      <c r="F215" s="219">
        <f>CORNSOLDTBL44[[#This Row],[Price]]*CORNSOLDTBL44[[#This Row],[TOT BU]]</f>
        <v>0</v>
      </c>
      <c r="G215" s="203"/>
      <c r="H215" s="216"/>
      <c r="I215" s="212">
        <f>CORNSOLDTBL44[[#This Row],[TOT $]]+CORNSOLDTBL44[[#This Row],[DEDUCTIONS]]</f>
        <v>0</v>
      </c>
      <c r="J215" s="142"/>
      <c r="K215" s="142"/>
      <c r="L215" s="114"/>
      <c r="M215" s="114"/>
      <c r="N215" s="114"/>
      <c r="O215" s="114"/>
      <c r="P215" s="159"/>
      <c r="Q215" s="543"/>
      <c r="R215" s="159"/>
      <c r="S215" s="159"/>
      <c r="T215" s="159"/>
      <c r="U215" s="515"/>
      <c r="V215" s="515"/>
      <c r="W215" s="515"/>
      <c r="X215" s="515"/>
      <c r="Y215" s="515"/>
      <c r="Z215" s="515"/>
      <c r="AA215" s="542"/>
      <c r="AB215" s="542"/>
    </row>
    <row r="216" spans="1:28" s="160" customFormat="1" ht="18.75" x14ac:dyDescent="0.25">
      <c r="A216" s="218"/>
      <c r="B216" s="201"/>
      <c r="C216" s="201"/>
      <c r="D216" s="201"/>
      <c r="E216" s="201"/>
      <c r="F216" s="219">
        <f>CORNSOLDTBL44[[#This Row],[Price]]*CORNSOLDTBL44[[#This Row],[TOT BU]]</f>
        <v>0</v>
      </c>
      <c r="G216" s="203"/>
      <c r="H216" s="216"/>
      <c r="I216" s="212">
        <f>CORNSOLDTBL44[[#This Row],[TOT $]]+CORNSOLDTBL44[[#This Row],[DEDUCTIONS]]</f>
        <v>0</v>
      </c>
      <c r="J216" s="142"/>
      <c r="K216" s="142"/>
      <c r="L216" s="114"/>
      <c r="M216" s="114"/>
      <c r="N216" s="114"/>
      <c r="O216" s="114"/>
      <c r="P216" s="159"/>
      <c r="Q216" s="543"/>
      <c r="R216" s="159"/>
      <c r="S216" s="159"/>
      <c r="T216" s="159"/>
      <c r="U216" s="515"/>
      <c r="V216" s="515"/>
      <c r="W216" s="515"/>
      <c r="X216" s="515"/>
      <c r="Y216" s="515"/>
      <c r="Z216" s="515"/>
      <c r="AA216" s="542"/>
      <c r="AB216" s="542"/>
    </row>
    <row r="217" spans="1:28" s="160" customFormat="1" ht="18.75" x14ac:dyDescent="0.25">
      <c r="A217" s="218"/>
      <c r="B217" s="201"/>
      <c r="C217" s="201"/>
      <c r="D217" s="201"/>
      <c r="E217" s="201"/>
      <c r="F217" s="219">
        <f>CORNSOLDTBL44[[#This Row],[Price]]*CORNSOLDTBL44[[#This Row],[TOT BU]]</f>
        <v>0</v>
      </c>
      <c r="G217" s="203"/>
      <c r="H217" s="216"/>
      <c r="I217" s="212">
        <f>CORNSOLDTBL44[[#This Row],[TOT $]]+CORNSOLDTBL44[[#This Row],[DEDUCTIONS]]</f>
        <v>0</v>
      </c>
      <c r="J217" s="142"/>
      <c r="K217" s="142"/>
      <c r="L217" s="114"/>
      <c r="M217" s="114"/>
      <c r="N217" s="114"/>
      <c r="O217" s="114"/>
      <c r="P217" s="159"/>
      <c r="Q217" s="543"/>
      <c r="R217" s="159"/>
      <c r="S217" s="159"/>
      <c r="T217" s="159"/>
      <c r="U217" s="515"/>
      <c r="V217" s="515"/>
      <c r="W217" s="515"/>
      <c r="X217" s="515"/>
      <c r="Y217" s="515"/>
      <c r="Z217" s="515"/>
      <c r="AA217" s="542"/>
      <c r="AB217" s="542"/>
    </row>
    <row r="218" spans="1:28" s="160" customFormat="1" ht="18.75" x14ac:dyDescent="0.25">
      <c r="A218" s="218"/>
      <c r="B218" s="201"/>
      <c r="C218" s="201"/>
      <c r="D218" s="201"/>
      <c r="E218" s="201"/>
      <c r="F218" s="219">
        <f>CORNSOLDTBL44[[#This Row],[Price]]*CORNSOLDTBL44[[#This Row],[TOT BU]]</f>
        <v>0</v>
      </c>
      <c r="G218" s="203"/>
      <c r="H218" s="216"/>
      <c r="I218" s="212">
        <f>CORNSOLDTBL44[[#This Row],[TOT $]]+CORNSOLDTBL44[[#This Row],[DEDUCTIONS]]</f>
        <v>0</v>
      </c>
      <c r="J218" s="142"/>
      <c r="K218" s="142"/>
      <c r="L218" s="114"/>
      <c r="M218" s="114"/>
      <c r="N218" s="114"/>
      <c r="O218" s="114"/>
      <c r="P218" s="159"/>
      <c r="Q218" s="543"/>
      <c r="R218" s="159"/>
      <c r="S218" s="159"/>
      <c r="T218" s="159"/>
      <c r="U218" s="515"/>
      <c r="V218" s="515"/>
      <c r="W218" s="515"/>
      <c r="X218" s="515"/>
      <c r="Y218" s="515"/>
      <c r="Z218" s="515"/>
      <c r="AA218" s="542"/>
      <c r="AB218" s="542"/>
    </row>
    <row r="219" spans="1:28" s="160" customFormat="1" ht="18.75" x14ac:dyDescent="0.25">
      <c r="A219" s="200"/>
      <c r="B219" s="201"/>
      <c r="C219" s="201"/>
      <c r="D219" s="201"/>
      <c r="E219" s="201"/>
      <c r="F219" s="210">
        <f>CORNSOLDTBL44[[#This Row],[Price]]*CORNSOLDTBL44[[#This Row],[TOT BU]]</f>
        <v>0</v>
      </c>
      <c r="G219" s="202"/>
      <c r="H219" s="217"/>
      <c r="I219" s="213">
        <f>CORNSOLDTBL44[[#This Row],[TOT $]]+CORNSOLDTBL44[[#This Row],[DEDUCTIONS]]</f>
        <v>0</v>
      </c>
      <c r="J219" s="114"/>
      <c r="K219" s="114"/>
      <c r="L219" s="114"/>
      <c r="M219" s="114"/>
      <c r="N219" s="114"/>
      <c r="O219" s="114"/>
      <c r="P219" s="159"/>
      <c r="Q219" s="543"/>
      <c r="R219" s="159"/>
      <c r="S219" s="159"/>
      <c r="T219" s="159"/>
      <c r="U219" s="515"/>
      <c r="V219" s="515"/>
      <c r="W219" s="515"/>
      <c r="X219" s="515"/>
      <c r="Y219" s="515"/>
      <c r="Z219" s="515"/>
      <c r="AA219" s="542"/>
      <c r="AB219" s="542"/>
    </row>
    <row r="220" spans="1:28" s="160" customFormat="1" ht="18.75" x14ac:dyDescent="0.25">
      <c r="A220" s="200"/>
      <c r="B220" s="201"/>
      <c r="C220" s="201"/>
      <c r="D220" s="200"/>
      <c r="E220" s="201"/>
      <c r="F220" s="411"/>
      <c r="G220" s="209"/>
      <c r="H220" s="412"/>
      <c r="I220" s="412">
        <f>SUBTOTAL(109,CORNSOLDTBL44[PAID BUSHELS])</f>
        <v>19354.910799999998</v>
      </c>
      <c r="J220" s="114"/>
      <c r="K220" s="114"/>
      <c r="L220" s="114"/>
      <c r="M220" s="114"/>
      <c r="N220" s="114"/>
      <c r="O220" s="114"/>
      <c r="P220" s="159"/>
      <c r="Q220" s="543"/>
      <c r="R220" s="159"/>
      <c r="S220" s="159"/>
      <c r="T220" s="159"/>
      <c r="U220" s="515"/>
      <c r="V220" s="515"/>
      <c r="W220" s="515"/>
      <c r="X220" s="515"/>
      <c r="Y220" s="515"/>
      <c r="Z220" s="515"/>
      <c r="AA220" s="542"/>
      <c r="AB220" s="542"/>
    </row>
    <row r="221" spans="1:28" ht="18.75" x14ac:dyDescent="0.25">
      <c r="A221" s="507"/>
      <c r="B221" s="507"/>
      <c r="C221" s="507"/>
      <c r="D221" s="507"/>
      <c r="E221" s="507"/>
      <c r="F221" s="114"/>
      <c r="G221" s="114"/>
      <c r="H221" s="114"/>
      <c r="I221" s="114"/>
      <c r="J221" s="114"/>
      <c r="K221" s="114"/>
      <c r="L221" s="114"/>
      <c r="M221" s="114"/>
      <c r="N221" s="114"/>
      <c r="O221" s="114"/>
      <c r="P221" s="159"/>
      <c r="Q221" s="543"/>
      <c r="R221" s="159"/>
      <c r="S221" s="159"/>
      <c r="T221" s="159"/>
      <c r="U221" s="515"/>
      <c r="V221" s="515"/>
      <c r="W221" s="515"/>
      <c r="X221" s="515"/>
      <c r="Y221" s="515"/>
      <c r="Z221" s="515"/>
      <c r="AA221" s="542"/>
      <c r="AB221" s="542"/>
    </row>
    <row r="222" spans="1:28" ht="18.75" x14ac:dyDescent="0.25">
      <c r="A222" s="507"/>
      <c r="B222" s="507"/>
      <c r="C222" s="507"/>
      <c r="D222" s="507"/>
      <c r="E222" s="507"/>
      <c r="F222" s="114"/>
      <c r="G222" s="114"/>
      <c r="H222" s="114"/>
      <c r="I222" s="114"/>
      <c r="J222" s="114"/>
      <c r="K222" s="114"/>
      <c r="L222" s="114"/>
      <c r="M222" s="114"/>
      <c r="N222" s="114"/>
      <c r="O222" s="114"/>
      <c r="P222" s="159"/>
      <c r="Q222" s="543"/>
      <c r="R222" s="159"/>
      <c r="S222" s="159"/>
      <c r="T222" s="159"/>
      <c r="U222" s="515"/>
      <c r="V222" s="515"/>
      <c r="W222" s="515"/>
      <c r="X222" s="515"/>
      <c r="Y222" s="515"/>
      <c r="Z222" s="515"/>
      <c r="AA222" s="542"/>
      <c r="AB222" s="542"/>
    </row>
    <row r="223" spans="1:28" ht="15" customHeight="1" x14ac:dyDescent="0.25">
      <c r="A223" s="732" t="s">
        <v>621</v>
      </c>
      <c r="B223" s="732"/>
      <c r="C223" s="732"/>
      <c r="D223" s="732"/>
      <c r="E223" s="732"/>
      <c r="F223" s="732"/>
      <c r="G223" s="732"/>
      <c r="H223" s="732"/>
      <c r="I223" s="732"/>
      <c r="J223" s="732"/>
      <c r="K223" s="732"/>
      <c r="L223" s="732"/>
      <c r="M223" s="732"/>
      <c r="N223" s="732"/>
      <c r="O223" s="732"/>
      <c r="P223" s="732"/>
      <c r="Q223" s="732"/>
      <c r="R223" s="507"/>
      <c r="S223" s="507"/>
      <c r="T223" s="507"/>
      <c r="U223" s="507"/>
      <c r="V223" s="507"/>
      <c r="W223" s="507"/>
      <c r="X223" s="507"/>
      <c r="Y223" s="507"/>
      <c r="Z223" s="507"/>
      <c r="AA223" s="549"/>
      <c r="AB223" s="549"/>
    </row>
    <row r="224" spans="1:28" s="160" customFormat="1" ht="36" customHeight="1" x14ac:dyDescent="0.25">
      <c r="A224" s="732"/>
      <c r="B224" s="732"/>
      <c r="C224" s="732"/>
      <c r="D224" s="732"/>
      <c r="E224" s="732"/>
      <c r="F224" s="732"/>
      <c r="G224" s="732"/>
      <c r="H224" s="732"/>
      <c r="I224" s="732"/>
      <c r="J224" s="732"/>
      <c r="K224" s="732"/>
      <c r="L224" s="732"/>
      <c r="M224" s="732"/>
      <c r="N224" s="732"/>
      <c r="O224" s="732"/>
      <c r="P224" s="732"/>
      <c r="Q224" s="732"/>
      <c r="R224" s="507"/>
      <c r="S224" s="507"/>
      <c r="T224" s="507"/>
      <c r="U224" s="507"/>
      <c r="V224" s="507"/>
      <c r="W224" s="507"/>
      <c r="X224" s="507"/>
      <c r="Y224" s="507"/>
      <c r="Z224" s="507"/>
      <c r="AA224" s="549"/>
      <c r="AB224" s="549"/>
    </row>
    <row r="225" spans="1:28" s="160" customFormat="1" x14ac:dyDescent="0.25">
      <c r="A225" s="506" t="s">
        <v>481</v>
      </c>
      <c r="B225" s="506" t="s">
        <v>482</v>
      </c>
      <c r="C225" s="506" t="s">
        <v>118</v>
      </c>
      <c r="D225" s="506" t="s">
        <v>119</v>
      </c>
      <c r="E225" s="506" t="s">
        <v>483</v>
      </c>
      <c r="F225" s="506" t="s">
        <v>484</v>
      </c>
      <c r="G225" s="506" t="s">
        <v>485</v>
      </c>
      <c r="H225" s="506" t="s">
        <v>477</v>
      </c>
      <c r="I225" s="506" t="s">
        <v>478</v>
      </c>
      <c r="J225" s="506" t="s">
        <v>486</v>
      </c>
      <c r="K225" s="506" t="s">
        <v>600</v>
      </c>
      <c r="L225" s="506" t="s">
        <v>622</v>
      </c>
      <c r="M225" s="506" t="s">
        <v>623</v>
      </c>
      <c r="N225" s="506" t="s">
        <v>556</v>
      </c>
      <c r="O225" s="506" t="s">
        <v>624</v>
      </c>
      <c r="P225" s="506" t="s">
        <v>553</v>
      </c>
      <c r="Q225" s="506" t="s">
        <v>335</v>
      </c>
      <c r="R225" s="507"/>
      <c r="S225" s="507"/>
      <c r="T225" s="507"/>
      <c r="U225" s="507"/>
      <c r="V225" s="507"/>
      <c r="W225" s="507"/>
      <c r="X225" s="507"/>
      <c r="Y225" s="507"/>
      <c r="Z225" s="507"/>
      <c r="AA225" s="549"/>
      <c r="AB225" s="549"/>
    </row>
    <row r="226" spans="1:28" s="160" customFormat="1" ht="15.75" x14ac:dyDescent="0.25">
      <c r="A226" s="568" t="s">
        <v>20</v>
      </c>
      <c r="B226" s="568" t="s">
        <v>21</v>
      </c>
      <c r="C226" s="637" t="s">
        <v>160</v>
      </c>
      <c r="D226" s="99">
        <f>IFERROR((VLOOKUP(Table11172541[[#This Row],[Field]],FIELDACRE,2,FALSE)),"")</f>
        <v>48.2</v>
      </c>
      <c r="E226" s="99" t="str">
        <f>IFERROR(VLOOKUP(Table11172541[[#This Row],[Field]],FIELDACRE,3,FALSE),"")</f>
        <v>E2 7-9-46</v>
      </c>
      <c r="F226" s="99">
        <f>IFERROR(VLOOKUP(Table11172541[[#This Row],[Field]],FIELDACRE,4,FALSE),"")</f>
        <v>3939</v>
      </c>
      <c r="G226" s="99">
        <f>IFERROR(VLOOKUP(Table11172541[[#This Row],[Field]],FIELDACRE,5,FALSE),"")</f>
        <v>3938</v>
      </c>
      <c r="H226" s="99" t="s">
        <v>289</v>
      </c>
      <c r="I226" s="99"/>
      <c r="J226" s="99">
        <f>IFERROR(((Table11172541[[#This Row],[TOT '#]]/2000)/Table11172541[[#This Row],[Acres]]),"-")</f>
        <v>3.3609958506224062</v>
      </c>
      <c r="K226" s="463">
        <v>324000</v>
      </c>
      <c r="L226" s="99"/>
      <c r="M226" s="198">
        <f>SUMIFS(EXPENSETBL45[$M.E.],EXPENSETBL45[FIELD],Table11172541[[#This Row],[Field]],EXPENSETBL45[CROP],Table11172541[[#This Row],[Crop]],EXPENSETBL45[YEAR],Table11172541[[#This Row],[YEAR]])</f>
        <v>0</v>
      </c>
      <c r="N226" s="198">
        <f>SUMIFS(EXPENSETBL45[$L.L.],EXPENSETBL45[FIELD],Table11172541[[#This Row],[Field]],EXPENSETBL45[CROP],Table11172541[[#This Row],[Crop]],EXPENSETBL45[YEAR],Table11172541[[#This Row],[YEAR]])</f>
        <v>0</v>
      </c>
      <c r="O226" s="198">
        <f>SUMIFS(EXPENSETBL45[TOTAL],EXPENSETBL45[FIELD],Table11172541[[#This Row],[Field]],EXPENSETBL45[CROP],Table11172541[[#This Row],[Crop]],EXPENSETBL45[YEAR],Table11172541[[#This Row],[YEAR]])</f>
        <v>0</v>
      </c>
      <c r="P226" s="198">
        <f>((Table11172541[[#This Row],[TOT EXP$]]/Table11172541[[#This Row],[Yield/ Acre]])/Table11172541[[#This Row],[Acres]])</f>
        <v>0</v>
      </c>
      <c r="Q226" s="467">
        <v>2023</v>
      </c>
      <c r="R226" s="515"/>
      <c r="S226" s="515"/>
      <c r="T226" s="515"/>
      <c r="U226" s="515"/>
      <c r="V226" s="515"/>
      <c r="W226" s="515"/>
      <c r="X226" s="515"/>
      <c r="Y226" s="515"/>
      <c r="Z226" s="515"/>
      <c r="AA226" s="542"/>
      <c r="AB226" s="542"/>
    </row>
    <row r="227" spans="1:28" s="160" customFormat="1" ht="15.75" x14ac:dyDescent="0.25">
      <c r="A227" s="568" t="s">
        <v>20</v>
      </c>
      <c r="B227" s="568" t="s">
        <v>26</v>
      </c>
      <c r="C227" s="568" t="s">
        <v>193</v>
      </c>
      <c r="D227" s="99">
        <f>IFERROR((VLOOKUP(Table11172541[[#This Row],[Field]],FIELDACRE,2,FALSE)),"")</f>
        <v>107.9</v>
      </c>
      <c r="E227" s="99" t="str">
        <f>IFERROR(VLOOKUP(Table11172541[[#This Row],[Field]],FIELDACRE,3,FALSE),"")</f>
        <v>NW13-9-47</v>
      </c>
      <c r="F227" s="99">
        <f>IFERROR(VLOOKUP(Table11172541[[#This Row],[Field]],FIELDACRE,4,FALSE),"")</f>
        <v>0</v>
      </c>
      <c r="G227" s="99">
        <f>IFERROR(VLOOKUP(Table11172541[[#This Row],[Field]],FIELDACRE,5,FALSE),"")</f>
        <v>0</v>
      </c>
      <c r="H227" s="99" t="s">
        <v>289</v>
      </c>
      <c r="I227" s="99"/>
      <c r="J227" s="99" t="str">
        <f>IFERROR(((Table11172541[[#This Row],[TOT '#]]/2000)/Table11172541[[#This Row],[Acres]]),"-")</f>
        <v>-</v>
      </c>
      <c r="K227" s="463" t="e">
        <f>SUMIF(#REF!,Table11172541[[#This Row],[Field]],#REF!)</f>
        <v>#REF!</v>
      </c>
      <c r="L227" s="99"/>
      <c r="M227" s="198">
        <f>SUMIFS(EXPENSETBL45[$M.E.],EXPENSETBL45[FIELD],Table11172541[[#This Row],[Field]],EXPENSETBL45[CROP],Table11172541[[#This Row],[Crop]],EXPENSETBL45[YEAR],Table11172541[[#This Row],[YEAR]])</f>
        <v>0</v>
      </c>
      <c r="N227" s="198">
        <f>SUMIFS(EXPENSETBL45[$L.L.],EXPENSETBL45[FIELD],Table11172541[[#This Row],[Field]],EXPENSETBL45[CROP],Table11172541[[#This Row],[Crop]],EXPENSETBL45[YEAR],Table11172541[[#This Row],[YEAR]])</f>
        <v>0</v>
      </c>
      <c r="O227" s="198">
        <f>SUMIFS(EXPENSETBL45[TOTAL],EXPENSETBL45[FIELD],Table11172541[[#This Row],[Field]],EXPENSETBL45[CROP],Table11172541[[#This Row],[Crop]],EXPENSETBL45[YEAR],Table11172541[[#This Row],[YEAR]])</f>
        <v>0</v>
      </c>
      <c r="P227" s="198" t="e">
        <f>((Table11172541[[#This Row],[TOT EXP$]]/Table11172541[[#This Row],[Yield/ Acre]])/Table11172541[[#This Row],[Acres]])</f>
        <v>#VALUE!</v>
      </c>
      <c r="Q227" s="468"/>
      <c r="R227" s="515"/>
      <c r="S227" s="515"/>
      <c r="T227" s="515"/>
      <c r="U227" s="515"/>
      <c r="V227" s="515"/>
      <c r="W227" s="515"/>
      <c r="X227" s="515"/>
      <c r="Y227" s="515"/>
      <c r="Z227" s="515"/>
      <c r="AA227" s="542"/>
      <c r="AB227" s="542"/>
    </row>
    <row r="228" spans="1:28" s="160" customFormat="1" ht="15.75" x14ac:dyDescent="0.25">
      <c r="A228" s="568" t="s">
        <v>20</v>
      </c>
      <c r="B228" s="568" t="s">
        <v>26</v>
      </c>
      <c r="C228" s="637" t="s">
        <v>625</v>
      </c>
      <c r="D228" s="99" t="str">
        <f>IFERROR((VLOOKUP(Table11172541[[#This Row],[Field]],FIELDACRE,2,FALSE)),"")</f>
        <v/>
      </c>
      <c r="E228" s="99" t="str">
        <f>IFERROR(VLOOKUP(Table11172541[[#This Row],[Field]],FIELDACRE,3,FALSE),"")</f>
        <v/>
      </c>
      <c r="F228" s="99" t="str">
        <f>IFERROR(VLOOKUP(Table11172541[[#This Row],[Field]],FIELDACRE,4,FALSE),"")</f>
        <v/>
      </c>
      <c r="G228" s="99" t="str">
        <f>IFERROR(VLOOKUP(Table11172541[[#This Row],[Field]],FIELDACRE,5,FALSE),"")</f>
        <v/>
      </c>
      <c r="H228" s="99" t="s">
        <v>289</v>
      </c>
      <c r="I228" s="99"/>
      <c r="J228" s="99" t="str">
        <f>IFERROR(((Table11172541[[#This Row],[TOT '#]]/2000)/Table11172541[[#This Row],[Acres]]),"-")</f>
        <v>-</v>
      </c>
      <c r="K228" s="463" t="e">
        <f>SUMIF(#REF!,Table11172541[[#This Row],[Field]],#REF!)</f>
        <v>#REF!</v>
      </c>
      <c r="L228" s="99"/>
      <c r="M228" s="198">
        <f>SUMIFS(EXPENSETBL45[$M.E.],EXPENSETBL45[FIELD],Table11172541[[#This Row],[Field]],EXPENSETBL45[CROP],Table11172541[[#This Row],[Crop]],EXPENSETBL45[YEAR],Table11172541[[#This Row],[YEAR]])</f>
        <v>0</v>
      </c>
      <c r="N228" s="198">
        <f>SUMIFS(EXPENSETBL45[$L.L.],EXPENSETBL45[FIELD],Table11172541[[#This Row],[Field]],EXPENSETBL45[CROP],Table11172541[[#This Row],[Crop]],EXPENSETBL45[YEAR],Table11172541[[#This Row],[YEAR]])</f>
        <v>0</v>
      </c>
      <c r="O228" s="198">
        <f>SUMIFS(EXPENSETBL45[TOTAL],EXPENSETBL45[FIELD],Table11172541[[#This Row],[Field]],EXPENSETBL45[CROP],Table11172541[[#This Row],[Crop]],EXPENSETBL45[YEAR],Table11172541[[#This Row],[YEAR]])</f>
        <v>0</v>
      </c>
      <c r="P228" s="198" t="e">
        <f>((Table11172541[[#This Row],[TOT EXP$]]/Table11172541[[#This Row],[Yield/ Acre]])/Table11172541[[#This Row],[Acres]])</f>
        <v>#VALUE!</v>
      </c>
      <c r="Q228" s="468"/>
      <c r="R228" s="515"/>
      <c r="S228" s="515"/>
      <c r="T228" s="515"/>
      <c r="U228" s="515"/>
      <c r="V228" s="515"/>
      <c r="W228" s="515"/>
      <c r="X228" s="515"/>
      <c r="Y228" s="515"/>
      <c r="Z228" s="515"/>
      <c r="AA228" s="542"/>
      <c r="AB228" s="542"/>
    </row>
    <row r="229" spans="1:28" s="160" customFormat="1" ht="15.75" x14ac:dyDescent="0.25">
      <c r="A229" s="568" t="s">
        <v>20</v>
      </c>
      <c r="B229" s="568" t="s">
        <v>26</v>
      </c>
      <c r="C229" s="637" t="s">
        <v>626</v>
      </c>
      <c r="D229" s="99" t="str">
        <f>IFERROR((VLOOKUP(Table11172541[[#This Row],[Field]],FIELDACRE,2,FALSE)),"")</f>
        <v/>
      </c>
      <c r="E229" s="99" t="str">
        <f>IFERROR(VLOOKUP(Table11172541[[#This Row],[Field]],FIELDACRE,3,FALSE),"")</f>
        <v/>
      </c>
      <c r="F229" s="99" t="str">
        <f>IFERROR(VLOOKUP(Table11172541[[#This Row],[Field]],FIELDACRE,4,FALSE),"")</f>
        <v/>
      </c>
      <c r="G229" s="99" t="str">
        <f>IFERROR(VLOOKUP(Table11172541[[#This Row],[Field]],FIELDACRE,5,FALSE),"")</f>
        <v/>
      </c>
      <c r="H229" s="99" t="s">
        <v>289</v>
      </c>
      <c r="I229" s="99"/>
      <c r="J229" s="99" t="str">
        <f>IFERROR(((Table11172541[[#This Row],[TOT '#]]/2000)/Table11172541[[#This Row],[Acres]]),"-")</f>
        <v>-</v>
      </c>
      <c r="K229" s="463" t="e">
        <f>SUMIF(#REF!,Table11172541[[#This Row],[Field]],#REF!)</f>
        <v>#REF!</v>
      </c>
      <c r="L229" s="99"/>
      <c r="M229" s="198">
        <f>SUMIFS(EXPENSETBL45[$M.E.],EXPENSETBL45[FIELD],Table11172541[[#This Row],[Field]],EXPENSETBL45[CROP],Table11172541[[#This Row],[Crop]],EXPENSETBL45[YEAR],Table11172541[[#This Row],[YEAR]])</f>
        <v>0</v>
      </c>
      <c r="N229" s="198">
        <f>SUMIFS(EXPENSETBL45[$L.L.],EXPENSETBL45[FIELD],Table11172541[[#This Row],[Field]],EXPENSETBL45[CROP],Table11172541[[#This Row],[Crop]],EXPENSETBL45[YEAR],Table11172541[[#This Row],[YEAR]])</f>
        <v>0</v>
      </c>
      <c r="O229" s="198">
        <f>SUMIFS(EXPENSETBL45[TOTAL],EXPENSETBL45[FIELD],Table11172541[[#This Row],[Field]],EXPENSETBL45[CROP],Table11172541[[#This Row],[Crop]],EXPENSETBL45[YEAR],Table11172541[[#This Row],[YEAR]])</f>
        <v>0</v>
      </c>
      <c r="P229" s="198" t="e">
        <f>((Table11172541[[#This Row],[TOT EXP$]]/Table11172541[[#This Row],[Yield/ Acre]])/Table11172541[[#This Row],[Acres]])</f>
        <v>#VALUE!</v>
      </c>
      <c r="Q229" s="468"/>
      <c r="R229" s="515"/>
      <c r="S229" s="515"/>
      <c r="T229" s="515"/>
      <c r="U229" s="515"/>
      <c r="V229" s="515"/>
      <c r="W229" s="515"/>
      <c r="X229" s="515"/>
      <c r="Y229" s="515"/>
      <c r="Z229" s="515"/>
      <c r="AA229" s="542"/>
      <c r="AB229" s="542"/>
    </row>
    <row r="230" spans="1:28" s="160" customFormat="1" ht="15.75" x14ac:dyDescent="0.25">
      <c r="A230" s="568" t="s">
        <v>20</v>
      </c>
      <c r="B230" s="568" t="s">
        <v>26</v>
      </c>
      <c r="C230" s="568" t="s">
        <v>180</v>
      </c>
      <c r="D230" s="99">
        <f>IFERROR((VLOOKUP(Table11172541[[#This Row],[Field]],FIELDACRE,2,FALSE)),"")</f>
        <v>44.69</v>
      </c>
      <c r="E230" s="99" t="str">
        <f>IFERROR(VLOOKUP(Table11172541[[#This Row],[Field]],FIELDACRE,3,FALSE),"")</f>
        <v>NE 17-6-47</v>
      </c>
      <c r="F230" s="99">
        <f>IFERROR(VLOOKUP(Table11172541[[#This Row],[Field]],FIELDACRE,4,FALSE),"")</f>
        <v>3720</v>
      </c>
      <c r="G230" s="99">
        <f>IFERROR(VLOOKUP(Table11172541[[#This Row],[Field]],FIELDACRE,5,FALSE),"")</f>
        <v>3815</v>
      </c>
      <c r="H230" s="99" t="s">
        <v>292</v>
      </c>
      <c r="I230" s="99"/>
      <c r="J230" s="99" t="str">
        <f>IFERROR(((Table11172541[[#This Row],[TOT '#]]/2000)/Table11172541[[#This Row],[Acres]]),"-")</f>
        <v>-</v>
      </c>
      <c r="K230" s="463" t="e">
        <f>SUMIF(#REF!,Table11172541[[#This Row],[Field]],#REF!)</f>
        <v>#REF!</v>
      </c>
      <c r="L230" s="99"/>
      <c r="M230" s="198">
        <f>SUMIFS(EXPENSETBL45[$M.E.],EXPENSETBL45[FIELD],Table11172541[[#This Row],[Field]],EXPENSETBL45[CROP],Table11172541[[#This Row],[Crop]],EXPENSETBL45[YEAR],Table11172541[[#This Row],[YEAR]])</f>
        <v>0</v>
      </c>
      <c r="N230" s="198">
        <f>SUMIFS(EXPENSETBL45[$L.L.],EXPENSETBL45[FIELD],Table11172541[[#This Row],[Field]],EXPENSETBL45[CROP],Table11172541[[#This Row],[Crop]],EXPENSETBL45[YEAR],Table11172541[[#This Row],[YEAR]])</f>
        <v>0</v>
      </c>
      <c r="O230" s="198">
        <f>SUMIFS(EXPENSETBL45[TOTAL],EXPENSETBL45[FIELD],Table11172541[[#This Row],[Field]],EXPENSETBL45[CROP],Table11172541[[#This Row],[Crop]],EXPENSETBL45[YEAR],Table11172541[[#This Row],[YEAR]])</f>
        <v>0</v>
      </c>
      <c r="P230" s="198" t="e">
        <f>((Table11172541[[#This Row],[TOT EXP$]]/Table11172541[[#This Row],[Yield/ Acre]])/Table11172541[[#This Row],[Acres]])</f>
        <v>#VALUE!</v>
      </c>
      <c r="Q230" s="468"/>
      <c r="R230" s="515"/>
      <c r="S230" s="515"/>
      <c r="T230" s="515"/>
      <c r="U230" s="515"/>
      <c r="V230" s="515"/>
      <c r="W230" s="515"/>
      <c r="X230" s="515"/>
      <c r="Y230" s="515"/>
      <c r="Z230" s="515"/>
      <c r="AA230" s="542"/>
      <c r="AB230" s="542"/>
    </row>
    <row r="231" spans="1:28" s="160" customFormat="1" ht="15.75" x14ac:dyDescent="0.25">
      <c r="A231" s="568" t="s">
        <v>20</v>
      </c>
      <c r="B231" s="568" t="s">
        <v>26</v>
      </c>
      <c r="C231" s="568" t="s">
        <v>171</v>
      </c>
      <c r="D231" s="99">
        <f>IFERROR((VLOOKUP(Table11172541[[#This Row],[Field]],FIELDACRE,2,FALSE)),"")</f>
        <v>64.8</v>
      </c>
      <c r="E231" s="99" t="str">
        <f>IFERROR(VLOOKUP(Table11172541[[#This Row],[Field]],FIELDACRE,3,FALSE),"")</f>
        <v>N/2 17-6-47</v>
      </c>
      <c r="F231" s="99">
        <f>IFERROR(VLOOKUP(Table11172541[[#This Row],[Field]],FIELDACRE,4,FALSE),"")</f>
        <v>3720</v>
      </c>
      <c r="G231" s="99">
        <f>IFERROR(VLOOKUP(Table11172541[[#This Row],[Field]],FIELDACRE,5,FALSE),"")</f>
        <v>3815</v>
      </c>
      <c r="H231" s="99" t="s">
        <v>293</v>
      </c>
      <c r="I231" s="99"/>
      <c r="J231" s="99">
        <f>IFERROR(((Table11172541[[#This Row],[TOT '#]]/2000)/Table11172541[[#This Row],[Acres]]),"-")</f>
        <v>1.7241512345679013</v>
      </c>
      <c r="K231" s="463">
        <v>223450</v>
      </c>
      <c r="L231" s="99"/>
      <c r="M231" s="198">
        <f>SUMIFS(EXPENSETBL45[$M.E.],EXPENSETBL45[FIELD],Table11172541[[#This Row],[Field]],EXPENSETBL45[CROP],Table11172541[[#This Row],[Crop]],EXPENSETBL45[YEAR],Table11172541[[#This Row],[YEAR]])</f>
        <v>0</v>
      </c>
      <c r="N231" s="198">
        <f>SUMIFS(EXPENSETBL45[$L.L.],EXPENSETBL45[FIELD],Table11172541[[#This Row],[Field]],EXPENSETBL45[CROP],Table11172541[[#This Row],[Crop]],EXPENSETBL45[YEAR],Table11172541[[#This Row],[YEAR]])</f>
        <v>0</v>
      </c>
      <c r="O231" s="198">
        <f>SUMIFS(EXPENSETBL45[TOTAL],EXPENSETBL45[FIELD],Table11172541[[#This Row],[Field]],EXPENSETBL45[CROP],Table11172541[[#This Row],[Crop]],EXPENSETBL45[YEAR],Table11172541[[#This Row],[YEAR]])</f>
        <v>0</v>
      </c>
      <c r="P231" s="198">
        <f>((Table11172541[[#This Row],[TOT EXP$]]/Table11172541[[#This Row],[Yield/ Acre]])/Table11172541[[#This Row],[Acres]])</f>
        <v>0</v>
      </c>
      <c r="Q231" s="468">
        <v>2023</v>
      </c>
      <c r="R231" s="515"/>
      <c r="S231" s="515"/>
      <c r="T231" s="515"/>
      <c r="U231" s="515"/>
      <c r="V231" s="515"/>
      <c r="W231" s="515"/>
      <c r="X231" s="515"/>
      <c r="Y231" s="515"/>
      <c r="Z231" s="515"/>
      <c r="AA231" s="542"/>
      <c r="AB231" s="542"/>
    </row>
    <row r="232" spans="1:28" s="160" customFormat="1" ht="15.75" x14ac:dyDescent="0.25">
      <c r="A232" s="645" t="s">
        <v>20</v>
      </c>
      <c r="B232" s="645" t="s">
        <v>26</v>
      </c>
      <c r="C232" s="645" t="s">
        <v>182</v>
      </c>
      <c r="D232" s="99">
        <f>IFERROR((VLOOKUP(Table11172541[[#This Row],[Field]],FIELDACRE,2,FALSE)),"")</f>
        <v>160</v>
      </c>
      <c r="E232" s="99" t="str">
        <f>IFERROR(VLOOKUP(Table11172541[[#This Row],[Field]],FIELDACRE,3,FALSE),"")</f>
        <v>N2 17-6-47</v>
      </c>
      <c r="F232" s="99">
        <f>IFERROR(VLOOKUP(Table11172541[[#This Row],[Field]],FIELDACRE,4,FALSE),"")</f>
        <v>3720</v>
      </c>
      <c r="G232" s="99">
        <f>IFERROR(VLOOKUP(Table11172541[[#This Row],[Field]],FIELDACRE,5,FALSE),"")</f>
        <v>3815</v>
      </c>
      <c r="H232" s="99" t="s">
        <v>293</v>
      </c>
      <c r="I232" s="99"/>
      <c r="J232" s="99">
        <f>IFERROR(((Table11172541[[#This Row],[TOT '#]]/2000)/Table11172541[[#This Row],[Acres]]),"-")</f>
        <v>2.5</v>
      </c>
      <c r="K232" s="463">
        <v>800000</v>
      </c>
      <c r="L232" s="99"/>
      <c r="M232" s="198">
        <f>SUMIFS(EXPENSETBL45[$M.E.],EXPENSETBL45[FIELD],Table11172541[[#This Row],[Field]],EXPENSETBL45[CROP],Table11172541[[#This Row],[Crop]],EXPENSETBL45[YEAR],Table11172541[[#This Row],[YEAR]])</f>
        <v>0</v>
      </c>
      <c r="N232" s="198">
        <f>SUMIFS(EXPENSETBL45[$L.L.],EXPENSETBL45[FIELD],Table11172541[[#This Row],[Field]],EXPENSETBL45[CROP],Table11172541[[#This Row],[Crop]],EXPENSETBL45[YEAR],Table11172541[[#This Row],[YEAR]])</f>
        <v>0</v>
      </c>
      <c r="O232" s="198">
        <f>SUMIFS(EXPENSETBL45[TOTAL],EXPENSETBL45[FIELD],Table11172541[[#This Row],[Field]],EXPENSETBL45[CROP],Table11172541[[#This Row],[Crop]],EXPENSETBL45[YEAR],Table11172541[[#This Row],[YEAR]])</f>
        <v>0</v>
      </c>
      <c r="P232" s="198">
        <f>((Table11172541[[#This Row],[TOT EXP$]]/Table11172541[[#This Row],[Yield/ Acre]])/Table11172541[[#This Row],[Acres]])</f>
        <v>0</v>
      </c>
      <c r="Q232" s="468">
        <v>2023</v>
      </c>
      <c r="R232" s="515"/>
      <c r="S232" s="515"/>
      <c r="T232" s="515"/>
      <c r="U232" s="515"/>
      <c r="V232" s="515"/>
      <c r="W232" s="515"/>
      <c r="X232" s="515"/>
      <c r="Y232" s="515"/>
      <c r="Z232" s="515"/>
      <c r="AA232" s="542"/>
      <c r="AB232" s="542"/>
    </row>
    <row r="233" spans="1:28" ht="18.75" x14ac:dyDescent="0.25">
      <c r="A233" s="103" t="s">
        <v>38</v>
      </c>
      <c r="B233" s="103"/>
      <c r="C233" s="103"/>
      <c r="D233" s="103">
        <f>SUBTOTAL(109,Table11172541[Acres])</f>
        <v>425.59000000000003</v>
      </c>
      <c r="E233" s="103"/>
      <c r="F233" s="103"/>
      <c r="G233" s="103"/>
      <c r="H233" s="114"/>
      <c r="I233" s="103"/>
      <c r="J233" s="103">
        <f>SUBTOTAL(101,Table11172541[Yield/ Acre])</f>
        <v>2.5283823617301024</v>
      </c>
      <c r="K233" s="103"/>
      <c r="L233" s="103"/>
      <c r="M233" s="103"/>
      <c r="N233" s="103"/>
      <c r="O233" s="145"/>
      <c r="P233" s="145"/>
      <c r="Q233" s="145"/>
      <c r="R233" s="515"/>
      <c r="S233" s="515"/>
      <c r="T233" s="515"/>
      <c r="U233" s="515"/>
      <c r="V233" s="515"/>
      <c r="W233" s="515"/>
      <c r="X233" s="515"/>
      <c r="Y233" s="515"/>
      <c r="Z233" s="515"/>
      <c r="AA233" s="542"/>
      <c r="AB233" s="542"/>
    </row>
    <row r="234" spans="1:28" ht="15.75" thickBot="1" x14ac:dyDescent="0.3">
      <c r="A234" s="507"/>
      <c r="B234" s="507"/>
      <c r="C234" s="507" t="s">
        <v>627</v>
      </c>
      <c r="D234" s="507"/>
      <c r="E234" s="507"/>
      <c r="F234" s="507"/>
      <c r="G234" s="507"/>
      <c r="H234" s="507"/>
      <c r="I234" s="507"/>
      <c r="J234" s="507"/>
      <c r="K234" s="507"/>
      <c r="L234" s="507"/>
      <c r="M234" s="507"/>
      <c r="N234" s="507"/>
      <c r="O234" s="507"/>
      <c r="P234" s="507"/>
      <c r="Q234" s="507"/>
      <c r="R234" s="507"/>
      <c r="S234" s="507"/>
      <c r="T234" s="507"/>
      <c r="U234" s="507"/>
      <c r="V234" s="507"/>
      <c r="W234" s="507"/>
      <c r="X234" s="507"/>
      <c r="Y234" s="507"/>
      <c r="Z234" s="507"/>
      <c r="AA234" s="549"/>
      <c r="AB234" s="549"/>
    </row>
    <row r="235" spans="1:28" x14ac:dyDescent="0.25">
      <c r="A235" s="550" t="s">
        <v>628</v>
      </c>
      <c r="B235" s="551"/>
      <c r="C235" s="551"/>
      <c r="D235" s="551"/>
      <c r="E235" s="551"/>
      <c r="F235" s="552"/>
      <c r="G235" s="552"/>
      <c r="H235" s="552"/>
      <c r="I235" s="553"/>
      <c r="J235" s="507"/>
      <c r="K235" s="507"/>
      <c r="L235" s="507"/>
      <c r="M235" s="507"/>
      <c r="N235" s="507"/>
      <c r="O235" s="507"/>
      <c r="P235" s="515"/>
      <c r="Q235" s="515"/>
      <c r="R235" s="515"/>
      <c r="S235" s="515"/>
      <c r="T235" s="515"/>
      <c r="U235" s="507"/>
      <c r="V235" s="507"/>
      <c r="W235" s="507"/>
      <c r="X235" s="507"/>
      <c r="Y235" s="507"/>
      <c r="Z235" s="507"/>
      <c r="AA235" s="549"/>
      <c r="AB235" s="549"/>
    </row>
    <row r="236" spans="1:28" x14ac:dyDescent="0.25">
      <c r="A236" s="122" t="s">
        <v>629</v>
      </c>
      <c r="B236" s="124" t="s">
        <v>630</v>
      </c>
      <c r="C236" s="124" t="s">
        <v>631</v>
      </c>
      <c r="D236" s="124" t="s">
        <v>632</v>
      </c>
      <c r="E236" s="124" t="s">
        <v>633</v>
      </c>
      <c r="F236" s="124" t="s">
        <v>634</v>
      </c>
      <c r="G236" s="124" t="s">
        <v>635</v>
      </c>
      <c r="H236" s="124" t="s">
        <v>636</v>
      </c>
      <c r="I236" s="125" t="s">
        <v>637</v>
      </c>
      <c r="J236" s="507"/>
      <c r="K236" s="507"/>
      <c r="L236" s="507"/>
      <c r="M236" s="507"/>
      <c r="N236" s="507"/>
      <c r="O236" s="507"/>
      <c r="P236" s="507"/>
      <c r="Q236" s="507"/>
      <c r="R236" s="507"/>
      <c r="S236" s="507"/>
      <c r="T236" s="507"/>
      <c r="U236" s="507"/>
      <c r="V236" s="507"/>
      <c r="W236" s="507"/>
      <c r="X236" s="507"/>
      <c r="Y236" s="507"/>
      <c r="Z236" s="507"/>
      <c r="AA236" s="549"/>
      <c r="AB236" s="549"/>
    </row>
    <row r="237" spans="1:28" x14ac:dyDescent="0.25">
      <c r="A237" s="122"/>
      <c r="B237" s="123"/>
      <c r="C237" s="124"/>
      <c r="D237" s="124"/>
      <c r="E237" s="124"/>
      <c r="F237" s="123">
        <f>Table3243[[#This Row],[TONS]]*Table3243[[#This Row],[$/TON]]</f>
        <v>0</v>
      </c>
      <c r="G237" s="123">
        <f>Table3243[[#This Row],[Bale $]]+Table3243[[#This Row],[TRANS $]]</f>
        <v>0</v>
      </c>
      <c r="H237" s="123"/>
      <c r="I237" s="125"/>
      <c r="J237" s="507"/>
      <c r="K237" s="507"/>
      <c r="L237" s="507"/>
      <c r="M237" s="507"/>
      <c r="N237" s="507"/>
      <c r="O237" s="507"/>
      <c r="P237" s="507"/>
      <c r="Q237" s="507"/>
      <c r="R237" s="507"/>
      <c r="S237" s="507"/>
      <c r="T237" s="507"/>
      <c r="U237" s="507"/>
      <c r="V237" s="507"/>
      <c r="W237" s="507"/>
      <c r="X237" s="507"/>
      <c r="Y237" s="507"/>
      <c r="Z237" s="507"/>
      <c r="AA237" s="549"/>
      <c r="AB237" s="549"/>
    </row>
    <row r="238" spans="1:28" x14ac:dyDescent="0.25">
      <c r="A238" s="122"/>
      <c r="B238" s="123"/>
      <c r="C238" s="124"/>
      <c r="D238" s="124"/>
      <c r="E238" s="124"/>
      <c r="F238" s="123">
        <f>Table3243[[#This Row],[TONS]]*Table3243[[#This Row],[$/TON]]</f>
        <v>0</v>
      </c>
      <c r="G238" s="123">
        <f>Table3243[[#This Row],[Bale $]]+Table3243[[#This Row],[TRANS $]]</f>
        <v>0</v>
      </c>
      <c r="H238" s="123"/>
      <c r="I238" s="125"/>
      <c r="J238" s="507"/>
      <c r="K238" s="507"/>
      <c r="L238" s="507"/>
      <c r="M238" s="507"/>
      <c r="N238" s="507"/>
      <c r="O238" s="507"/>
      <c r="P238" s="507"/>
      <c r="Q238" s="507"/>
      <c r="R238" s="507"/>
      <c r="S238" s="507"/>
      <c r="T238" s="507"/>
      <c r="U238" s="507"/>
      <c r="V238" s="507"/>
      <c r="W238" s="507"/>
      <c r="X238" s="507"/>
      <c r="Y238" s="507"/>
      <c r="Z238" s="507"/>
      <c r="AA238" s="549"/>
      <c r="AB238" s="549"/>
    </row>
    <row r="239" spans="1:28" x14ac:dyDescent="0.25">
      <c r="A239" s="126"/>
      <c r="B239" s="123"/>
      <c r="C239" s="127"/>
      <c r="D239" s="127"/>
      <c r="E239" s="127"/>
      <c r="F239" s="123">
        <f>Table3243[[#This Row],[TONS]]*Table3243[[#This Row],[$/TON]]</f>
        <v>0</v>
      </c>
      <c r="G239" s="123">
        <f>Table3243[[#This Row],[Bale $]]+Table3243[[#This Row],[TRANS $]]</f>
        <v>0</v>
      </c>
      <c r="H239" s="123"/>
      <c r="I239" s="125"/>
      <c r="J239" s="507"/>
      <c r="K239" s="507"/>
      <c r="L239" s="507"/>
      <c r="M239" s="507"/>
      <c r="N239" s="507"/>
      <c r="O239" s="507"/>
      <c r="P239" s="507"/>
      <c r="Q239" s="507"/>
      <c r="R239" s="507"/>
      <c r="S239" s="507"/>
      <c r="T239" s="507"/>
      <c r="U239" s="507"/>
      <c r="V239" s="507"/>
      <c r="W239" s="507"/>
      <c r="X239" s="507"/>
      <c r="Y239" s="507"/>
      <c r="Z239" s="507"/>
      <c r="AA239" s="549"/>
      <c r="AB239" s="549"/>
    </row>
    <row r="240" spans="1:28" x14ac:dyDescent="0.25">
      <c r="A240" s="126"/>
      <c r="B240" s="123"/>
      <c r="C240" s="127"/>
      <c r="D240" s="127"/>
      <c r="E240" s="127"/>
      <c r="F240" s="123">
        <f>Table3243[[#This Row],[TONS]]*Table3243[[#This Row],[$/TON]]</f>
        <v>0</v>
      </c>
      <c r="G240" s="123">
        <f>Table3243[[#This Row],[Bale $]]+Table3243[[#This Row],[TRANS $]]</f>
        <v>0</v>
      </c>
      <c r="H240" s="123"/>
      <c r="I240" s="125"/>
      <c r="J240" s="507"/>
      <c r="K240" s="507"/>
      <c r="L240" s="507"/>
      <c r="M240" s="507"/>
      <c r="N240" s="507"/>
      <c r="O240" s="507"/>
      <c r="P240" s="507"/>
      <c r="Q240" s="507"/>
      <c r="R240" s="507"/>
      <c r="S240" s="507"/>
      <c r="T240" s="507"/>
      <c r="U240" s="507"/>
      <c r="V240" s="507"/>
      <c r="W240" s="507"/>
      <c r="X240" s="507"/>
      <c r="Y240" s="507"/>
      <c r="Z240" s="507"/>
      <c r="AA240" s="549"/>
      <c r="AB240" s="549"/>
    </row>
    <row r="241" spans="1:28" ht="15.75" thickBot="1" x14ac:dyDescent="0.3">
      <c r="A241" s="554" t="s">
        <v>38</v>
      </c>
      <c r="B241" s="555"/>
      <c r="C241" s="555"/>
      <c r="D241" s="555"/>
      <c r="E241" s="556">
        <f>SUBTOTAL(109,Table3243[TRANS $])</f>
        <v>0</v>
      </c>
      <c r="F241" s="555"/>
      <c r="G241" s="555"/>
      <c r="H241" s="555"/>
      <c r="I241" s="557"/>
      <c r="J241" s="507"/>
      <c r="K241" s="507"/>
      <c r="L241" s="507"/>
      <c r="M241" s="507"/>
      <c r="N241" s="507"/>
      <c r="O241" s="507"/>
      <c r="P241" s="507"/>
      <c r="Q241" s="507"/>
      <c r="R241" s="507"/>
      <c r="S241" s="507"/>
      <c r="T241" s="507"/>
      <c r="U241" s="507"/>
      <c r="V241" s="507"/>
      <c r="W241" s="507"/>
      <c r="X241" s="507"/>
      <c r="Y241" s="507"/>
      <c r="Z241" s="507"/>
      <c r="AA241" s="549"/>
      <c r="AB241" s="549"/>
    </row>
    <row r="242" spans="1:28" x14ac:dyDescent="0.25">
      <c r="A242" s="507"/>
      <c r="B242" s="507"/>
      <c r="C242" s="507"/>
      <c r="D242" s="507"/>
      <c r="E242" s="507"/>
      <c r="F242" s="507"/>
      <c r="G242" s="507"/>
      <c r="H242" s="507"/>
      <c r="I242" s="507"/>
      <c r="J242" s="507"/>
      <c r="K242" s="507"/>
      <c r="L242" s="507"/>
      <c r="M242" s="507"/>
      <c r="N242" s="507"/>
      <c r="O242" s="507"/>
      <c r="P242" s="507"/>
      <c r="Q242" s="507"/>
      <c r="R242" s="507"/>
      <c r="S242" s="507"/>
      <c r="T242" s="507"/>
      <c r="U242" s="507"/>
      <c r="V242" s="507"/>
      <c r="W242" s="507"/>
      <c r="X242" s="507"/>
      <c r="Y242" s="507"/>
      <c r="Z242" s="507"/>
      <c r="AA242" s="549"/>
      <c r="AB242" s="549"/>
    </row>
    <row r="243" spans="1:28" x14ac:dyDescent="0.25">
      <c r="A243" s="507"/>
      <c r="B243" s="507"/>
      <c r="C243" s="507"/>
      <c r="D243" s="507"/>
      <c r="E243" s="507"/>
      <c r="F243" s="507"/>
      <c r="G243" s="507"/>
      <c r="H243" s="507"/>
      <c r="I243" s="507"/>
      <c r="J243" s="507"/>
      <c r="K243" s="507"/>
      <c r="L243" s="507"/>
      <c r="M243" s="507"/>
      <c r="N243" s="507"/>
      <c r="O243" s="507"/>
      <c r="P243" s="507"/>
      <c r="Q243" s="507"/>
      <c r="R243" s="507"/>
      <c r="S243" s="507"/>
      <c r="T243" s="507"/>
      <c r="U243" s="507"/>
      <c r="V243" s="507"/>
      <c r="W243" s="507"/>
      <c r="X243" s="507"/>
      <c r="Y243" s="507"/>
      <c r="Z243" s="507"/>
      <c r="AA243" s="549"/>
      <c r="AB243" s="549"/>
    </row>
    <row r="244" spans="1:28" x14ac:dyDescent="0.25">
      <c r="A244" s="92" t="s">
        <v>470</v>
      </c>
      <c r="B244" s="92" t="s">
        <v>1</v>
      </c>
      <c r="C244" s="92" t="s">
        <v>2</v>
      </c>
      <c r="D244" s="92" t="s">
        <v>3</v>
      </c>
      <c r="E244" s="92" t="s">
        <v>42</v>
      </c>
      <c r="F244" s="92" t="s">
        <v>318</v>
      </c>
      <c r="G244" s="92" t="s">
        <v>117</v>
      </c>
      <c r="H244" s="92" t="s">
        <v>337</v>
      </c>
      <c r="I244" s="92" t="s">
        <v>304</v>
      </c>
      <c r="J244" s="92" t="s">
        <v>305</v>
      </c>
      <c r="K244" s="92" t="s">
        <v>353</v>
      </c>
      <c r="L244" s="92" t="s">
        <v>297</v>
      </c>
      <c r="M244" s="92" t="s">
        <v>458</v>
      </c>
      <c r="N244" s="92" t="s">
        <v>473</v>
      </c>
      <c r="O244" s="92" t="s">
        <v>474</v>
      </c>
      <c r="P244" s="92" t="s">
        <v>400</v>
      </c>
      <c r="Q244" s="92" t="s">
        <v>282</v>
      </c>
      <c r="R244" s="92" t="s">
        <v>335</v>
      </c>
      <c r="S244" s="507"/>
      <c r="T244" s="507"/>
      <c r="U244" s="507"/>
      <c r="V244" s="507"/>
      <c r="W244" s="507"/>
      <c r="X244" s="507"/>
      <c r="Y244" s="507"/>
      <c r="Z244" s="507"/>
      <c r="AA244" s="507"/>
      <c r="AB244" s="507"/>
    </row>
    <row r="245" spans="1:28" x14ac:dyDescent="0.25">
      <c r="B245" s="92" t="s">
        <v>74</v>
      </c>
      <c r="C245" s="92" t="s">
        <v>32</v>
      </c>
      <c r="D245" s="92" t="s">
        <v>96</v>
      </c>
      <c r="E245" s="92">
        <f>IFERROR(VLOOKUP(EXPENSETBL45[[#This Row],[FIELD]],FFTBL[[Field]:[Acres]],2,FALSE),"-")</f>
        <v>117.25</v>
      </c>
      <c r="F245" s="92" t="s">
        <v>320</v>
      </c>
      <c r="G245" s="92" t="s">
        <v>117</v>
      </c>
      <c r="H245" s="92" t="s">
        <v>377</v>
      </c>
      <c r="I245" s="92" t="str">
        <f>IFERROR(VLOOKUP(EXPENSETBL45[[#This Row],[OPERATION]],OPERATIONCOST,2,FALSE)," ")</f>
        <v>/QTY</v>
      </c>
      <c r="J245" s="409">
        <f>IFERROR(VLOOKUP(EXPENSETBL45[[#This Row],[OPERATION]],OPERATIONCOST2024,3,FALSE)," ")</f>
        <v>-18</v>
      </c>
      <c r="K245" s="92">
        <v>165.72</v>
      </c>
      <c r="L245" s="410">
        <f t="shared" ref="L245:L277" si="13">IF(G245="SPLIT",0.65,1)</f>
        <v>0.65</v>
      </c>
      <c r="M245" s="410">
        <f t="shared" ref="M245:M277" si="14">IF(G245="SPLIT",0.35,0)</f>
        <v>0.35</v>
      </c>
      <c r="N245" s="409">
        <f>IFERROR((EXPENSETBL45[[#This Row],[MCC.ENT]]*EXPENSETBL45[[#This Row],[TOTAL]])," ")</f>
        <v>-1938.924</v>
      </c>
      <c r="O245" s="409">
        <f>IFERROR((EXPENSETBL45[[#This Row],[L.L.]]*EXPENSETBL45[[#This Row],[TOTAL]])," ")</f>
        <v>-1044.0360000000001</v>
      </c>
      <c r="P245" s="409">
        <f>IFERROR((EXPENSETBL45[[#This Row],[QTY]]*EXPENSETBL45[[#This Row],[$/UOM]])," ")</f>
        <v>-2982.96</v>
      </c>
      <c r="Q245" s="409" t="s">
        <v>283</v>
      </c>
      <c r="R245" s="92">
        <v>2024</v>
      </c>
      <c r="S245" s="507"/>
      <c r="T245" s="507"/>
      <c r="U245" s="507"/>
      <c r="V245" s="507"/>
      <c r="W245" s="507"/>
      <c r="X245" s="507"/>
      <c r="Y245" s="507"/>
      <c r="Z245" s="507"/>
      <c r="AA245" s="507"/>
      <c r="AB245" s="507"/>
    </row>
    <row r="246" spans="1:28" x14ac:dyDescent="0.25">
      <c r="B246" s="92" t="s">
        <v>74</v>
      </c>
      <c r="C246" s="92" t="s">
        <v>32</v>
      </c>
      <c r="D246" s="92" t="s">
        <v>96</v>
      </c>
      <c r="E246" s="92">
        <f>IFERROR(VLOOKUP(EXPENSETBL45[[#This Row],[FIELD]],FFTBL[[Field]:[Acres]],2,FALSE),"-")</f>
        <v>117.25</v>
      </c>
      <c r="F246" s="92" t="s">
        <v>320</v>
      </c>
      <c r="G246" s="92" t="s">
        <v>117</v>
      </c>
      <c r="H246" s="92" t="s">
        <v>378</v>
      </c>
      <c r="I246" s="92" t="str">
        <f>IFERROR(VLOOKUP(EXPENSETBL45[[#This Row],[OPERATION]],OPERATIONCOST,2,FALSE)," ")</f>
        <v>/QTY</v>
      </c>
      <c r="J246" s="409">
        <f>IFERROR(VLOOKUP(EXPENSETBL45[[#This Row],[OPERATION]],OPERATIONCOST2024,3,FALSE)," ")</f>
        <v>-14</v>
      </c>
      <c r="K246" s="92">
        <v>179.14</v>
      </c>
      <c r="L246" s="410">
        <f>IF(G246="SPLIT",0.65,1)</f>
        <v>0.65</v>
      </c>
      <c r="M246" s="410">
        <f>IF(G246="SPLIT",0.35,0)</f>
        <v>0.35</v>
      </c>
      <c r="N246" s="409">
        <f>IFERROR((EXPENSETBL45[[#This Row],[MCC.ENT]]*EXPENSETBL45[[#This Row],[TOTAL]])," ")</f>
        <v>-1630.174</v>
      </c>
      <c r="O246" s="409">
        <f>IFERROR((EXPENSETBL45[[#This Row],[L.L.]]*EXPENSETBL45[[#This Row],[TOTAL]])," ")</f>
        <v>-877.78599999999994</v>
      </c>
      <c r="P246" s="409">
        <f>IFERROR((EXPENSETBL45[[#This Row],[QTY]]*EXPENSETBL45[[#This Row],[$/UOM]])," ")</f>
        <v>-2507.96</v>
      </c>
      <c r="Q246" s="409" t="s">
        <v>283</v>
      </c>
      <c r="R246" s="92">
        <v>2024</v>
      </c>
      <c r="S246" s="507"/>
      <c r="T246" s="507"/>
      <c r="U246" s="507"/>
      <c r="V246" s="507"/>
      <c r="W246" s="507"/>
      <c r="X246" s="507"/>
      <c r="Y246" s="507"/>
      <c r="Z246" s="507"/>
      <c r="AA246" s="507"/>
      <c r="AB246" s="507"/>
    </row>
    <row r="247" spans="1:28" x14ac:dyDescent="0.25">
      <c r="B247" s="92" t="s">
        <v>74</v>
      </c>
      <c r="C247" s="92" t="s">
        <v>32</v>
      </c>
      <c r="D247" s="92" t="s">
        <v>96</v>
      </c>
      <c r="E247" s="92">
        <f>IFERROR(VLOOKUP(EXPENSETBL45[[#This Row],[FIELD]],FFTBL[[Field]:[Acres]],2,FALSE),"-")</f>
        <v>117.25</v>
      </c>
      <c r="F247" s="92" t="s">
        <v>325</v>
      </c>
      <c r="G247" s="92" t="s">
        <v>117</v>
      </c>
      <c r="H247" s="92" t="s">
        <v>396</v>
      </c>
      <c r="I247" s="92" t="str">
        <f>IFERROR(VLOOKUP(EXPENSETBL45[[#This Row],[OPERATION]],OPERATIONCOST,2,FALSE)," ")</f>
        <v>ACRE</v>
      </c>
      <c r="J247" s="409">
        <f>IFERROR(VLOOKUP(EXPENSETBL45[[#This Row],[OPERATION]],OPERATIONCOST2024,3,FALSE)," ")</f>
        <v>-7.5</v>
      </c>
      <c r="K247" s="92">
        <f>IF(EXPENSETBL45[[#This Row],[UOM]]="acre",EXPENSETBL45[[#This Row],[ACRES]]," ")</f>
        <v>117.25</v>
      </c>
      <c r="L247" s="410">
        <f>IF(G247="SPLIT",0.65,1)</f>
        <v>0.65</v>
      </c>
      <c r="M247" s="410">
        <f>IF(G247="SPLIT",0.35,0)</f>
        <v>0.35</v>
      </c>
      <c r="N247" s="409">
        <f>IFERROR((EXPENSETBL45[[#This Row],[MCC.ENT]]*EXPENSETBL45[[#This Row],[TOTAL]])," ")</f>
        <v>-571.59375</v>
      </c>
      <c r="O247" s="409">
        <f>IFERROR((EXPENSETBL45[[#This Row],[L.L.]]*EXPENSETBL45[[#This Row],[TOTAL]])," ")</f>
        <v>-307.78125</v>
      </c>
      <c r="P247" s="409">
        <f>IFERROR((EXPENSETBL45[[#This Row],[QTY]]*EXPENSETBL45[[#This Row],[$/UOM]])," ")</f>
        <v>-879.375</v>
      </c>
      <c r="Q247" s="409" t="s">
        <v>283</v>
      </c>
      <c r="R247" s="92">
        <v>2024</v>
      </c>
      <c r="S247" s="507"/>
      <c r="T247" s="507"/>
      <c r="U247" s="507"/>
      <c r="V247" s="507"/>
      <c r="W247" s="507"/>
      <c r="X247" s="507"/>
      <c r="Y247" s="507"/>
      <c r="Z247" s="507"/>
      <c r="AA247" s="507"/>
      <c r="AB247" s="507"/>
    </row>
    <row r="248" spans="1:28" x14ac:dyDescent="0.25">
      <c r="B248" s="92" t="s">
        <v>74</v>
      </c>
      <c r="C248" s="92" t="s">
        <v>32</v>
      </c>
      <c r="D248" s="92" t="s">
        <v>247</v>
      </c>
      <c r="E248" s="92">
        <f>IFERROR(VLOOKUP(EXPENSETBL45[[#This Row],[FIELD]],FFTBL[[Field]:[Acres]],2,FALSE),"-")</f>
        <v>77.5</v>
      </c>
      <c r="F248" s="92" t="s">
        <v>320</v>
      </c>
      <c r="G248" s="92" t="s">
        <v>117</v>
      </c>
      <c r="H248" s="92" t="s">
        <v>377</v>
      </c>
      <c r="I248" s="92" t="str">
        <f>IFERROR(VLOOKUP(EXPENSETBL45[[#This Row],[OPERATION]],OPERATIONCOST,2,FALSE)," ")</f>
        <v>/QTY</v>
      </c>
      <c r="J248" s="409">
        <f>IFERROR(VLOOKUP(EXPENSETBL45[[#This Row],[OPERATION]],OPERATIONCOST2024,3,FALSE)," ")</f>
        <v>-18</v>
      </c>
      <c r="K248" s="92">
        <v>139.65</v>
      </c>
      <c r="L248" s="410">
        <f t="shared" si="13"/>
        <v>0.65</v>
      </c>
      <c r="M248" s="410">
        <f t="shared" si="14"/>
        <v>0.35</v>
      </c>
      <c r="N248" s="409">
        <f>IFERROR((EXPENSETBL45[[#This Row],[MCC.ENT]]*EXPENSETBL45[[#This Row],[TOTAL]])," ")</f>
        <v>-1633.9050000000002</v>
      </c>
      <c r="O248" s="409">
        <f>IFERROR((EXPENSETBL45[[#This Row],[L.L.]]*EXPENSETBL45[[#This Row],[TOTAL]])," ")</f>
        <v>-879.79500000000007</v>
      </c>
      <c r="P248" s="409">
        <f>IFERROR((EXPENSETBL45[[#This Row],[QTY]]*EXPENSETBL45[[#This Row],[$/UOM]])," ")</f>
        <v>-2513.7000000000003</v>
      </c>
      <c r="Q248" s="409" t="s">
        <v>283</v>
      </c>
      <c r="R248" s="92">
        <v>2024</v>
      </c>
      <c r="S248" s="507"/>
      <c r="T248" s="507"/>
      <c r="U248" s="507"/>
      <c r="V248" s="507"/>
      <c r="W248" s="507"/>
      <c r="X248" s="507"/>
      <c r="Y248" s="507"/>
      <c r="Z248" s="507"/>
      <c r="AA248" s="507"/>
      <c r="AB248" s="507"/>
    </row>
    <row r="249" spans="1:28" x14ac:dyDescent="0.25">
      <c r="B249" s="92" t="s">
        <v>74</v>
      </c>
      <c r="C249" s="92" t="s">
        <v>32</v>
      </c>
      <c r="D249" s="92" t="s">
        <v>247</v>
      </c>
      <c r="E249" s="92">
        <f>IFERROR(VLOOKUP(EXPENSETBL45[[#This Row],[FIELD]],FFTBL[[Field]:[Acres]],2,FALSE),"-")</f>
        <v>77.5</v>
      </c>
      <c r="F249" s="92" t="s">
        <v>320</v>
      </c>
      <c r="G249" s="92" t="s">
        <v>117</v>
      </c>
      <c r="H249" s="92" t="s">
        <v>378</v>
      </c>
      <c r="I249" s="92" t="str">
        <f>IFERROR(VLOOKUP(EXPENSETBL45[[#This Row],[OPERATION]],OPERATIONCOST,2,FALSE)," ")</f>
        <v>/QTY</v>
      </c>
      <c r="J249" s="409">
        <f>IFERROR(VLOOKUP(EXPENSETBL45[[#This Row],[OPERATION]],OPERATIONCOST2024,3,FALSE)," ")</f>
        <v>-14</v>
      </c>
      <c r="K249" s="92">
        <v>216.13</v>
      </c>
      <c r="L249" s="410">
        <f>IF(G249="SPLIT",0.65,1)</f>
        <v>0.65</v>
      </c>
      <c r="M249" s="410">
        <f>IF(G249="SPLIT",0.35,0)</f>
        <v>0.35</v>
      </c>
      <c r="N249" s="409">
        <f>IFERROR((EXPENSETBL45[[#This Row],[MCC.ENT]]*EXPENSETBL45[[#This Row],[TOTAL]])," ")</f>
        <v>-1966.7829999999999</v>
      </c>
      <c r="O249" s="409">
        <f>IFERROR((EXPENSETBL45[[#This Row],[L.L.]]*EXPENSETBL45[[#This Row],[TOTAL]])," ")</f>
        <v>-1059.0369999999998</v>
      </c>
      <c r="P249" s="409">
        <f>IFERROR((EXPENSETBL45[[#This Row],[QTY]]*EXPENSETBL45[[#This Row],[$/UOM]])," ")</f>
        <v>-3025.8199999999997</v>
      </c>
      <c r="Q249" s="409" t="s">
        <v>283</v>
      </c>
      <c r="R249" s="92">
        <v>2024</v>
      </c>
      <c r="S249" s="507"/>
      <c r="T249" s="507"/>
      <c r="U249" s="507"/>
      <c r="V249" s="507"/>
      <c r="W249" s="507"/>
      <c r="X249" s="507"/>
      <c r="Y249" s="507"/>
      <c r="Z249" s="507"/>
      <c r="AA249" s="507"/>
      <c r="AB249" s="507"/>
    </row>
    <row r="250" spans="1:28" x14ac:dyDescent="0.25">
      <c r="B250" s="92" t="s">
        <v>74</v>
      </c>
      <c r="C250" s="92" t="s">
        <v>32</v>
      </c>
      <c r="D250" s="92" t="s">
        <v>247</v>
      </c>
      <c r="E250" s="92">
        <f>IFERROR(VLOOKUP(EXPENSETBL45[[#This Row],[FIELD]],FFTBL[[Field]:[Acres]],2,FALSE),"-")</f>
        <v>77.5</v>
      </c>
      <c r="F250" s="92" t="s">
        <v>325</v>
      </c>
      <c r="G250" s="92" t="s">
        <v>117</v>
      </c>
      <c r="H250" s="92" t="s">
        <v>396</v>
      </c>
      <c r="I250" s="92" t="str">
        <f>IFERROR(VLOOKUP(EXPENSETBL45[[#This Row],[OPERATION]],OPERATIONCOST,2,FALSE)," ")</f>
        <v>ACRE</v>
      </c>
      <c r="J250" s="409">
        <f>IFERROR(VLOOKUP(EXPENSETBL45[[#This Row],[OPERATION]],OPERATIONCOST2024,3,FALSE)," ")</f>
        <v>-7.5</v>
      </c>
      <c r="K250" s="92">
        <f>IF(EXPENSETBL45[[#This Row],[UOM]]="acre",EXPENSETBL45[[#This Row],[ACRES]]," ")</f>
        <v>77.5</v>
      </c>
      <c r="L250" s="410">
        <f>IF(G250="SPLIT",0.65,1)</f>
        <v>0.65</v>
      </c>
      <c r="M250" s="410">
        <f>IF(G250="SPLIT",0.35,0)</f>
        <v>0.35</v>
      </c>
      <c r="N250" s="409">
        <f>IFERROR((EXPENSETBL45[[#This Row],[MCC.ENT]]*EXPENSETBL45[[#This Row],[TOTAL]])," ")</f>
        <v>-377.8125</v>
      </c>
      <c r="O250" s="409">
        <f>IFERROR((EXPENSETBL45[[#This Row],[L.L.]]*EXPENSETBL45[[#This Row],[TOTAL]])," ")</f>
        <v>-203.4375</v>
      </c>
      <c r="P250" s="409">
        <f>IFERROR((EXPENSETBL45[[#This Row],[QTY]]*EXPENSETBL45[[#This Row],[$/UOM]])," ")</f>
        <v>-581.25</v>
      </c>
      <c r="Q250" s="409" t="s">
        <v>283</v>
      </c>
      <c r="R250" s="92">
        <v>2024</v>
      </c>
      <c r="S250" s="507"/>
      <c r="T250" s="507"/>
      <c r="U250" s="507"/>
      <c r="V250" s="507"/>
      <c r="W250" s="507"/>
      <c r="X250" s="507"/>
      <c r="Y250" s="507"/>
      <c r="Z250" s="507"/>
      <c r="AA250" s="507"/>
      <c r="AB250" s="507"/>
    </row>
    <row r="251" spans="1:28" hidden="1" x14ac:dyDescent="0.25">
      <c r="B251" s="92" t="s">
        <v>74</v>
      </c>
      <c r="C251" s="92" t="s">
        <v>32</v>
      </c>
      <c r="D251" s="92" t="s">
        <v>240</v>
      </c>
      <c r="E251" s="92">
        <f>IFERROR(VLOOKUP(EXPENSETBL45[[#This Row],[FIELD]],FFTBL[[Field]:[Acres]],2,FALSE),"-")</f>
        <v>79.099999999999994</v>
      </c>
      <c r="F251" s="92" t="s">
        <v>322</v>
      </c>
      <c r="G251" s="92" t="s">
        <v>117</v>
      </c>
      <c r="H251" s="92" t="s">
        <v>416</v>
      </c>
      <c r="I251" s="92" t="str">
        <f>IFERROR(VLOOKUP(EXPENSETBL45[[#This Row],[OPERATION]],OPERATIONCOST,2,FALSE)," ")</f>
        <v>/QTY</v>
      </c>
      <c r="J251" s="409">
        <f>IFERROR(VLOOKUP(EXPENSETBL45[[#This Row],[OPERATION]],OPERATIONCOST2024,3,FALSE)," ")</f>
        <v>-18</v>
      </c>
      <c r="K251" s="92">
        <v>288.02</v>
      </c>
      <c r="L251" s="410">
        <f t="shared" si="13"/>
        <v>0.65</v>
      </c>
      <c r="M251" s="410">
        <f t="shared" si="14"/>
        <v>0.35</v>
      </c>
      <c r="N251" s="409">
        <f>IFERROR((EXPENSETBL45[[#This Row],[MCC.ENT]]*EXPENSETBL45[[#This Row],[TOTAL]])," ")</f>
        <v>-3369.8339999999998</v>
      </c>
      <c r="O251" s="409">
        <f>IFERROR((EXPENSETBL45[[#This Row],[L.L.]]*EXPENSETBL45[[#This Row],[TOTAL]])," ")</f>
        <v>-1814.5259999999998</v>
      </c>
      <c r="P251" s="409">
        <f>IFERROR((EXPENSETBL45[[#This Row],[QTY]]*EXPENSETBL45[[#This Row],[$/UOM]])," ")</f>
        <v>-5184.3599999999997</v>
      </c>
      <c r="Q251" s="409" t="s">
        <v>291</v>
      </c>
      <c r="R251" s="92">
        <v>2024</v>
      </c>
      <c r="S251" s="507"/>
      <c r="T251" s="507"/>
      <c r="U251" s="507"/>
      <c r="V251" s="507"/>
      <c r="W251" s="507"/>
      <c r="X251" s="507"/>
      <c r="Y251" s="507"/>
      <c r="Z251" s="507"/>
      <c r="AA251" s="507"/>
      <c r="AB251" s="507"/>
    </row>
    <row r="252" spans="1:28" hidden="1" x14ac:dyDescent="0.25">
      <c r="B252" s="92" t="s">
        <v>74</v>
      </c>
      <c r="C252" s="92" t="s">
        <v>32</v>
      </c>
      <c r="D252" s="92" t="s">
        <v>240</v>
      </c>
      <c r="E252" s="92">
        <f>IFERROR(VLOOKUP(EXPENSETBL45[[#This Row],[FIELD]],FFTBL[[Field]:[Acres]],2,FALSE),"-")</f>
        <v>79.099999999999994</v>
      </c>
      <c r="F252" s="92" t="s">
        <v>325</v>
      </c>
      <c r="G252" s="92" t="s">
        <v>117</v>
      </c>
      <c r="H252" s="92" t="s">
        <v>396</v>
      </c>
      <c r="I252" s="92" t="str">
        <f>IFERROR(VLOOKUP(EXPENSETBL45[[#This Row],[OPERATION]],OPERATIONCOST,2,FALSE)," ")</f>
        <v>ACRE</v>
      </c>
      <c r="J252" s="409">
        <f>IFERROR(VLOOKUP(EXPENSETBL45[[#This Row],[OPERATION]],OPERATIONCOST2024,3,FALSE)," ")</f>
        <v>-7.5</v>
      </c>
      <c r="K252" s="92">
        <f>IF(EXPENSETBL45[[#This Row],[UOM]]="acre",EXPENSETBL45[[#This Row],[ACRES]]," ")</f>
        <v>79.099999999999994</v>
      </c>
      <c r="L252" s="410">
        <f>IF(G252="SPLIT",0.65,1)</f>
        <v>0.65</v>
      </c>
      <c r="M252" s="410">
        <f>IF(G252="SPLIT",0.35,0)</f>
        <v>0.35</v>
      </c>
      <c r="N252" s="409">
        <f>IFERROR((EXPENSETBL45[[#This Row],[MCC.ENT]]*EXPENSETBL45[[#This Row],[TOTAL]])," ")</f>
        <v>-385.61250000000001</v>
      </c>
      <c r="O252" s="409">
        <f>IFERROR((EXPENSETBL45[[#This Row],[L.L.]]*EXPENSETBL45[[#This Row],[TOTAL]])," ")</f>
        <v>-207.63749999999999</v>
      </c>
      <c r="P252" s="409">
        <f>IFERROR((EXPENSETBL45[[#This Row],[QTY]]*EXPENSETBL45[[#This Row],[$/UOM]])," ")</f>
        <v>-593.25</v>
      </c>
      <c r="Q252" s="409" t="s">
        <v>291</v>
      </c>
      <c r="R252" s="92">
        <v>2024</v>
      </c>
      <c r="S252" s="507"/>
      <c r="T252" s="507"/>
      <c r="U252" s="507"/>
      <c r="V252" s="507"/>
      <c r="W252" s="507"/>
      <c r="X252" s="507"/>
      <c r="Y252" s="507"/>
      <c r="Z252" s="507"/>
      <c r="AA252" s="507"/>
      <c r="AB252" s="507"/>
    </row>
    <row r="253" spans="1:28" x14ac:dyDescent="0.25">
      <c r="B253" s="92" t="s">
        <v>74</v>
      </c>
      <c r="C253" s="92" t="s">
        <v>32</v>
      </c>
      <c r="D253" s="92" t="s">
        <v>239</v>
      </c>
      <c r="E253" s="92">
        <f>IFERROR(VLOOKUP(EXPENSETBL45[[#This Row],[FIELD]],FFTBL[[Field]:[Acres]],2,FALSE),"-")</f>
        <v>79.099999999999994</v>
      </c>
      <c r="F253" s="92" t="s">
        <v>320</v>
      </c>
      <c r="G253" s="92" t="s">
        <v>117</v>
      </c>
      <c r="H253" s="92" t="s">
        <v>377</v>
      </c>
      <c r="I253" s="92" t="str">
        <f>IFERROR(VLOOKUP(EXPENSETBL45[[#This Row],[OPERATION]],OPERATIONCOST,2,FALSE)," ")</f>
        <v>/QTY</v>
      </c>
      <c r="J253" s="409">
        <f>IFERROR(VLOOKUP(EXPENSETBL45[[#This Row],[OPERATION]],OPERATIONCOST2024,3,FALSE)," ")</f>
        <v>-18</v>
      </c>
      <c r="K253" s="92">
        <v>288.02</v>
      </c>
      <c r="L253" s="410">
        <f>IF(G253="SPLIT",0.65,1)</f>
        <v>0.65</v>
      </c>
      <c r="M253" s="410">
        <f>IF(G253="SPLIT",0.35,0)</f>
        <v>0.35</v>
      </c>
      <c r="N253" s="409">
        <f>IFERROR((EXPENSETBL45[[#This Row],[MCC.ENT]]*EXPENSETBL45[[#This Row],[TOTAL]])," ")</f>
        <v>-3369.8339999999998</v>
      </c>
      <c r="O253" s="409">
        <f>IFERROR((EXPENSETBL45[[#This Row],[L.L.]]*EXPENSETBL45[[#This Row],[TOTAL]])," ")</f>
        <v>-1814.5259999999998</v>
      </c>
      <c r="P253" s="409">
        <f>IFERROR((EXPENSETBL45[[#This Row],[QTY]]*EXPENSETBL45[[#This Row],[$/UOM]])," ")</f>
        <v>-5184.3599999999997</v>
      </c>
      <c r="Q253" s="409" t="s">
        <v>283</v>
      </c>
      <c r="R253" s="92">
        <v>2024</v>
      </c>
      <c r="S253" s="507"/>
      <c r="T253" s="507"/>
      <c r="U253" s="507"/>
      <c r="V253" s="507"/>
      <c r="W253" s="507"/>
      <c r="X253" s="507"/>
      <c r="Y253" s="507"/>
      <c r="Z253" s="507"/>
      <c r="AA253" s="507"/>
      <c r="AB253" s="507"/>
    </row>
    <row r="254" spans="1:28" x14ac:dyDescent="0.25">
      <c r="B254" s="92" t="s">
        <v>74</v>
      </c>
      <c r="C254" s="92" t="s">
        <v>32</v>
      </c>
      <c r="D254" s="92" t="s">
        <v>239</v>
      </c>
      <c r="E254" s="92">
        <f>IFERROR(VLOOKUP(EXPENSETBL45[[#This Row],[FIELD]],FFTBL[[Field]:[Acres]],2,FALSE),"-")</f>
        <v>79.099999999999994</v>
      </c>
      <c r="F254" s="92" t="s">
        <v>325</v>
      </c>
      <c r="G254" s="92" t="s">
        <v>117</v>
      </c>
      <c r="H254" s="92" t="s">
        <v>396</v>
      </c>
      <c r="I254" s="92" t="str">
        <f>IFERROR(VLOOKUP(EXPENSETBL45[[#This Row],[OPERATION]],OPERATIONCOST,2,FALSE)," ")</f>
        <v>ACRE</v>
      </c>
      <c r="J254" s="409">
        <f>IFERROR(VLOOKUP(EXPENSETBL45[[#This Row],[OPERATION]],OPERATIONCOST2024,3,FALSE)," ")</f>
        <v>-7.5</v>
      </c>
      <c r="K254" s="92">
        <f>IF(EXPENSETBL45[[#This Row],[UOM]]="acre",EXPENSETBL45[[#This Row],[ACRES]]," ")</f>
        <v>79.099999999999994</v>
      </c>
      <c r="L254" s="410">
        <f>IF(G254="SPLIT",0.65,1)</f>
        <v>0.65</v>
      </c>
      <c r="M254" s="410">
        <f>IF(G254="SPLIT",0.35,0)</f>
        <v>0.35</v>
      </c>
      <c r="N254" s="409">
        <f>IFERROR((EXPENSETBL45[[#This Row],[MCC.ENT]]*EXPENSETBL45[[#This Row],[TOTAL]])," ")</f>
        <v>-385.61250000000001</v>
      </c>
      <c r="O254" s="409">
        <f>IFERROR((EXPENSETBL45[[#This Row],[L.L.]]*EXPENSETBL45[[#This Row],[TOTAL]])," ")</f>
        <v>-207.63749999999999</v>
      </c>
      <c r="P254" s="409">
        <f>IFERROR((EXPENSETBL45[[#This Row],[QTY]]*EXPENSETBL45[[#This Row],[$/UOM]])," ")</f>
        <v>-593.25</v>
      </c>
      <c r="Q254" s="409" t="s">
        <v>283</v>
      </c>
      <c r="R254" s="92">
        <v>2024</v>
      </c>
      <c r="S254" s="507"/>
      <c r="T254" s="507"/>
      <c r="U254" s="507"/>
      <c r="V254" s="507"/>
      <c r="W254" s="507"/>
      <c r="X254" s="507"/>
      <c r="Y254" s="507"/>
      <c r="Z254" s="507"/>
      <c r="AA254" s="507"/>
      <c r="AB254" s="507"/>
    </row>
    <row r="255" spans="1:28" x14ac:dyDescent="0.25">
      <c r="B255" s="92" t="s">
        <v>74</v>
      </c>
      <c r="C255" s="92" t="s">
        <v>21</v>
      </c>
      <c r="D255" s="92" t="s">
        <v>23</v>
      </c>
      <c r="E255" s="92">
        <f>IFERROR(VLOOKUP(EXPENSETBL45[[#This Row],[FIELD]],FFTBL[[Field]:[Acres]],2,FALSE),"-")</f>
        <v>78.599999999999994</v>
      </c>
      <c r="F255" s="92" t="s">
        <v>320</v>
      </c>
      <c r="G255" s="92" t="s">
        <v>117</v>
      </c>
      <c r="H255" s="92" t="s">
        <v>377</v>
      </c>
      <c r="I255" s="92" t="str">
        <f>IFERROR(VLOOKUP(EXPENSETBL45[[#This Row],[OPERATION]],OPERATIONCOST,2,FALSE)," ")</f>
        <v>/QTY</v>
      </c>
      <c r="J255" s="409">
        <f>IFERROR(VLOOKUP(EXPENSETBL45[[#This Row],[OPERATION]],OPERATIONCOST2024,3,FALSE)," ")</f>
        <v>-18</v>
      </c>
      <c r="K255" s="92">
        <v>274.94</v>
      </c>
      <c r="L255" s="410">
        <f>IF(G255="SPLIT",0.65,1)</f>
        <v>0.65</v>
      </c>
      <c r="M255" s="410">
        <f>IF(G255="SPLIT",0.35,0)</f>
        <v>0.35</v>
      </c>
      <c r="N255" s="409">
        <f>IFERROR((EXPENSETBL45[[#This Row],[MCC.ENT]]*EXPENSETBL45[[#This Row],[TOTAL]])," ")</f>
        <v>-3216.7980000000002</v>
      </c>
      <c r="O255" s="409">
        <f>IFERROR((EXPENSETBL45[[#This Row],[L.L.]]*EXPENSETBL45[[#This Row],[TOTAL]])," ")</f>
        <v>-1732.1219999999998</v>
      </c>
      <c r="P255" s="409">
        <f>IFERROR((EXPENSETBL45[[#This Row],[QTY]]*EXPENSETBL45[[#This Row],[$/UOM]])," ")</f>
        <v>-4948.92</v>
      </c>
      <c r="Q255" s="409" t="s">
        <v>283</v>
      </c>
      <c r="R255" s="92">
        <v>2024</v>
      </c>
      <c r="S255" s="507"/>
      <c r="T255" s="507"/>
      <c r="U255" s="507"/>
      <c r="V255" s="507"/>
      <c r="W255" s="507"/>
      <c r="X255" s="507"/>
      <c r="Y255" s="507"/>
      <c r="Z255" s="507"/>
      <c r="AA255" s="507"/>
      <c r="AB255" s="507"/>
    </row>
    <row r="256" spans="1:28" x14ac:dyDescent="0.25">
      <c r="B256" s="92" t="s">
        <v>74</v>
      </c>
      <c r="C256" s="92" t="s">
        <v>21</v>
      </c>
      <c r="D256" s="92" t="s">
        <v>23</v>
      </c>
      <c r="E256" s="92">
        <f>IFERROR(VLOOKUP(EXPENSETBL45[[#This Row],[FIELD]],FFTBL[[Field]:[Acres]],2,FALSE),"-")</f>
        <v>78.599999999999994</v>
      </c>
      <c r="F256" s="92" t="s">
        <v>320</v>
      </c>
      <c r="G256" s="92" t="s">
        <v>117</v>
      </c>
      <c r="H256" s="92" t="s">
        <v>378</v>
      </c>
      <c r="I256" s="92" t="str">
        <f>IFERROR(VLOOKUP(EXPENSETBL45[[#This Row],[OPERATION]],OPERATIONCOST,2,FALSE)," ")</f>
        <v>/QTY</v>
      </c>
      <c r="J256" s="409">
        <f>IFERROR(VLOOKUP(EXPENSETBL45[[#This Row],[OPERATION]],OPERATIONCOST2024,3,FALSE)," ")</f>
        <v>-14</v>
      </c>
      <c r="K256" s="92">
        <v>180.28</v>
      </c>
      <c r="L256" s="410">
        <f t="shared" si="13"/>
        <v>0.65</v>
      </c>
      <c r="M256" s="410">
        <f t="shared" si="14"/>
        <v>0.35</v>
      </c>
      <c r="N256" s="409">
        <f>IFERROR((EXPENSETBL45[[#This Row],[MCC.ENT]]*EXPENSETBL45[[#This Row],[TOTAL]])," ")</f>
        <v>-1640.548</v>
      </c>
      <c r="O256" s="409">
        <f>IFERROR((EXPENSETBL45[[#This Row],[L.L.]]*EXPENSETBL45[[#This Row],[TOTAL]])," ")</f>
        <v>-883.37199999999996</v>
      </c>
      <c r="P256" s="409">
        <f>IFERROR((EXPENSETBL45[[#This Row],[QTY]]*EXPENSETBL45[[#This Row],[$/UOM]])," ")</f>
        <v>-2523.92</v>
      </c>
      <c r="Q256" s="409" t="s">
        <v>283</v>
      </c>
      <c r="R256" s="92">
        <v>2024</v>
      </c>
      <c r="S256" s="507"/>
      <c r="T256" s="507"/>
      <c r="U256" s="507"/>
      <c r="V256" s="507"/>
      <c r="W256" s="507"/>
      <c r="X256" s="507"/>
      <c r="Y256" s="507"/>
      <c r="Z256" s="507"/>
      <c r="AA256" s="507"/>
      <c r="AB256" s="507"/>
    </row>
    <row r="257" spans="2:28" x14ac:dyDescent="0.25">
      <c r="B257" s="92" t="s">
        <v>74</v>
      </c>
      <c r="C257" s="92" t="s">
        <v>21</v>
      </c>
      <c r="D257" s="92" t="s">
        <v>23</v>
      </c>
      <c r="E257" s="92">
        <f>IFERROR(VLOOKUP(EXPENSETBL45[[#This Row],[FIELD]],FFTBL[[Field]:[Acres]],2,FALSE),"-")</f>
        <v>78.599999999999994</v>
      </c>
      <c r="F257" s="92" t="s">
        <v>325</v>
      </c>
      <c r="G257" s="92" t="s">
        <v>117</v>
      </c>
      <c r="H257" s="92" t="s">
        <v>396</v>
      </c>
      <c r="I257" s="92" t="str">
        <f>IFERROR(VLOOKUP(EXPENSETBL45[[#This Row],[OPERATION]],OPERATIONCOST,2,FALSE)," ")</f>
        <v>ACRE</v>
      </c>
      <c r="J257" s="409">
        <f>IFERROR(VLOOKUP(EXPENSETBL45[[#This Row],[OPERATION]],OPERATIONCOST2024,3,FALSE)," ")</f>
        <v>-7.5</v>
      </c>
      <c r="K257" s="92">
        <f>IF(EXPENSETBL45[[#This Row],[UOM]]="acre",EXPENSETBL45[[#This Row],[ACRES]]," ")</f>
        <v>78.599999999999994</v>
      </c>
      <c r="L257" s="410">
        <f>IF(G257="SPLIT",0.65,1)</f>
        <v>0.65</v>
      </c>
      <c r="M257" s="410">
        <f>IF(G257="SPLIT",0.35,0)</f>
        <v>0.35</v>
      </c>
      <c r="N257" s="409">
        <f>IFERROR((EXPENSETBL45[[#This Row],[MCC.ENT]]*EXPENSETBL45[[#This Row],[TOTAL]])," ")</f>
        <v>-383.17500000000001</v>
      </c>
      <c r="O257" s="409">
        <f>IFERROR((EXPENSETBL45[[#This Row],[L.L.]]*EXPENSETBL45[[#This Row],[TOTAL]])," ")</f>
        <v>-206.32499999999999</v>
      </c>
      <c r="P257" s="409">
        <f>IFERROR((EXPENSETBL45[[#This Row],[QTY]]*EXPENSETBL45[[#This Row],[$/UOM]])," ")</f>
        <v>-589.5</v>
      </c>
      <c r="Q257" s="409" t="s">
        <v>283</v>
      </c>
      <c r="R257" s="92">
        <v>2024</v>
      </c>
      <c r="S257" s="507"/>
      <c r="T257" s="507"/>
      <c r="U257" s="507"/>
      <c r="V257" s="507"/>
      <c r="W257" s="507"/>
      <c r="X257" s="507"/>
      <c r="Y257" s="507"/>
      <c r="Z257" s="507"/>
      <c r="AA257" s="507"/>
      <c r="AB257" s="507"/>
    </row>
    <row r="258" spans="2:28" x14ac:dyDescent="0.25">
      <c r="B258" s="92" t="s">
        <v>74</v>
      </c>
      <c r="C258" s="92" t="s">
        <v>26</v>
      </c>
      <c r="D258" s="92" t="s">
        <v>610</v>
      </c>
      <c r="E258" s="92" t="str">
        <f>IFERROR(VLOOKUP(EXPENSETBL45[[#This Row],[FIELD]],FFTBL[[Field]:[Acres]],2,FALSE),"-")</f>
        <v>-</v>
      </c>
      <c r="F258" s="92" t="s">
        <v>320</v>
      </c>
      <c r="G258" s="92" t="s">
        <v>297</v>
      </c>
      <c r="H258" s="92" t="s">
        <v>377</v>
      </c>
      <c r="I258" s="92" t="str">
        <f>IFERROR(VLOOKUP(EXPENSETBL45[[#This Row],[OPERATION]],OPERATIONCOST,2,FALSE)," ")</f>
        <v>/QTY</v>
      </c>
      <c r="J258" s="409">
        <f>IFERROR(VLOOKUP(EXPENSETBL45[[#This Row],[OPERATION]],OPERATIONCOST2024,3,FALSE)," ")</f>
        <v>-18</v>
      </c>
      <c r="K258" s="92">
        <v>708.48</v>
      </c>
      <c r="L258" s="410">
        <f t="shared" si="13"/>
        <v>1</v>
      </c>
      <c r="M258" s="410">
        <f t="shared" si="14"/>
        <v>0</v>
      </c>
      <c r="N258" s="409">
        <f>IFERROR((EXPENSETBL45[[#This Row],[MCC.ENT]]*EXPENSETBL45[[#This Row],[TOTAL]])," ")</f>
        <v>-12752.64</v>
      </c>
      <c r="O258" s="409">
        <f>IFERROR((EXPENSETBL45[[#This Row],[L.L.]]*EXPENSETBL45[[#This Row],[TOTAL]])," ")</f>
        <v>0</v>
      </c>
      <c r="P258" s="409">
        <f>IFERROR((EXPENSETBL45[[#This Row],[QTY]]*EXPENSETBL45[[#This Row],[$/UOM]])," ")</f>
        <v>-12752.64</v>
      </c>
      <c r="Q258" s="409" t="s">
        <v>283</v>
      </c>
      <c r="R258" s="92">
        <v>2024</v>
      </c>
      <c r="S258" s="507"/>
      <c r="T258" s="507"/>
      <c r="U258" s="507"/>
      <c r="V258" s="507"/>
      <c r="W258" s="507"/>
      <c r="X258" s="507"/>
      <c r="Y258" s="507"/>
      <c r="Z258" s="507"/>
      <c r="AA258" s="507"/>
      <c r="AB258" s="507"/>
    </row>
    <row r="259" spans="2:28" x14ac:dyDescent="0.25">
      <c r="B259" s="92" t="s">
        <v>74</v>
      </c>
      <c r="C259" s="92" t="s">
        <v>26</v>
      </c>
      <c r="D259" s="92" t="s">
        <v>610</v>
      </c>
      <c r="E259" s="92" t="str">
        <f>IFERROR(VLOOKUP(EXPENSETBL45[[#This Row],[FIELD]],FFTBL[[Field]:[Acres]],2,FALSE),"-")</f>
        <v>-</v>
      </c>
      <c r="F259" s="92" t="s">
        <v>325</v>
      </c>
      <c r="G259" s="92" t="s">
        <v>297</v>
      </c>
      <c r="H259" s="92" t="s">
        <v>396</v>
      </c>
      <c r="I259" s="92" t="str">
        <f>IFERROR(VLOOKUP(EXPENSETBL45[[#This Row],[OPERATION]],OPERATIONCOST,2,FALSE)," ")</f>
        <v>ACRE</v>
      </c>
      <c r="J259" s="409">
        <f>IFERROR(VLOOKUP(EXPENSETBL45[[#This Row],[OPERATION]],OPERATIONCOST2024,3,FALSE)," ")</f>
        <v>-7.5</v>
      </c>
      <c r="K259" s="92" t="str">
        <f>IF(EXPENSETBL45[[#This Row],[UOM]]="acre",EXPENSETBL45[[#This Row],[ACRES]]," ")</f>
        <v>-</v>
      </c>
      <c r="L259" s="410">
        <f t="shared" si="13"/>
        <v>1</v>
      </c>
      <c r="M259" s="410">
        <f t="shared" si="14"/>
        <v>0</v>
      </c>
      <c r="N259" s="409" t="str">
        <f>IFERROR((EXPENSETBL45[[#This Row],[MCC.ENT]]*EXPENSETBL45[[#This Row],[TOTAL]])," ")</f>
        <v xml:space="preserve"> </v>
      </c>
      <c r="O259" s="409" t="str">
        <f>IFERROR((EXPENSETBL45[[#This Row],[L.L.]]*EXPENSETBL45[[#This Row],[TOTAL]])," ")</f>
        <v xml:space="preserve"> </v>
      </c>
      <c r="P259" s="409" t="str">
        <f>IFERROR((EXPENSETBL45[[#This Row],[QTY]]*EXPENSETBL45[[#This Row],[$/UOM]])," ")</f>
        <v xml:space="preserve"> </v>
      </c>
      <c r="Q259" s="409" t="s">
        <v>283</v>
      </c>
      <c r="R259" s="92">
        <v>2024</v>
      </c>
      <c r="S259" s="507"/>
      <c r="T259" s="507"/>
      <c r="U259" s="507"/>
      <c r="V259" s="507"/>
      <c r="W259" s="507"/>
      <c r="X259" s="507"/>
      <c r="Y259" s="507"/>
      <c r="Z259" s="507"/>
      <c r="AA259" s="507"/>
      <c r="AB259" s="507"/>
    </row>
    <row r="260" spans="2:28" ht="15.75" hidden="1" x14ac:dyDescent="0.25">
      <c r="B260" s="669" t="s">
        <v>20</v>
      </c>
      <c r="C260" s="669" t="s">
        <v>21</v>
      </c>
      <c r="D260" s="669" t="s">
        <v>132</v>
      </c>
      <c r="E260" s="92">
        <f>IFERROR(VLOOKUP(EXPENSETBL45[[#This Row],[FIELD]],FFTBL[[Field]:[Acres]],2,FALSE),"-")</f>
        <v>79.25</v>
      </c>
      <c r="F260" s="92" t="s">
        <v>323</v>
      </c>
      <c r="G260" s="92" t="s">
        <v>297</v>
      </c>
      <c r="H260" s="92" t="s">
        <v>407</v>
      </c>
      <c r="I260" s="92" t="str">
        <f>IFERROR(VLOOKUP(EXPENSETBL45[[#This Row],[OPERATION]],OPERATIONCOST,2,FALSE)," ")</f>
        <v>ACRE</v>
      </c>
      <c r="J260" s="409">
        <f>IFERROR(VLOOKUP(EXPENSETBL45[[#This Row],[OPERATION]],OPERATIONCOST2024,3,FALSE)," ")</f>
        <v>-15</v>
      </c>
      <c r="K260" s="92">
        <f>IF(EXPENSETBL45[[#This Row],[UOM]]="acre",EXPENSETBL45[[#This Row],[ACRES]]," ")</f>
        <v>79.25</v>
      </c>
      <c r="L260" s="410">
        <f t="shared" si="13"/>
        <v>1</v>
      </c>
      <c r="M260" s="410">
        <f t="shared" si="14"/>
        <v>0</v>
      </c>
      <c r="N260" s="409">
        <f>IFERROR((EXPENSETBL45[[#This Row],[MCC.ENT]]*EXPENSETBL45[[#This Row],[TOTAL]])," ")</f>
        <v>-1188.75</v>
      </c>
      <c r="O260" s="409">
        <f>IFERROR((EXPENSETBL45[[#This Row],[L.L.]]*EXPENSETBL45[[#This Row],[TOTAL]])," ")</f>
        <v>0</v>
      </c>
      <c r="P260" s="409">
        <f>IFERROR((EXPENSETBL45[[#This Row],[QTY]]*EXPENSETBL45[[#This Row],[$/UOM]])," ")</f>
        <v>-1188.75</v>
      </c>
      <c r="Q260" s="409" t="s">
        <v>285</v>
      </c>
      <c r="R260" s="92">
        <v>2025</v>
      </c>
      <c r="S260" s="507"/>
      <c r="T260" s="507"/>
      <c r="U260" s="507"/>
      <c r="V260" s="507"/>
      <c r="W260" s="507"/>
      <c r="X260" s="507"/>
      <c r="Y260" s="507"/>
      <c r="Z260" s="507"/>
      <c r="AA260" s="507"/>
      <c r="AB260" s="507"/>
    </row>
    <row r="261" spans="2:28" ht="15.75" hidden="1" x14ac:dyDescent="0.25">
      <c r="B261" s="669" t="s">
        <v>20</v>
      </c>
      <c r="C261" s="669" t="s">
        <v>21</v>
      </c>
      <c r="D261" s="669" t="s">
        <v>153</v>
      </c>
      <c r="E261" s="92">
        <f>IFERROR(VLOOKUP(EXPENSETBL45[[#This Row],[FIELD]],FFTBL[[Field]:[Acres]],2,FALSE),"-")</f>
        <v>74.900000000000006</v>
      </c>
      <c r="F261" s="92" t="s">
        <v>323</v>
      </c>
      <c r="G261" s="92" t="s">
        <v>297</v>
      </c>
      <c r="H261" s="92" t="s">
        <v>407</v>
      </c>
      <c r="I261" s="92" t="str">
        <f>IFERROR(VLOOKUP(EXPENSETBL45[[#This Row],[OPERATION]],OPERATIONCOST,2,FALSE)," ")</f>
        <v>ACRE</v>
      </c>
      <c r="J261" s="409">
        <f>IFERROR(VLOOKUP(EXPENSETBL45[[#This Row],[OPERATION]],OPERATIONCOST2024,3,FALSE)," ")</f>
        <v>-15</v>
      </c>
      <c r="K261" s="92">
        <f>IF(EXPENSETBL45[[#This Row],[UOM]]="acre",EXPENSETBL45[[#This Row],[ACRES]]," ")</f>
        <v>74.900000000000006</v>
      </c>
      <c r="L261" s="410">
        <f t="shared" si="13"/>
        <v>1</v>
      </c>
      <c r="M261" s="410">
        <f t="shared" si="14"/>
        <v>0</v>
      </c>
      <c r="N261" s="409">
        <f>IFERROR((EXPENSETBL45[[#This Row],[MCC.ENT]]*EXPENSETBL45[[#This Row],[TOTAL]])," ")</f>
        <v>-1123.5</v>
      </c>
      <c r="O261" s="409">
        <f>IFERROR((EXPENSETBL45[[#This Row],[L.L.]]*EXPENSETBL45[[#This Row],[TOTAL]])," ")</f>
        <v>0</v>
      </c>
      <c r="P261" s="409">
        <f>IFERROR((EXPENSETBL45[[#This Row],[QTY]]*EXPENSETBL45[[#This Row],[$/UOM]])," ")</f>
        <v>-1123.5</v>
      </c>
      <c r="Q261" s="409" t="s">
        <v>285</v>
      </c>
      <c r="R261" s="92">
        <v>2025</v>
      </c>
      <c r="S261" s="507"/>
      <c r="T261" s="507"/>
      <c r="U261" s="507"/>
      <c r="V261" s="507"/>
      <c r="W261" s="507"/>
      <c r="X261" s="507"/>
      <c r="Y261" s="507"/>
      <c r="Z261" s="507"/>
      <c r="AA261" s="507"/>
      <c r="AB261" s="507"/>
    </row>
    <row r="262" spans="2:28" ht="15.75" hidden="1" x14ac:dyDescent="0.25">
      <c r="B262" s="669" t="s">
        <v>20</v>
      </c>
      <c r="C262" s="669" t="s">
        <v>28</v>
      </c>
      <c r="D262" s="669" t="s">
        <v>219</v>
      </c>
      <c r="E262" s="92">
        <f>IFERROR(VLOOKUP(EXPENSETBL45[[#This Row],[FIELD]],FFTBL[[Field]:[Acres]],2,FALSE),"-")</f>
        <v>79.400000000000006</v>
      </c>
      <c r="F262" s="92" t="s">
        <v>323</v>
      </c>
      <c r="G262" s="92" t="s">
        <v>297</v>
      </c>
      <c r="H262" s="92" t="s">
        <v>407</v>
      </c>
      <c r="I262" s="92" t="str">
        <f>IFERROR(VLOOKUP(EXPENSETBL45[[#This Row],[OPERATION]],OPERATIONCOST,2,FALSE)," ")</f>
        <v>ACRE</v>
      </c>
      <c r="J262" s="409">
        <f>IFERROR(VLOOKUP(EXPENSETBL45[[#This Row],[OPERATION]],OPERATIONCOST2024,3,FALSE)," ")</f>
        <v>-15</v>
      </c>
      <c r="K262" s="92">
        <f>IF(EXPENSETBL45[[#This Row],[UOM]]="acre",EXPENSETBL45[[#This Row],[ACRES]]," ")</f>
        <v>79.400000000000006</v>
      </c>
      <c r="L262" s="410">
        <f t="shared" si="13"/>
        <v>1</v>
      </c>
      <c r="M262" s="410">
        <f t="shared" si="14"/>
        <v>0</v>
      </c>
      <c r="N262" s="409">
        <f>IFERROR((EXPENSETBL45[[#This Row],[MCC.ENT]]*EXPENSETBL45[[#This Row],[TOTAL]])," ")</f>
        <v>-1191</v>
      </c>
      <c r="O262" s="409">
        <f>IFERROR((EXPENSETBL45[[#This Row],[L.L.]]*EXPENSETBL45[[#This Row],[TOTAL]])," ")</f>
        <v>0</v>
      </c>
      <c r="P262" s="409">
        <f>IFERROR((EXPENSETBL45[[#This Row],[QTY]]*EXPENSETBL45[[#This Row],[$/UOM]])," ")</f>
        <v>-1191</v>
      </c>
      <c r="Q262" s="409" t="s">
        <v>285</v>
      </c>
      <c r="R262" s="92">
        <v>2025</v>
      </c>
      <c r="S262" s="507"/>
      <c r="T262" s="507"/>
      <c r="U262" s="507"/>
      <c r="V262" s="507"/>
      <c r="W262" s="507"/>
      <c r="X262" s="507"/>
      <c r="Y262" s="507"/>
      <c r="Z262" s="507"/>
      <c r="AA262" s="507"/>
      <c r="AB262" s="507"/>
    </row>
    <row r="263" spans="2:28" ht="15.75" hidden="1" x14ac:dyDescent="0.25">
      <c r="B263" s="669" t="s">
        <v>20</v>
      </c>
      <c r="C263" s="669" t="s">
        <v>32</v>
      </c>
      <c r="D263" s="669" t="s">
        <v>236</v>
      </c>
      <c r="E263" s="92">
        <f>IFERROR(VLOOKUP(EXPENSETBL45[[#This Row],[FIELD]],FFTBL[[Field]:[Acres]],2,FALSE),"-")</f>
        <v>78.400000000000006</v>
      </c>
      <c r="F263" s="92" t="s">
        <v>323</v>
      </c>
      <c r="G263" s="92" t="s">
        <v>297</v>
      </c>
      <c r="H263" s="92" t="s">
        <v>407</v>
      </c>
      <c r="I263" s="92" t="str">
        <f>IFERROR(VLOOKUP(EXPENSETBL45[[#This Row],[OPERATION]],OPERATIONCOST,2,FALSE)," ")</f>
        <v>ACRE</v>
      </c>
      <c r="J263" s="409">
        <f>IFERROR(VLOOKUP(EXPENSETBL45[[#This Row],[OPERATION]],OPERATIONCOST2024,3,FALSE)," ")</f>
        <v>-15</v>
      </c>
      <c r="K263" s="92">
        <f>IF(EXPENSETBL45[[#This Row],[UOM]]="acre",EXPENSETBL45[[#This Row],[ACRES]]," ")</f>
        <v>78.400000000000006</v>
      </c>
      <c r="L263" s="410">
        <f t="shared" si="13"/>
        <v>1</v>
      </c>
      <c r="M263" s="410">
        <f t="shared" si="14"/>
        <v>0</v>
      </c>
      <c r="N263" s="409">
        <f>IFERROR((EXPENSETBL45[[#This Row],[MCC.ENT]]*EXPENSETBL45[[#This Row],[TOTAL]])," ")</f>
        <v>-1176</v>
      </c>
      <c r="O263" s="409">
        <f>IFERROR((EXPENSETBL45[[#This Row],[L.L.]]*EXPENSETBL45[[#This Row],[TOTAL]])," ")</f>
        <v>0</v>
      </c>
      <c r="P263" s="409">
        <f>IFERROR((EXPENSETBL45[[#This Row],[QTY]]*EXPENSETBL45[[#This Row],[$/UOM]])," ")</f>
        <v>-1176</v>
      </c>
      <c r="Q263" s="409" t="s">
        <v>285</v>
      </c>
      <c r="R263" s="92">
        <v>2025</v>
      </c>
      <c r="S263" s="507"/>
      <c r="T263" s="507"/>
      <c r="U263" s="507"/>
      <c r="V263" s="507"/>
      <c r="W263" s="507"/>
      <c r="X263" s="507"/>
      <c r="Y263" s="507"/>
      <c r="Z263" s="507"/>
      <c r="AA263" s="507"/>
      <c r="AB263" s="507"/>
    </row>
    <row r="264" spans="2:28" ht="15.75" hidden="1" x14ac:dyDescent="0.25">
      <c r="B264" s="669" t="s">
        <v>20</v>
      </c>
      <c r="C264" s="669" t="s">
        <v>32</v>
      </c>
      <c r="D264" s="669" t="s">
        <v>243</v>
      </c>
      <c r="E264" s="92">
        <f>IFERROR(VLOOKUP(EXPENSETBL45[[#This Row],[FIELD]],FFTBL[[Field]:[Acres]],2,FALSE),"-")</f>
        <v>79.099999999999994</v>
      </c>
      <c r="F264" s="92" t="s">
        <v>323</v>
      </c>
      <c r="G264" s="92" t="s">
        <v>297</v>
      </c>
      <c r="H264" s="92" t="s">
        <v>407</v>
      </c>
      <c r="I264" s="92" t="str">
        <f>IFERROR(VLOOKUP(EXPENSETBL45[[#This Row],[OPERATION]],OPERATIONCOST,2,FALSE)," ")</f>
        <v>ACRE</v>
      </c>
      <c r="J264" s="409">
        <f>IFERROR(VLOOKUP(EXPENSETBL45[[#This Row],[OPERATION]],OPERATIONCOST2024,3,FALSE)," ")</f>
        <v>-15</v>
      </c>
      <c r="K264" s="92">
        <f>IF(EXPENSETBL45[[#This Row],[UOM]]="acre",EXPENSETBL45[[#This Row],[ACRES]]," ")</f>
        <v>79.099999999999994</v>
      </c>
      <c r="L264" s="410">
        <f t="shared" si="13"/>
        <v>1</v>
      </c>
      <c r="M264" s="410">
        <f t="shared" si="14"/>
        <v>0</v>
      </c>
      <c r="N264" s="409">
        <f>IFERROR((EXPENSETBL45[[#This Row],[MCC.ENT]]*EXPENSETBL45[[#This Row],[TOTAL]])," ")</f>
        <v>-1186.5</v>
      </c>
      <c r="O264" s="409">
        <f>IFERROR((EXPENSETBL45[[#This Row],[L.L.]]*EXPENSETBL45[[#This Row],[TOTAL]])," ")</f>
        <v>0</v>
      </c>
      <c r="P264" s="409">
        <f>IFERROR((EXPENSETBL45[[#This Row],[QTY]]*EXPENSETBL45[[#This Row],[$/UOM]])," ")</f>
        <v>-1186.5</v>
      </c>
      <c r="Q264" s="409" t="s">
        <v>285</v>
      </c>
      <c r="R264" s="92">
        <v>2025</v>
      </c>
      <c r="S264" s="507"/>
      <c r="T264" s="507"/>
      <c r="U264" s="507"/>
      <c r="V264" s="507"/>
      <c r="W264" s="507"/>
      <c r="X264" s="507"/>
      <c r="Y264" s="507"/>
      <c r="Z264" s="507"/>
      <c r="AA264" s="507"/>
      <c r="AB264" s="507"/>
    </row>
    <row r="265" spans="2:28" ht="15.75" hidden="1" x14ac:dyDescent="0.25">
      <c r="B265" s="669" t="s">
        <v>20</v>
      </c>
      <c r="C265" s="669" t="s">
        <v>80</v>
      </c>
      <c r="D265" s="669" t="s">
        <v>638</v>
      </c>
      <c r="E265" s="92" t="str">
        <f>IFERROR(VLOOKUP(EXPENSETBL45[[#This Row],[FIELD]],FFTBL[[Field]:[Acres]],2,FALSE),"-")</f>
        <v>-</v>
      </c>
      <c r="F265" s="92" t="s">
        <v>323</v>
      </c>
      <c r="G265" s="92" t="s">
        <v>297</v>
      </c>
      <c r="H265" s="92" t="s">
        <v>407</v>
      </c>
      <c r="I265" s="92" t="str">
        <f>IFERROR(VLOOKUP(EXPENSETBL45[[#This Row],[OPERATION]],OPERATIONCOST,2,FALSE)," ")</f>
        <v>ACRE</v>
      </c>
      <c r="J265" s="409">
        <f>IFERROR(VLOOKUP(EXPENSETBL45[[#This Row],[OPERATION]],OPERATIONCOST2024,3,FALSE)," ")</f>
        <v>-15</v>
      </c>
      <c r="K265" s="92" t="str">
        <f>IF(EXPENSETBL45[[#This Row],[UOM]]="acre",EXPENSETBL45[[#This Row],[ACRES]]," ")</f>
        <v>-</v>
      </c>
      <c r="L265" s="410">
        <f t="shared" si="13"/>
        <v>1</v>
      </c>
      <c r="M265" s="410">
        <f t="shared" si="14"/>
        <v>0</v>
      </c>
      <c r="N265" s="409" t="str">
        <f>IFERROR((EXPENSETBL45[[#This Row],[MCC.ENT]]*EXPENSETBL45[[#This Row],[TOTAL]])," ")</f>
        <v xml:space="preserve"> </v>
      </c>
      <c r="O265" s="409" t="str">
        <f>IFERROR((EXPENSETBL45[[#This Row],[L.L.]]*EXPENSETBL45[[#This Row],[TOTAL]])," ")</f>
        <v xml:space="preserve"> </v>
      </c>
      <c r="P265" s="409" t="str">
        <f>IFERROR((EXPENSETBL45[[#This Row],[QTY]]*EXPENSETBL45[[#This Row],[$/UOM]])," ")</f>
        <v xml:space="preserve"> </v>
      </c>
      <c r="Q265" s="409" t="s">
        <v>285</v>
      </c>
      <c r="R265" s="92">
        <v>2025</v>
      </c>
      <c r="S265" s="507"/>
      <c r="T265" s="507"/>
      <c r="U265" s="507"/>
      <c r="V265" s="507"/>
      <c r="W265" s="507"/>
      <c r="X265" s="507"/>
      <c r="Y265" s="507"/>
      <c r="Z265" s="507"/>
      <c r="AA265" s="507"/>
      <c r="AB265" s="507"/>
    </row>
    <row r="266" spans="2:28" ht="15.75" hidden="1" x14ac:dyDescent="0.25">
      <c r="B266" s="669" t="s">
        <v>20</v>
      </c>
      <c r="C266" s="669" t="s">
        <v>21</v>
      </c>
      <c r="D266" s="669" t="s">
        <v>132</v>
      </c>
      <c r="E266" s="92">
        <f>IFERROR(VLOOKUP(EXPENSETBL45[[#This Row],[FIELD]],FFTBL[[Field]:[Acres]],2,FALSE),"-")</f>
        <v>79.25</v>
      </c>
      <c r="F266" s="92" t="s">
        <v>323</v>
      </c>
      <c r="G266" s="92" t="s">
        <v>297</v>
      </c>
      <c r="H266" s="92" t="s">
        <v>388</v>
      </c>
      <c r="I266" s="92" t="str">
        <f>IFERROR(VLOOKUP(EXPENSETBL45[[#This Row],[OPERATION]],OPERATIONCOST,2,FALSE)," ")</f>
        <v>ACRE</v>
      </c>
      <c r="J266" s="409">
        <f>IFERROR(VLOOKUP(EXPENSETBL45[[#This Row],[OPERATION]],OPERATIONCOST2024,3,FALSE)," ")</f>
        <v>-14</v>
      </c>
      <c r="K266" s="92">
        <f>IF(EXPENSETBL45[[#This Row],[UOM]]="acre",EXPENSETBL45[[#This Row],[ACRES]]," ")</f>
        <v>79.25</v>
      </c>
      <c r="L266" s="410">
        <f t="shared" si="13"/>
        <v>1</v>
      </c>
      <c r="M266" s="410">
        <f t="shared" si="14"/>
        <v>0</v>
      </c>
      <c r="N266" s="409">
        <f>IFERROR((EXPENSETBL45[[#This Row],[MCC.ENT]]*EXPENSETBL45[[#This Row],[TOTAL]])," ")</f>
        <v>-1109.5</v>
      </c>
      <c r="O266" s="409">
        <f>IFERROR((EXPENSETBL45[[#This Row],[L.L.]]*EXPENSETBL45[[#This Row],[TOTAL]])," ")</f>
        <v>0</v>
      </c>
      <c r="P266" s="409">
        <f>IFERROR((EXPENSETBL45[[#This Row],[QTY]]*EXPENSETBL45[[#This Row],[$/UOM]])," ")</f>
        <v>-1109.5</v>
      </c>
      <c r="Q266" s="409" t="s">
        <v>285</v>
      </c>
      <c r="R266" s="92">
        <v>2025</v>
      </c>
      <c r="S266" s="507"/>
      <c r="T266" s="507"/>
      <c r="U266" s="507"/>
      <c r="V266" s="507"/>
      <c r="W266" s="507"/>
      <c r="X266" s="507"/>
      <c r="Y266" s="507"/>
      <c r="Z266" s="507"/>
      <c r="AA266" s="507"/>
      <c r="AB266" s="507"/>
    </row>
    <row r="267" spans="2:28" ht="15.75" hidden="1" x14ac:dyDescent="0.25">
      <c r="B267" s="669" t="s">
        <v>20</v>
      </c>
      <c r="C267" s="669" t="s">
        <v>21</v>
      </c>
      <c r="D267" s="669" t="s">
        <v>153</v>
      </c>
      <c r="E267" s="92">
        <f>IFERROR(VLOOKUP(EXPENSETBL45[[#This Row],[FIELD]],FFTBL[[Field]:[Acres]],2,FALSE),"-")</f>
        <v>74.900000000000006</v>
      </c>
      <c r="F267" s="92" t="s">
        <v>323</v>
      </c>
      <c r="G267" s="92" t="s">
        <v>297</v>
      </c>
      <c r="H267" s="92" t="s">
        <v>388</v>
      </c>
      <c r="I267" s="92" t="str">
        <f>IFERROR(VLOOKUP(EXPENSETBL45[[#This Row],[OPERATION]],OPERATIONCOST,2,FALSE)," ")</f>
        <v>ACRE</v>
      </c>
      <c r="J267" s="409">
        <f>IFERROR(VLOOKUP(EXPENSETBL45[[#This Row],[OPERATION]],OPERATIONCOST2024,3,FALSE)," ")</f>
        <v>-14</v>
      </c>
      <c r="K267" s="92">
        <f>IF(EXPENSETBL45[[#This Row],[UOM]]="acre",EXPENSETBL45[[#This Row],[ACRES]]," ")</f>
        <v>74.900000000000006</v>
      </c>
      <c r="L267" s="410">
        <f t="shared" si="13"/>
        <v>1</v>
      </c>
      <c r="M267" s="410">
        <f t="shared" si="14"/>
        <v>0</v>
      </c>
      <c r="N267" s="409">
        <f>IFERROR((EXPENSETBL45[[#This Row],[MCC.ENT]]*EXPENSETBL45[[#This Row],[TOTAL]])," ")</f>
        <v>-1048.6000000000001</v>
      </c>
      <c r="O267" s="409">
        <f>IFERROR((EXPENSETBL45[[#This Row],[L.L.]]*EXPENSETBL45[[#This Row],[TOTAL]])," ")</f>
        <v>0</v>
      </c>
      <c r="P267" s="409">
        <f>IFERROR((EXPENSETBL45[[#This Row],[QTY]]*EXPENSETBL45[[#This Row],[$/UOM]])," ")</f>
        <v>-1048.6000000000001</v>
      </c>
      <c r="Q267" s="409" t="s">
        <v>285</v>
      </c>
      <c r="R267" s="92">
        <v>2025</v>
      </c>
      <c r="S267" s="507"/>
      <c r="T267" s="507"/>
      <c r="U267" s="507"/>
      <c r="V267" s="507"/>
      <c r="W267" s="507"/>
      <c r="X267" s="507"/>
      <c r="Y267" s="507"/>
      <c r="Z267" s="507"/>
      <c r="AA267" s="507"/>
      <c r="AB267" s="507"/>
    </row>
    <row r="268" spans="2:28" ht="15.75" hidden="1" x14ac:dyDescent="0.25">
      <c r="B268" s="669" t="s">
        <v>20</v>
      </c>
      <c r="C268" s="669" t="s">
        <v>28</v>
      </c>
      <c r="D268" s="669" t="s">
        <v>219</v>
      </c>
      <c r="E268" s="92">
        <f>IFERROR(VLOOKUP(EXPENSETBL45[[#This Row],[FIELD]],FFTBL[[Field]:[Acres]],2,FALSE),"-")</f>
        <v>79.400000000000006</v>
      </c>
      <c r="F268" s="92" t="s">
        <v>323</v>
      </c>
      <c r="G268" s="92" t="s">
        <v>297</v>
      </c>
      <c r="H268" s="92" t="s">
        <v>388</v>
      </c>
      <c r="I268" s="92" t="str">
        <f>IFERROR(VLOOKUP(EXPENSETBL45[[#This Row],[OPERATION]],OPERATIONCOST,2,FALSE)," ")</f>
        <v>ACRE</v>
      </c>
      <c r="J268" s="409">
        <f>IFERROR(VLOOKUP(EXPENSETBL45[[#This Row],[OPERATION]],OPERATIONCOST2024,3,FALSE)," ")</f>
        <v>-14</v>
      </c>
      <c r="K268" s="92">
        <f>IF(EXPENSETBL45[[#This Row],[UOM]]="acre",EXPENSETBL45[[#This Row],[ACRES]]," ")</f>
        <v>79.400000000000006</v>
      </c>
      <c r="L268" s="410">
        <f t="shared" si="13"/>
        <v>1</v>
      </c>
      <c r="M268" s="410">
        <f t="shared" si="14"/>
        <v>0</v>
      </c>
      <c r="N268" s="409">
        <f>IFERROR((EXPENSETBL45[[#This Row],[MCC.ENT]]*EXPENSETBL45[[#This Row],[TOTAL]])," ")</f>
        <v>-1111.6000000000001</v>
      </c>
      <c r="O268" s="409">
        <f>IFERROR((EXPENSETBL45[[#This Row],[L.L.]]*EXPENSETBL45[[#This Row],[TOTAL]])," ")</f>
        <v>0</v>
      </c>
      <c r="P268" s="409">
        <f>IFERROR((EXPENSETBL45[[#This Row],[QTY]]*EXPENSETBL45[[#This Row],[$/UOM]])," ")</f>
        <v>-1111.6000000000001</v>
      </c>
      <c r="Q268" s="409" t="s">
        <v>285</v>
      </c>
      <c r="R268" s="92">
        <v>2025</v>
      </c>
      <c r="S268" s="507"/>
      <c r="T268" s="507"/>
      <c r="U268" s="507"/>
      <c r="V268" s="507"/>
      <c r="W268" s="507"/>
      <c r="X268" s="507"/>
      <c r="Y268" s="507"/>
      <c r="Z268" s="507"/>
      <c r="AA268" s="507"/>
      <c r="AB268" s="507"/>
    </row>
    <row r="269" spans="2:28" ht="15.75" hidden="1" x14ac:dyDescent="0.25">
      <c r="B269" s="669" t="s">
        <v>20</v>
      </c>
      <c r="C269" s="669" t="s">
        <v>32</v>
      </c>
      <c r="D269" s="669" t="s">
        <v>236</v>
      </c>
      <c r="E269" s="92">
        <f>IFERROR(VLOOKUP(EXPENSETBL45[[#This Row],[FIELD]],FFTBL[[Field]:[Acres]],2,FALSE),"-")</f>
        <v>78.400000000000006</v>
      </c>
      <c r="F269" s="92" t="s">
        <v>323</v>
      </c>
      <c r="G269" s="92" t="s">
        <v>297</v>
      </c>
      <c r="H269" s="92" t="s">
        <v>388</v>
      </c>
      <c r="I269" s="92" t="str">
        <f>IFERROR(VLOOKUP(EXPENSETBL45[[#This Row],[OPERATION]],OPERATIONCOST,2,FALSE)," ")</f>
        <v>ACRE</v>
      </c>
      <c r="J269" s="409">
        <f>IFERROR(VLOOKUP(EXPENSETBL45[[#This Row],[OPERATION]],OPERATIONCOST2024,3,FALSE)," ")</f>
        <v>-14</v>
      </c>
      <c r="K269" s="92">
        <f>IF(EXPENSETBL45[[#This Row],[UOM]]="acre",EXPENSETBL45[[#This Row],[ACRES]]," ")</f>
        <v>78.400000000000006</v>
      </c>
      <c r="L269" s="410">
        <f t="shared" si="13"/>
        <v>1</v>
      </c>
      <c r="M269" s="410">
        <f t="shared" si="14"/>
        <v>0</v>
      </c>
      <c r="N269" s="409">
        <f>IFERROR((EXPENSETBL45[[#This Row],[MCC.ENT]]*EXPENSETBL45[[#This Row],[TOTAL]])," ")</f>
        <v>-1097.6000000000001</v>
      </c>
      <c r="O269" s="409">
        <f>IFERROR((EXPENSETBL45[[#This Row],[L.L.]]*EXPENSETBL45[[#This Row],[TOTAL]])," ")</f>
        <v>0</v>
      </c>
      <c r="P269" s="409">
        <f>IFERROR((EXPENSETBL45[[#This Row],[QTY]]*EXPENSETBL45[[#This Row],[$/UOM]])," ")</f>
        <v>-1097.6000000000001</v>
      </c>
      <c r="Q269" s="409" t="s">
        <v>285</v>
      </c>
      <c r="R269" s="92">
        <v>2025</v>
      </c>
      <c r="S269" s="507"/>
      <c r="T269" s="507"/>
      <c r="U269" s="507"/>
      <c r="V269" s="507"/>
      <c r="W269" s="507"/>
      <c r="X269" s="507"/>
      <c r="Y269" s="507"/>
      <c r="Z269" s="507"/>
      <c r="AA269" s="507"/>
      <c r="AB269" s="507"/>
    </row>
    <row r="270" spans="2:28" ht="15.75" hidden="1" x14ac:dyDescent="0.25">
      <c r="B270" s="669" t="s">
        <v>20</v>
      </c>
      <c r="C270" s="669" t="s">
        <v>32</v>
      </c>
      <c r="D270" s="669" t="s">
        <v>243</v>
      </c>
      <c r="E270" s="92">
        <f>IFERROR(VLOOKUP(EXPENSETBL45[[#This Row],[FIELD]],FFTBL[[Field]:[Acres]],2,FALSE),"-")</f>
        <v>79.099999999999994</v>
      </c>
      <c r="F270" s="92" t="s">
        <v>323</v>
      </c>
      <c r="G270" s="92" t="s">
        <v>297</v>
      </c>
      <c r="H270" s="92" t="s">
        <v>388</v>
      </c>
      <c r="I270" s="92" t="str">
        <f>IFERROR(VLOOKUP(EXPENSETBL45[[#This Row],[OPERATION]],OPERATIONCOST,2,FALSE)," ")</f>
        <v>ACRE</v>
      </c>
      <c r="J270" s="409">
        <f>IFERROR(VLOOKUP(EXPENSETBL45[[#This Row],[OPERATION]],OPERATIONCOST2024,3,FALSE)," ")</f>
        <v>-14</v>
      </c>
      <c r="K270" s="92">
        <f>IF(EXPENSETBL45[[#This Row],[UOM]]="acre",EXPENSETBL45[[#This Row],[ACRES]]," ")</f>
        <v>79.099999999999994</v>
      </c>
      <c r="L270" s="410">
        <f t="shared" si="13"/>
        <v>1</v>
      </c>
      <c r="M270" s="410">
        <f t="shared" si="14"/>
        <v>0</v>
      </c>
      <c r="N270" s="409">
        <f>IFERROR((EXPENSETBL45[[#This Row],[MCC.ENT]]*EXPENSETBL45[[#This Row],[TOTAL]])," ")</f>
        <v>-1107.3999999999999</v>
      </c>
      <c r="O270" s="409">
        <f>IFERROR((EXPENSETBL45[[#This Row],[L.L.]]*EXPENSETBL45[[#This Row],[TOTAL]])," ")</f>
        <v>0</v>
      </c>
      <c r="P270" s="409">
        <f>IFERROR((EXPENSETBL45[[#This Row],[QTY]]*EXPENSETBL45[[#This Row],[$/UOM]])," ")</f>
        <v>-1107.3999999999999</v>
      </c>
      <c r="Q270" s="409" t="s">
        <v>285</v>
      </c>
      <c r="R270" s="92">
        <v>2025</v>
      </c>
      <c r="S270" s="507"/>
      <c r="T270" s="507"/>
      <c r="U270" s="507"/>
      <c r="V270" s="507"/>
      <c r="W270" s="507"/>
      <c r="X270" s="507"/>
      <c r="Y270" s="507"/>
      <c r="Z270" s="507"/>
      <c r="AA270" s="507"/>
      <c r="AB270" s="507"/>
    </row>
    <row r="271" spans="2:28" ht="15.75" hidden="1" x14ac:dyDescent="0.25">
      <c r="B271" s="669" t="s">
        <v>20</v>
      </c>
      <c r="C271" s="669" t="s">
        <v>80</v>
      </c>
      <c r="D271" s="669" t="s">
        <v>638</v>
      </c>
      <c r="E271" s="92" t="str">
        <f>IFERROR(VLOOKUP(EXPENSETBL45[[#This Row],[FIELD]],FFTBL[[Field]:[Acres]],2,FALSE),"-")</f>
        <v>-</v>
      </c>
      <c r="F271" s="92" t="s">
        <v>323</v>
      </c>
      <c r="G271" s="92" t="s">
        <v>297</v>
      </c>
      <c r="H271" s="92" t="s">
        <v>388</v>
      </c>
      <c r="I271" s="92" t="str">
        <f>IFERROR(VLOOKUP(EXPENSETBL45[[#This Row],[OPERATION]],OPERATIONCOST,2,FALSE)," ")</f>
        <v>ACRE</v>
      </c>
      <c r="J271" s="409">
        <f>IFERROR(VLOOKUP(EXPENSETBL45[[#This Row],[OPERATION]],OPERATIONCOST2024,3,FALSE)," ")</f>
        <v>-14</v>
      </c>
      <c r="K271" s="92" t="str">
        <f>IF(EXPENSETBL45[[#This Row],[UOM]]="acre",EXPENSETBL45[[#This Row],[ACRES]]," ")</f>
        <v>-</v>
      </c>
      <c r="L271" s="410">
        <f t="shared" si="13"/>
        <v>1</v>
      </c>
      <c r="M271" s="410">
        <f t="shared" si="14"/>
        <v>0</v>
      </c>
      <c r="N271" s="409" t="str">
        <f>IFERROR((EXPENSETBL45[[#This Row],[MCC.ENT]]*EXPENSETBL45[[#This Row],[TOTAL]])," ")</f>
        <v xml:space="preserve"> </v>
      </c>
      <c r="O271" s="409" t="str">
        <f>IFERROR((EXPENSETBL45[[#This Row],[L.L.]]*EXPENSETBL45[[#This Row],[TOTAL]])," ")</f>
        <v xml:space="preserve"> </v>
      </c>
      <c r="P271" s="409" t="str">
        <f>IFERROR((EXPENSETBL45[[#This Row],[QTY]]*EXPENSETBL45[[#This Row],[$/UOM]])," ")</f>
        <v xml:space="preserve"> </v>
      </c>
      <c r="Q271" s="409" t="s">
        <v>285</v>
      </c>
      <c r="R271" s="92">
        <v>2025</v>
      </c>
      <c r="S271" s="507"/>
      <c r="T271" s="507"/>
      <c r="U271" s="507"/>
      <c r="V271" s="507"/>
      <c r="W271" s="507"/>
      <c r="X271" s="507"/>
      <c r="Y271" s="507"/>
      <c r="Z271" s="507"/>
      <c r="AA271" s="507"/>
      <c r="AB271" s="507"/>
    </row>
    <row r="272" spans="2:28" ht="15.75" hidden="1" x14ac:dyDescent="0.25">
      <c r="B272" s="669" t="s">
        <v>20</v>
      </c>
      <c r="C272" s="669" t="s">
        <v>21</v>
      </c>
      <c r="D272" s="669" t="s">
        <v>132</v>
      </c>
      <c r="E272" s="92">
        <f>IFERROR(VLOOKUP(EXPENSETBL45[[#This Row],[FIELD]],FFTBL[[Field]:[Acres]],2,FALSE),"-")</f>
        <v>79.25</v>
      </c>
      <c r="F272" s="92" t="s">
        <v>323</v>
      </c>
      <c r="G272" s="92" t="s">
        <v>297</v>
      </c>
      <c r="H272" s="92" t="s">
        <v>387</v>
      </c>
      <c r="I272" s="92" t="str">
        <f>IFERROR(VLOOKUP(EXPENSETBL45[[#This Row],[OPERATION]],OPERATIONCOST,2,FALSE)," ")</f>
        <v>ACRE</v>
      </c>
      <c r="J272" s="409">
        <f>IFERROR(VLOOKUP(EXPENSETBL45[[#This Row],[OPERATION]],OPERATIONCOST2024,3,FALSE)," ")</f>
        <v>-12</v>
      </c>
      <c r="K272" s="92">
        <f>IF(EXPENSETBL45[[#This Row],[UOM]]="acre",EXPENSETBL45[[#This Row],[ACRES]]," ")</f>
        <v>79.25</v>
      </c>
      <c r="L272" s="410">
        <f t="shared" si="13"/>
        <v>1</v>
      </c>
      <c r="M272" s="410">
        <f t="shared" si="14"/>
        <v>0</v>
      </c>
      <c r="N272" s="409">
        <f>IFERROR((EXPENSETBL45[[#This Row],[MCC.ENT]]*EXPENSETBL45[[#This Row],[TOTAL]])," ")</f>
        <v>-951</v>
      </c>
      <c r="O272" s="409">
        <f>IFERROR((EXPENSETBL45[[#This Row],[L.L.]]*EXPENSETBL45[[#This Row],[TOTAL]])," ")</f>
        <v>0</v>
      </c>
      <c r="P272" s="409">
        <f>IFERROR((EXPENSETBL45[[#This Row],[QTY]]*EXPENSETBL45[[#This Row],[$/UOM]])," ")</f>
        <v>-951</v>
      </c>
      <c r="Q272" s="409" t="s">
        <v>285</v>
      </c>
      <c r="R272" s="92">
        <v>2025</v>
      </c>
      <c r="S272" s="507"/>
      <c r="T272" s="507"/>
      <c r="U272" s="507"/>
      <c r="V272" s="507"/>
      <c r="W272" s="507"/>
      <c r="X272" s="507"/>
      <c r="Y272" s="507"/>
      <c r="Z272" s="507"/>
      <c r="AA272" s="507"/>
      <c r="AB272" s="507"/>
    </row>
    <row r="273" spans="2:28" ht="15.75" hidden="1" x14ac:dyDescent="0.25">
      <c r="B273" s="669" t="s">
        <v>20</v>
      </c>
      <c r="C273" s="669" t="s">
        <v>21</v>
      </c>
      <c r="D273" s="669" t="s">
        <v>153</v>
      </c>
      <c r="E273" s="92">
        <f>IFERROR(VLOOKUP(EXPENSETBL45[[#This Row],[FIELD]],FFTBL[[Field]:[Acres]],2,FALSE),"-")</f>
        <v>74.900000000000006</v>
      </c>
      <c r="F273" s="92" t="s">
        <v>323</v>
      </c>
      <c r="G273" s="92" t="s">
        <v>297</v>
      </c>
      <c r="H273" s="92" t="s">
        <v>387</v>
      </c>
      <c r="I273" s="92" t="str">
        <f>IFERROR(VLOOKUP(EXPENSETBL45[[#This Row],[OPERATION]],OPERATIONCOST,2,FALSE)," ")</f>
        <v>ACRE</v>
      </c>
      <c r="J273" s="409">
        <f>IFERROR(VLOOKUP(EXPENSETBL45[[#This Row],[OPERATION]],OPERATIONCOST2024,3,FALSE)," ")</f>
        <v>-12</v>
      </c>
      <c r="K273" s="92">
        <f>IF(EXPENSETBL45[[#This Row],[UOM]]="acre",EXPENSETBL45[[#This Row],[ACRES]]," ")</f>
        <v>74.900000000000006</v>
      </c>
      <c r="L273" s="410">
        <f t="shared" si="13"/>
        <v>1</v>
      </c>
      <c r="M273" s="410">
        <f t="shared" si="14"/>
        <v>0</v>
      </c>
      <c r="N273" s="409">
        <f>IFERROR((EXPENSETBL45[[#This Row],[MCC.ENT]]*EXPENSETBL45[[#This Row],[TOTAL]])," ")</f>
        <v>-898.80000000000007</v>
      </c>
      <c r="O273" s="409">
        <f>IFERROR((EXPENSETBL45[[#This Row],[L.L.]]*EXPENSETBL45[[#This Row],[TOTAL]])," ")</f>
        <v>0</v>
      </c>
      <c r="P273" s="409">
        <f>IFERROR((EXPENSETBL45[[#This Row],[QTY]]*EXPENSETBL45[[#This Row],[$/UOM]])," ")</f>
        <v>-898.80000000000007</v>
      </c>
      <c r="Q273" s="409" t="s">
        <v>285</v>
      </c>
      <c r="R273" s="92">
        <v>2025</v>
      </c>
      <c r="S273" s="507"/>
      <c r="T273" s="507"/>
      <c r="U273" s="507"/>
      <c r="V273" s="507"/>
      <c r="W273" s="507"/>
      <c r="X273" s="507"/>
      <c r="Y273" s="507"/>
      <c r="Z273" s="507"/>
      <c r="AA273" s="507"/>
      <c r="AB273" s="507"/>
    </row>
    <row r="274" spans="2:28" ht="15.75" hidden="1" x14ac:dyDescent="0.25">
      <c r="B274" s="669" t="s">
        <v>20</v>
      </c>
      <c r="C274" s="669" t="s">
        <v>28</v>
      </c>
      <c r="D274" s="669" t="s">
        <v>219</v>
      </c>
      <c r="E274" s="92">
        <f>IFERROR(VLOOKUP(EXPENSETBL45[[#This Row],[FIELD]],FFTBL[[Field]:[Acres]],2,FALSE),"-")</f>
        <v>79.400000000000006</v>
      </c>
      <c r="F274" s="92" t="s">
        <v>323</v>
      </c>
      <c r="G274" s="92" t="s">
        <v>297</v>
      </c>
      <c r="H274" s="92" t="s">
        <v>387</v>
      </c>
      <c r="I274" s="92" t="str">
        <f>IFERROR(VLOOKUP(EXPENSETBL45[[#This Row],[OPERATION]],OPERATIONCOST,2,FALSE)," ")</f>
        <v>ACRE</v>
      </c>
      <c r="J274" s="409">
        <f>IFERROR(VLOOKUP(EXPENSETBL45[[#This Row],[OPERATION]],OPERATIONCOST2024,3,FALSE)," ")</f>
        <v>-12</v>
      </c>
      <c r="K274" s="92">
        <f>IF(EXPENSETBL45[[#This Row],[UOM]]="acre",EXPENSETBL45[[#This Row],[ACRES]]," ")</f>
        <v>79.400000000000006</v>
      </c>
      <c r="L274" s="410">
        <f t="shared" si="13"/>
        <v>1</v>
      </c>
      <c r="M274" s="410">
        <f t="shared" si="14"/>
        <v>0</v>
      </c>
      <c r="N274" s="409">
        <f>IFERROR((EXPENSETBL45[[#This Row],[MCC.ENT]]*EXPENSETBL45[[#This Row],[TOTAL]])," ")</f>
        <v>-952.80000000000007</v>
      </c>
      <c r="O274" s="409">
        <f>IFERROR((EXPENSETBL45[[#This Row],[L.L.]]*EXPENSETBL45[[#This Row],[TOTAL]])," ")</f>
        <v>0</v>
      </c>
      <c r="P274" s="409">
        <f>IFERROR((EXPENSETBL45[[#This Row],[QTY]]*EXPENSETBL45[[#This Row],[$/UOM]])," ")</f>
        <v>-952.80000000000007</v>
      </c>
      <c r="Q274" s="409" t="s">
        <v>285</v>
      </c>
      <c r="R274" s="92">
        <v>2025</v>
      </c>
      <c r="S274" s="507"/>
      <c r="T274" s="507"/>
      <c r="U274" s="507"/>
      <c r="V274" s="507"/>
      <c r="W274" s="507"/>
      <c r="X274" s="507"/>
      <c r="Y274" s="507"/>
      <c r="Z274" s="507"/>
      <c r="AA274" s="507"/>
      <c r="AB274" s="507"/>
    </row>
    <row r="275" spans="2:28" ht="15.75" hidden="1" x14ac:dyDescent="0.25">
      <c r="B275" s="669" t="s">
        <v>20</v>
      </c>
      <c r="C275" s="669" t="s">
        <v>32</v>
      </c>
      <c r="D275" s="669" t="s">
        <v>236</v>
      </c>
      <c r="E275" s="92">
        <f>IFERROR(VLOOKUP(EXPENSETBL45[[#This Row],[FIELD]],FFTBL[[Field]:[Acres]],2,FALSE),"-")</f>
        <v>78.400000000000006</v>
      </c>
      <c r="F275" s="92" t="s">
        <v>323</v>
      </c>
      <c r="G275" s="92" t="s">
        <v>297</v>
      </c>
      <c r="H275" s="92" t="s">
        <v>387</v>
      </c>
      <c r="I275" s="92" t="str">
        <f>IFERROR(VLOOKUP(EXPENSETBL45[[#This Row],[OPERATION]],OPERATIONCOST,2,FALSE)," ")</f>
        <v>ACRE</v>
      </c>
      <c r="J275" s="409">
        <f>IFERROR(VLOOKUP(EXPENSETBL45[[#This Row],[OPERATION]],OPERATIONCOST2024,3,FALSE)," ")</f>
        <v>-12</v>
      </c>
      <c r="K275" s="92">
        <f>IF(EXPENSETBL45[[#This Row],[UOM]]="acre",EXPENSETBL45[[#This Row],[ACRES]]," ")</f>
        <v>78.400000000000006</v>
      </c>
      <c r="L275" s="410">
        <f t="shared" si="13"/>
        <v>1</v>
      </c>
      <c r="M275" s="410">
        <f t="shared" si="14"/>
        <v>0</v>
      </c>
      <c r="N275" s="409">
        <f>IFERROR((EXPENSETBL45[[#This Row],[MCC.ENT]]*EXPENSETBL45[[#This Row],[TOTAL]])," ")</f>
        <v>-940.80000000000007</v>
      </c>
      <c r="O275" s="409">
        <f>IFERROR((EXPENSETBL45[[#This Row],[L.L.]]*EXPENSETBL45[[#This Row],[TOTAL]])," ")</f>
        <v>0</v>
      </c>
      <c r="P275" s="409">
        <f>IFERROR((EXPENSETBL45[[#This Row],[QTY]]*EXPENSETBL45[[#This Row],[$/UOM]])," ")</f>
        <v>-940.80000000000007</v>
      </c>
      <c r="Q275" s="409" t="s">
        <v>285</v>
      </c>
      <c r="R275" s="92">
        <v>2025</v>
      </c>
      <c r="S275" s="507"/>
      <c r="T275" s="507"/>
      <c r="U275" s="507"/>
      <c r="V275" s="507"/>
      <c r="W275" s="507"/>
      <c r="X275" s="507"/>
      <c r="Y275" s="507"/>
      <c r="Z275" s="507"/>
      <c r="AA275" s="507"/>
      <c r="AB275" s="507"/>
    </row>
    <row r="276" spans="2:28" ht="15.75" hidden="1" x14ac:dyDescent="0.25">
      <c r="B276" s="669" t="s">
        <v>20</v>
      </c>
      <c r="C276" s="669" t="s">
        <v>32</v>
      </c>
      <c r="D276" s="669" t="s">
        <v>243</v>
      </c>
      <c r="E276" s="92">
        <f>IFERROR(VLOOKUP(EXPENSETBL45[[#This Row],[FIELD]],FFTBL[[Field]:[Acres]],2,FALSE),"-")</f>
        <v>79.099999999999994</v>
      </c>
      <c r="F276" s="92" t="s">
        <v>323</v>
      </c>
      <c r="G276" s="92" t="s">
        <v>297</v>
      </c>
      <c r="H276" s="92" t="s">
        <v>387</v>
      </c>
      <c r="I276" s="92" t="str">
        <f>IFERROR(VLOOKUP(EXPENSETBL45[[#This Row],[OPERATION]],OPERATIONCOST,2,FALSE)," ")</f>
        <v>ACRE</v>
      </c>
      <c r="J276" s="409">
        <f>IFERROR(VLOOKUP(EXPENSETBL45[[#This Row],[OPERATION]],OPERATIONCOST2024,3,FALSE)," ")</f>
        <v>-12</v>
      </c>
      <c r="K276" s="92">
        <f>IF(EXPENSETBL45[[#This Row],[UOM]]="acre",EXPENSETBL45[[#This Row],[ACRES]]," ")</f>
        <v>79.099999999999994</v>
      </c>
      <c r="L276" s="410">
        <f t="shared" si="13"/>
        <v>1</v>
      </c>
      <c r="M276" s="410">
        <f t="shared" si="14"/>
        <v>0</v>
      </c>
      <c r="N276" s="409">
        <f>IFERROR((EXPENSETBL45[[#This Row],[MCC.ENT]]*EXPENSETBL45[[#This Row],[TOTAL]])," ")</f>
        <v>-949.19999999999993</v>
      </c>
      <c r="O276" s="409">
        <f>IFERROR((EXPENSETBL45[[#This Row],[L.L.]]*EXPENSETBL45[[#This Row],[TOTAL]])," ")</f>
        <v>0</v>
      </c>
      <c r="P276" s="409">
        <f>IFERROR((EXPENSETBL45[[#This Row],[QTY]]*EXPENSETBL45[[#This Row],[$/UOM]])," ")</f>
        <v>-949.19999999999993</v>
      </c>
      <c r="Q276" s="409" t="s">
        <v>285</v>
      </c>
      <c r="R276" s="92">
        <v>2025</v>
      </c>
      <c r="S276" s="507"/>
      <c r="T276" s="507"/>
      <c r="U276" s="507"/>
      <c r="V276" s="507"/>
      <c r="W276" s="507"/>
      <c r="X276" s="507"/>
      <c r="Y276" s="507"/>
      <c r="Z276" s="507"/>
      <c r="AA276" s="507"/>
      <c r="AB276" s="507"/>
    </row>
    <row r="277" spans="2:28" ht="15.75" hidden="1" x14ac:dyDescent="0.25">
      <c r="B277" s="669" t="s">
        <v>20</v>
      </c>
      <c r="C277" s="669" t="s">
        <v>80</v>
      </c>
      <c r="D277" s="669" t="s">
        <v>638</v>
      </c>
      <c r="E277" s="92" t="str">
        <f>IFERROR(VLOOKUP(EXPENSETBL45[[#This Row],[FIELD]],FFTBL[[Field]:[Acres]],2,FALSE),"-")</f>
        <v>-</v>
      </c>
      <c r="F277" s="92" t="s">
        <v>323</v>
      </c>
      <c r="G277" s="92" t="s">
        <v>297</v>
      </c>
      <c r="H277" s="92" t="s">
        <v>387</v>
      </c>
      <c r="I277" s="92" t="str">
        <f>IFERROR(VLOOKUP(EXPENSETBL45[[#This Row],[OPERATION]],OPERATIONCOST,2,FALSE)," ")</f>
        <v>ACRE</v>
      </c>
      <c r="J277" s="409">
        <f>IFERROR(VLOOKUP(EXPENSETBL45[[#This Row],[OPERATION]],OPERATIONCOST2024,3,FALSE)," ")</f>
        <v>-12</v>
      </c>
      <c r="K277" s="92" t="str">
        <f>IF(EXPENSETBL45[[#This Row],[UOM]]="acre",EXPENSETBL45[[#This Row],[ACRES]]," ")</f>
        <v>-</v>
      </c>
      <c r="L277" s="410">
        <f t="shared" si="13"/>
        <v>1</v>
      </c>
      <c r="M277" s="410">
        <f t="shared" si="14"/>
        <v>0</v>
      </c>
      <c r="N277" s="409" t="str">
        <f>IFERROR((EXPENSETBL45[[#This Row],[MCC.ENT]]*EXPENSETBL45[[#This Row],[TOTAL]])," ")</f>
        <v xml:space="preserve"> </v>
      </c>
      <c r="O277" s="409" t="str">
        <f>IFERROR((EXPENSETBL45[[#This Row],[L.L.]]*EXPENSETBL45[[#This Row],[TOTAL]])," ")</f>
        <v xml:space="preserve"> </v>
      </c>
      <c r="P277" s="409" t="str">
        <f>IFERROR((EXPENSETBL45[[#This Row],[QTY]]*EXPENSETBL45[[#This Row],[$/UOM]])," ")</f>
        <v xml:space="preserve"> </v>
      </c>
      <c r="Q277" s="409" t="s">
        <v>285</v>
      </c>
      <c r="R277" s="92">
        <v>2025</v>
      </c>
      <c r="S277" s="507"/>
      <c r="T277" s="507"/>
      <c r="U277" s="507"/>
      <c r="V277" s="507"/>
      <c r="W277" s="507"/>
      <c r="X277" s="507"/>
      <c r="Y277" s="507"/>
      <c r="Z277" s="507"/>
      <c r="AA277" s="507"/>
      <c r="AB277" s="507"/>
    </row>
    <row r="278" spans="2:28" ht="15.75" hidden="1" x14ac:dyDescent="0.25">
      <c r="B278" s="669" t="s">
        <v>20</v>
      </c>
      <c r="C278" s="669" t="s">
        <v>21</v>
      </c>
      <c r="D278" s="669" t="s">
        <v>132</v>
      </c>
      <c r="E278" s="92">
        <f>IFERROR(VLOOKUP(EXPENSETBL45[[#This Row],[FIELD]],FFTBL[[Field]:[Acres]],2,FALSE),"-")</f>
        <v>79.25</v>
      </c>
      <c r="F278" s="92" t="s">
        <v>323</v>
      </c>
      <c r="G278" s="92" t="s">
        <v>297</v>
      </c>
      <c r="H278" s="92" t="s">
        <v>388</v>
      </c>
      <c r="I278" s="92" t="str">
        <f>IFERROR(VLOOKUP(EXPENSETBL45[[#This Row],[OPERATION]],OPERATIONCOST,2,FALSE)," ")</f>
        <v>ACRE</v>
      </c>
      <c r="J278" s="409">
        <f>IFERROR(VLOOKUP(EXPENSETBL45[[#This Row],[OPERATION]],OPERATIONCOST2024,3,FALSE)," ")</f>
        <v>-14</v>
      </c>
      <c r="K278" s="92">
        <f>IF(EXPENSETBL45[[#This Row],[UOM]]="acre",EXPENSETBL45[[#This Row],[ACRES]]," ")</f>
        <v>79.25</v>
      </c>
      <c r="L278" s="410">
        <f t="shared" ref="L278:L309" si="15">IF(G278="SPLIT",0.65,1)</f>
        <v>1</v>
      </c>
      <c r="M278" s="410">
        <f t="shared" ref="M278:M309" si="16">IF(G278="SPLIT",0.35,0)</f>
        <v>0</v>
      </c>
      <c r="N278" s="409">
        <f>IFERROR((EXPENSETBL45[[#This Row],[MCC.ENT]]*EXPENSETBL45[[#This Row],[TOTAL]])," ")</f>
        <v>-1109.5</v>
      </c>
      <c r="O278" s="409">
        <f>IFERROR((EXPENSETBL45[[#This Row],[L.L.]]*EXPENSETBL45[[#This Row],[TOTAL]])," ")</f>
        <v>0</v>
      </c>
      <c r="P278" s="409">
        <f>IFERROR((EXPENSETBL45[[#This Row],[QTY]]*EXPENSETBL45[[#This Row],[$/UOM]])," ")</f>
        <v>-1109.5</v>
      </c>
      <c r="Q278" s="409" t="s">
        <v>285</v>
      </c>
      <c r="R278" s="92">
        <v>2025</v>
      </c>
      <c r="S278" s="507"/>
      <c r="T278" s="507"/>
      <c r="U278" s="507"/>
      <c r="V278" s="507"/>
      <c r="W278" s="507"/>
      <c r="X278" s="507"/>
      <c r="Y278" s="507"/>
      <c r="Z278" s="507"/>
      <c r="AA278" s="507"/>
      <c r="AB278" s="507"/>
    </row>
    <row r="279" spans="2:28" ht="15.75" hidden="1" x14ac:dyDescent="0.25">
      <c r="B279" s="669" t="s">
        <v>20</v>
      </c>
      <c r="C279" s="669" t="s">
        <v>21</v>
      </c>
      <c r="D279" s="669" t="s">
        <v>153</v>
      </c>
      <c r="E279" s="92">
        <f>IFERROR(VLOOKUP(EXPENSETBL45[[#This Row],[FIELD]],FFTBL[[Field]:[Acres]],2,FALSE),"-")</f>
        <v>74.900000000000006</v>
      </c>
      <c r="F279" s="92" t="s">
        <v>323</v>
      </c>
      <c r="G279" s="92" t="s">
        <v>297</v>
      </c>
      <c r="H279" s="92" t="s">
        <v>388</v>
      </c>
      <c r="I279" s="92" t="str">
        <f>IFERROR(VLOOKUP(EXPENSETBL45[[#This Row],[OPERATION]],OPERATIONCOST,2,FALSE)," ")</f>
        <v>ACRE</v>
      </c>
      <c r="J279" s="409">
        <f>IFERROR(VLOOKUP(EXPENSETBL45[[#This Row],[OPERATION]],OPERATIONCOST2024,3,FALSE)," ")</f>
        <v>-14</v>
      </c>
      <c r="K279" s="92">
        <f>IF(EXPENSETBL45[[#This Row],[UOM]]="acre",EXPENSETBL45[[#This Row],[ACRES]]," ")</f>
        <v>74.900000000000006</v>
      </c>
      <c r="L279" s="410">
        <f t="shared" si="15"/>
        <v>1</v>
      </c>
      <c r="M279" s="410">
        <f t="shared" si="16"/>
        <v>0</v>
      </c>
      <c r="N279" s="409">
        <f>IFERROR((EXPENSETBL45[[#This Row],[MCC.ENT]]*EXPENSETBL45[[#This Row],[TOTAL]])," ")</f>
        <v>-1048.6000000000001</v>
      </c>
      <c r="O279" s="409">
        <f>IFERROR((EXPENSETBL45[[#This Row],[L.L.]]*EXPENSETBL45[[#This Row],[TOTAL]])," ")</f>
        <v>0</v>
      </c>
      <c r="P279" s="409">
        <f>IFERROR((EXPENSETBL45[[#This Row],[QTY]]*EXPENSETBL45[[#This Row],[$/UOM]])," ")</f>
        <v>-1048.6000000000001</v>
      </c>
      <c r="Q279" s="409" t="s">
        <v>285</v>
      </c>
      <c r="R279" s="92">
        <v>2025</v>
      </c>
      <c r="S279" s="507"/>
      <c r="T279" s="507"/>
      <c r="U279" s="507"/>
      <c r="V279" s="507"/>
      <c r="W279" s="507"/>
      <c r="X279" s="507"/>
      <c r="Y279" s="507"/>
      <c r="Z279" s="507"/>
      <c r="AA279" s="507"/>
      <c r="AB279" s="507"/>
    </row>
    <row r="280" spans="2:28" ht="15.75" hidden="1" x14ac:dyDescent="0.25">
      <c r="B280" s="669" t="s">
        <v>20</v>
      </c>
      <c r="C280" s="669" t="s">
        <v>28</v>
      </c>
      <c r="D280" s="669" t="s">
        <v>219</v>
      </c>
      <c r="E280" s="92">
        <f>IFERROR(VLOOKUP(EXPENSETBL45[[#This Row],[FIELD]],FFTBL[[Field]:[Acres]],2,FALSE),"-")</f>
        <v>79.400000000000006</v>
      </c>
      <c r="F280" s="92" t="s">
        <v>323</v>
      </c>
      <c r="G280" s="92" t="s">
        <v>297</v>
      </c>
      <c r="H280" s="92" t="s">
        <v>388</v>
      </c>
      <c r="I280" s="92" t="str">
        <f>IFERROR(VLOOKUP(EXPENSETBL45[[#This Row],[OPERATION]],OPERATIONCOST,2,FALSE)," ")</f>
        <v>ACRE</v>
      </c>
      <c r="J280" s="409">
        <f>IFERROR(VLOOKUP(EXPENSETBL45[[#This Row],[OPERATION]],OPERATIONCOST2024,3,FALSE)," ")</f>
        <v>-14</v>
      </c>
      <c r="K280" s="92">
        <f>IF(EXPENSETBL45[[#This Row],[UOM]]="acre",EXPENSETBL45[[#This Row],[ACRES]]," ")</f>
        <v>79.400000000000006</v>
      </c>
      <c r="L280" s="410">
        <f t="shared" si="15"/>
        <v>1</v>
      </c>
      <c r="M280" s="410">
        <f t="shared" si="16"/>
        <v>0</v>
      </c>
      <c r="N280" s="409">
        <f>IFERROR((EXPENSETBL45[[#This Row],[MCC.ENT]]*EXPENSETBL45[[#This Row],[TOTAL]])," ")</f>
        <v>-1111.6000000000001</v>
      </c>
      <c r="O280" s="409">
        <f>IFERROR((EXPENSETBL45[[#This Row],[L.L.]]*EXPENSETBL45[[#This Row],[TOTAL]])," ")</f>
        <v>0</v>
      </c>
      <c r="P280" s="409">
        <f>IFERROR((EXPENSETBL45[[#This Row],[QTY]]*EXPENSETBL45[[#This Row],[$/UOM]])," ")</f>
        <v>-1111.6000000000001</v>
      </c>
      <c r="Q280" s="409" t="s">
        <v>285</v>
      </c>
      <c r="R280" s="92">
        <v>2025</v>
      </c>
      <c r="S280" s="507"/>
      <c r="T280" s="507"/>
      <c r="U280" s="507"/>
      <c r="V280" s="507"/>
      <c r="W280" s="507"/>
      <c r="X280" s="507"/>
      <c r="Y280" s="507"/>
      <c r="Z280" s="507"/>
      <c r="AA280" s="507"/>
      <c r="AB280" s="507"/>
    </row>
    <row r="281" spans="2:28" ht="15.75" hidden="1" x14ac:dyDescent="0.25">
      <c r="B281" s="669" t="s">
        <v>20</v>
      </c>
      <c r="C281" s="669" t="s">
        <v>32</v>
      </c>
      <c r="D281" s="669" t="s">
        <v>236</v>
      </c>
      <c r="E281" s="92">
        <f>IFERROR(VLOOKUP(EXPENSETBL45[[#This Row],[FIELD]],FFTBL[[Field]:[Acres]],2,FALSE),"-")</f>
        <v>78.400000000000006</v>
      </c>
      <c r="F281" s="92" t="s">
        <v>323</v>
      </c>
      <c r="G281" s="92" t="s">
        <v>297</v>
      </c>
      <c r="H281" s="92" t="s">
        <v>388</v>
      </c>
      <c r="I281" s="92" t="str">
        <f>IFERROR(VLOOKUP(EXPENSETBL45[[#This Row],[OPERATION]],OPERATIONCOST,2,FALSE)," ")</f>
        <v>ACRE</v>
      </c>
      <c r="J281" s="409">
        <f>IFERROR(VLOOKUP(EXPENSETBL45[[#This Row],[OPERATION]],OPERATIONCOST2024,3,FALSE)," ")</f>
        <v>-14</v>
      </c>
      <c r="K281" s="92">
        <f>IF(EXPENSETBL45[[#This Row],[UOM]]="acre",EXPENSETBL45[[#This Row],[ACRES]]," ")</f>
        <v>78.400000000000006</v>
      </c>
      <c r="L281" s="410">
        <f t="shared" si="15"/>
        <v>1</v>
      </c>
      <c r="M281" s="410">
        <f t="shared" si="16"/>
        <v>0</v>
      </c>
      <c r="N281" s="409">
        <f>IFERROR((EXPENSETBL45[[#This Row],[MCC.ENT]]*EXPENSETBL45[[#This Row],[TOTAL]])," ")</f>
        <v>-1097.6000000000001</v>
      </c>
      <c r="O281" s="409">
        <f>IFERROR((EXPENSETBL45[[#This Row],[L.L.]]*EXPENSETBL45[[#This Row],[TOTAL]])," ")</f>
        <v>0</v>
      </c>
      <c r="P281" s="409">
        <f>IFERROR((EXPENSETBL45[[#This Row],[QTY]]*EXPENSETBL45[[#This Row],[$/UOM]])," ")</f>
        <v>-1097.6000000000001</v>
      </c>
      <c r="Q281" s="409" t="s">
        <v>285</v>
      </c>
      <c r="R281" s="92">
        <v>2025</v>
      </c>
      <c r="S281" s="507"/>
      <c r="T281" s="507"/>
      <c r="U281" s="507"/>
      <c r="V281" s="507"/>
      <c r="W281" s="507"/>
      <c r="X281" s="507"/>
      <c r="Y281" s="507"/>
      <c r="Z281" s="507"/>
      <c r="AA281" s="507"/>
      <c r="AB281" s="507"/>
    </row>
    <row r="282" spans="2:28" ht="15.75" hidden="1" x14ac:dyDescent="0.25">
      <c r="B282" s="669" t="s">
        <v>20</v>
      </c>
      <c r="C282" s="669" t="s">
        <v>32</v>
      </c>
      <c r="D282" s="669" t="s">
        <v>243</v>
      </c>
      <c r="E282" s="92">
        <f>IFERROR(VLOOKUP(EXPENSETBL45[[#This Row],[FIELD]],FFTBL[[Field]:[Acres]],2,FALSE),"-")</f>
        <v>79.099999999999994</v>
      </c>
      <c r="F282" s="92" t="s">
        <v>323</v>
      </c>
      <c r="G282" s="92" t="s">
        <v>297</v>
      </c>
      <c r="H282" s="92" t="s">
        <v>388</v>
      </c>
      <c r="I282" s="92" t="str">
        <f>IFERROR(VLOOKUP(EXPENSETBL45[[#This Row],[OPERATION]],OPERATIONCOST,2,FALSE)," ")</f>
        <v>ACRE</v>
      </c>
      <c r="J282" s="409">
        <f>IFERROR(VLOOKUP(EXPENSETBL45[[#This Row],[OPERATION]],OPERATIONCOST2024,3,FALSE)," ")</f>
        <v>-14</v>
      </c>
      <c r="K282" s="92">
        <f>IF(EXPENSETBL45[[#This Row],[UOM]]="acre",EXPENSETBL45[[#This Row],[ACRES]]," ")</f>
        <v>79.099999999999994</v>
      </c>
      <c r="L282" s="410">
        <f t="shared" si="15"/>
        <v>1</v>
      </c>
      <c r="M282" s="410">
        <f t="shared" si="16"/>
        <v>0</v>
      </c>
      <c r="N282" s="409">
        <f>IFERROR((EXPENSETBL45[[#This Row],[MCC.ENT]]*EXPENSETBL45[[#This Row],[TOTAL]])," ")</f>
        <v>-1107.3999999999999</v>
      </c>
      <c r="O282" s="409">
        <f>IFERROR((EXPENSETBL45[[#This Row],[L.L.]]*EXPENSETBL45[[#This Row],[TOTAL]])," ")</f>
        <v>0</v>
      </c>
      <c r="P282" s="409">
        <f>IFERROR((EXPENSETBL45[[#This Row],[QTY]]*EXPENSETBL45[[#This Row],[$/UOM]])," ")</f>
        <v>-1107.3999999999999</v>
      </c>
      <c r="Q282" s="409" t="s">
        <v>285</v>
      </c>
      <c r="R282" s="92">
        <v>2025</v>
      </c>
      <c r="S282" s="507"/>
      <c r="T282" s="507"/>
      <c r="U282" s="507"/>
      <c r="V282" s="507"/>
      <c r="W282" s="507"/>
      <c r="X282" s="507"/>
      <c r="Y282" s="507"/>
      <c r="Z282" s="507"/>
      <c r="AA282" s="507"/>
      <c r="AB282" s="507"/>
    </row>
    <row r="283" spans="2:28" ht="15.75" hidden="1" x14ac:dyDescent="0.25">
      <c r="B283" s="669" t="s">
        <v>20</v>
      </c>
      <c r="C283" s="669" t="s">
        <v>80</v>
      </c>
      <c r="D283" s="669" t="s">
        <v>638</v>
      </c>
      <c r="E283" s="92" t="str">
        <f>IFERROR(VLOOKUP(EXPENSETBL45[[#This Row],[FIELD]],FFTBL[[Field]:[Acres]],2,FALSE),"-")</f>
        <v>-</v>
      </c>
      <c r="F283" s="92" t="s">
        <v>323</v>
      </c>
      <c r="G283" s="92" t="s">
        <v>297</v>
      </c>
      <c r="H283" s="92" t="s">
        <v>388</v>
      </c>
      <c r="I283" s="92" t="str">
        <f>IFERROR(VLOOKUP(EXPENSETBL45[[#This Row],[OPERATION]],OPERATIONCOST,2,FALSE)," ")</f>
        <v>ACRE</v>
      </c>
      <c r="J283" s="409">
        <f>IFERROR(VLOOKUP(EXPENSETBL45[[#This Row],[OPERATION]],OPERATIONCOST2024,3,FALSE)," ")</f>
        <v>-14</v>
      </c>
      <c r="K283" s="92" t="str">
        <f>IF(EXPENSETBL45[[#This Row],[UOM]]="acre",EXPENSETBL45[[#This Row],[ACRES]]," ")</f>
        <v>-</v>
      </c>
      <c r="L283" s="410">
        <f t="shared" si="15"/>
        <v>1</v>
      </c>
      <c r="M283" s="410">
        <f t="shared" si="16"/>
        <v>0</v>
      </c>
      <c r="N283" s="409" t="str">
        <f>IFERROR((EXPENSETBL45[[#This Row],[MCC.ENT]]*EXPENSETBL45[[#This Row],[TOTAL]])," ")</f>
        <v xml:space="preserve"> </v>
      </c>
      <c r="O283" s="409" t="str">
        <f>IFERROR((EXPENSETBL45[[#This Row],[L.L.]]*EXPENSETBL45[[#This Row],[TOTAL]])," ")</f>
        <v xml:space="preserve"> </v>
      </c>
      <c r="P283" s="409" t="str">
        <f>IFERROR((EXPENSETBL45[[#This Row],[QTY]]*EXPENSETBL45[[#This Row],[$/UOM]])," ")</f>
        <v xml:space="preserve"> </v>
      </c>
      <c r="Q283" s="409" t="s">
        <v>285</v>
      </c>
      <c r="R283" s="92">
        <v>2025</v>
      </c>
      <c r="S283" s="507"/>
      <c r="T283" s="507"/>
      <c r="U283" s="507"/>
      <c r="V283" s="507"/>
      <c r="W283" s="507"/>
      <c r="X283" s="507"/>
      <c r="Y283" s="507"/>
      <c r="Z283" s="507"/>
      <c r="AA283" s="507"/>
      <c r="AB283" s="507"/>
    </row>
    <row r="284" spans="2:28" ht="15" hidden="1" customHeight="1" x14ac:dyDescent="0.25">
      <c r="B284" s="669" t="s">
        <v>20</v>
      </c>
      <c r="C284" s="669" t="s">
        <v>21</v>
      </c>
      <c r="D284" s="669" t="s">
        <v>22</v>
      </c>
      <c r="E284" s="92">
        <f>IFERROR(VLOOKUP(EXPENSETBL45[[#This Row],[FIELD]],FFTBL[[Field]:[Acres]],2,FALSE),"-")</f>
        <v>79.2</v>
      </c>
      <c r="F284" s="92" t="s">
        <v>323</v>
      </c>
      <c r="G284" s="92" t="s">
        <v>297</v>
      </c>
      <c r="H284" s="92" t="s">
        <v>404</v>
      </c>
      <c r="I284" s="92" t="str">
        <f>IFERROR(VLOOKUP(EXPENSETBL45[[#This Row],[OPERATION]],OPERATIONCOST,2,FALSE)," ")</f>
        <v>ACRE</v>
      </c>
      <c r="J284" s="409">
        <f>IFERROR(VLOOKUP(EXPENSETBL45[[#This Row],[OPERATION]],OPERATIONCOST2024,3,FALSE)," ")</f>
        <v>-45</v>
      </c>
      <c r="K284" s="92">
        <f>IF(EXPENSETBL45[[#This Row],[UOM]]="acre",EXPENSETBL45[[#This Row],[ACRES]]," ")</f>
        <v>79.2</v>
      </c>
      <c r="L284" s="410">
        <f t="shared" si="15"/>
        <v>1</v>
      </c>
      <c r="M284" s="410">
        <f t="shared" si="16"/>
        <v>0</v>
      </c>
      <c r="N284" s="409">
        <f>IFERROR((EXPENSETBL45[[#This Row],[MCC.ENT]]*EXPENSETBL45[[#This Row],[TOTAL]])," ")</f>
        <v>-3564</v>
      </c>
      <c r="O284" s="409">
        <f>IFERROR((EXPENSETBL45[[#This Row],[L.L.]]*EXPENSETBL45[[#This Row],[TOTAL]])," ")</f>
        <v>0</v>
      </c>
      <c r="P284" s="409">
        <f>IFERROR((EXPENSETBL45[[#This Row],[QTY]]*EXPENSETBL45[[#This Row],[$/UOM]])," ")</f>
        <v>-3564</v>
      </c>
      <c r="Q284" s="409" t="s">
        <v>295</v>
      </c>
      <c r="R284" s="92">
        <v>2024</v>
      </c>
      <c r="S284" s="507"/>
      <c r="T284" s="507"/>
      <c r="U284" s="507"/>
      <c r="V284" s="507"/>
      <c r="W284" s="507"/>
      <c r="X284" s="507"/>
      <c r="Y284" s="507"/>
      <c r="Z284" s="507"/>
      <c r="AA284" s="507"/>
      <c r="AB284" s="507"/>
    </row>
    <row r="285" spans="2:28" ht="15" hidden="1" customHeight="1" x14ac:dyDescent="0.25">
      <c r="B285" s="669" t="s">
        <v>20</v>
      </c>
      <c r="C285" s="669" t="s">
        <v>21</v>
      </c>
      <c r="D285" s="669" t="s">
        <v>23</v>
      </c>
      <c r="E285" s="92">
        <f>IFERROR(VLOOKUP(EXPENSETBL45[[#This Row],[FIELD]],FFTBL[[Field]:[Acres]],2,FALSE),"-")</f>
        <v>78.599999999999994</v>
      </c>
      <c r="F285" s="92" t="s">
        <v>323</v>
      </c>
      <c r="G285" s="92" t="s">
        <v>297</v>
      </c>
      <c r="H285" s="92" t="s">
        <v>404</v>
      </c>
      <c r="I285" s="92" t="str">
        <f>IFERROR(VLOOKUP(EXPENSETBL45[[#This Row],[OPERATION]],OPERATIONCOST,2,FALSE)," ")</f>
        <v>ACRE</v>
      </c>
      <c r="J285" s="409">
        <f>IFERROR(VLOOKUP(EXPENSETBL45[[#This Row],[OPERATION]],OPERATIONCOST2024,3,FALSE)," ")</f>
        <v>-45</v>
      </c>
      <c r="K285" s="92">
        <f>IF(EXPENSETBL45[[#This Row],[UOM]]="acre",EXPENSETBL45[[#This Row],[ACRES]]," ")</f>
        <v>78.599999999999994</v>
      </c>
      <c r="L285" s="410">
        <f t="shared" si="15"/>
        <v>1</v>
      </c>
      <c r="M285" s="410">
        <f t="shared" si="16"/>
        <v>0</v>
      </c>
      <c r="N285" s="409">
        <f>IFERROR((EXPENSETBL45[[#This Row],[MCC.ENT]]*EXPENSETBL45[[#This Row],[TOTAL]])," ")</f>
        <v>-3536.9999999999995</v>
      </c>
      <c r="O285" s="409">
        <f>IFERROR((EXPENSETBL45[[#This Row],[L.L.]]*EXPENSETBL45[[#This Row],[TOTAL]])," ")</f>
        <v>0</v>
      </c>
      <c r="P285" s="409">
        <f>IFERROR((EXPENSETBL45[[#This Row],[QTY]]*EXPENSETBL45[[#This Row],[$/UOM]])," ")</f>
        <v>-3536.9999999999995</v>
      </c>
      <c r="Q285" s="409" t="s">
        <v>295</v>
      </c>
      <c r="R285" s="92">
        <v>2024</v>
      </c>
      <c r="S285" s="507"/>
      <c r="T285" s="507"/>
      <c r="U285" s="507"/>
      <c r="V285" s="507"/>
      <c r="W285" s="507"/>
      <c r="X285" s="507"/>
      <c r="Y285" s="507"/>
      <c r="Z285" s="507"/>
      <c r="AA285" s="507"/>
      <c r="AB285" s="507"/>
    </row>
    <row r="286" spans="2:28" ht="15" hidden="1" customHeight="1" x14ac:dyDescent="0.25">
      <c r="B286" s="669" t="s">
        <v>20</v>
      </c>
      <c r="C286" s="669" t="s">
        <v>21</v>
      </c>
      <c r="D286" s="669" t="s">
        <v>24</v>
      </c>
      <c r="E286" s="92">
        <f>IFERROR(VLOOKUP(EXPENSETBL45[[#This Row],[FIELD]],FFTBL[[Field]:[Acres]],2,FALSE),"-")</f>
        <v>153</v>
      </c>
      <c r="F286" s="92" t="s">
        <v>323</v>
      </c>
      <c r="G286" s="92" t="s">
        <v>297</v>
      </c>
      <c r="H286" s="92" t="s">
        <v>404</v>
      </c>
      <c r="I286" s="92" t="str">
        <f>IFERROR(VLOOKUP(EXPENSETBL45[[#This Row],[OPERATION]],OPERATIONCOST,2,FALSE)," ")</f>
        <v>ACRE</v>
      </c>
      <c r="J286" s="409">
        <f>IFERROR(VLOOKUP(EXPENSETBL45[[#This Row],[OPERATION]],OPERATIONCOST2024,3,FALSE)," ")</f>
        <v>-45</v>
      </c>
      <c r="K286" s="92">
        <f>IF(EXPENSETBL45[[#This Row],[UOM]]="acre",EXPENSETBL45[[#This Row],[ACRES]]," ")</f>
        <v>153</v>
      </c>
      <c r="L286" s="410">
        <f t="shared" si="15"/>
        <v>1</v>
      </c>
      <c r="M286" s="410">
        <f t="shared" si="16"/>
        <v>0</v>
      </c>
      <c r="N286" s="409">
        <f>IFERROR((EXPENSETBL45[[#This Row],[MCC.ENT]]*EXPENSETBL45[[#This Row],[TOTAL]])," ")</f>
        <v>-6885</v>
      </c>
      <c r="O286" s="409">
        <f>IFERROR((EXPENSETBL45[[#This Row],[L.L.]]*EXPENSETBL45[[#This Row],[TOTAL]])," ")</f>
        <v>0</v>
      </c>
      <c r="P286" s="409">
        <f>IFERROR((EXPENSETBL45[[#This Row],[QTY]]*EXPENSETBL45[[#This Row],[$/UOM]])," ")</f>
        <v>-6885</v>
      </c>
      <c r="Q286" s="409" t="s">
        <v>295</v>
      </c>
      <c r="R286" s="92">
        <v>2024</v>
      </c>
      <c r="S286" s="507"/>
      <c r="T286" s="507"/>
      <c r="U286" s="507"/>
      <c r="V286" s="507"/>
      <c r="W286" s="507"/>
      <c r="X286" s="507"/>
      <c r="Y286" s="507"/>
      <c r="Z286" s="507"/>
      <c r="AA286" s="507"/>
      <c r="AB286" s="507"/>
    </row>
    <row r="287" spans="2:28" ht="15" hidden="1" customHeight="1" x14ac:dyDescent="0.25">
      <c r="B287" s="669" t="s">
        <v>20</v>
      </c>
      <c r="C287" s="669" t="s">
        <v>21</v>
      </c>
      <c r="D287" s="669" t="s">
        <v>25</v>
      </c>
      <c r="E287" s="92">
        <f>IFERROR(VLOOKUP(EXPENSETBL45[[#This Row],[FIELD]],FFTBL[[Field]:[Acres]],2,FALSE),"-")</f>
        <v>159.69999999999999</v>
      </c>
      <c r="F287" s="92" t="s">
        <v>323</v>
      </c>
      <c r="G287" s="92" t="s">
        <v>297</v>
      </c>
      <c r="H287" s="92" t="s">
        <v>404</v>
      </c>
      <c r="I287" s="92" t="str">
        <f>IFERROR(VLOOKUP(EXPENSETBL45[[#This Row],[OPERATION]],OPERATIONCOST,2,FALSE)," ")</f>
        <v>ACRE</v>
      </c>
      <c r="J287" s="409">
        <f>IFERROR(VLOOKUP(EXPENSETBL45[[#This Row],[OPERATION]],OPERATIONCOST2024,3,FALSE)," ")</f>
        <v>-45</v>
      </c>
      <c r="K287" s="92">
        <f>IF(EXPENSETBL45[[#This Row],[UOM]]="acre",EXPENSETBL45[[#This Row],[ACRES]]," ")</f>
        <v>159.69999999999999</v>
      </c>
      <c r="L287" s="410">
        <f t="shared" si="15"/>
        <v>1</v>
      </c>
      <c r="M287" s="410">
        <f t="shared" si="16"/>
        <v>0</v>
      </c>
      <c r="N287" s="409">
        <f>IFERROR((EXPENSETBL45[[#This Row],[MCC.ENT]]*EXPENSETBL45[[#This Row],[TOTAL]])," ")</f>
        <v>-7186.4999999999991</v>
      </c>
      <c r="O287" s="409">
        <f>IFERROR((EXPENSETBL45[[#This Row],[L.L.]]*EXPENSETBL45[[#This Row],[TOTAL]])," ")</f>
        <v>0</v>
      </c>
      <c r="P287" s="409">
        <f>IFERROR((EXPENSETBL45[[#This Row],[QTY]]*EXPENSETBL45[[#This Row],[$/UOM]])," ")</f>
        <v>-7186.4999999999991</v>
      </c>
      <c r="Q287" s="409" t="s">
        <v>295</v>
      </c>
      <c r="R287" s="92">
        <v>2024</v>
      </c>
      <c r="S287" s="507"/>
      <c r="T287" s="507"/>
      <c r="U287" s="507"/>
      <c r="V287" s="507"/>
      <c r="W287" s="507"/>
      <c r="X287" s="507"/>
      <c r="Y287" s="507"/>
      <c r="Z287" s="507"/>
      <c r="AA287" s="507"/>
      <c r="AB287" s="507"/>
    </row>
    <row r="288" spans="2:28" ht="15" hidden="1" customHeight="1" x14ac:dyDescent="0.25">
      <c r="B288" s="669" t="s">
        <v>20</v>
      </c>
      <c r="C288" s="669" t="s">
        <v>26</v>
      </c>
      <c r="D288" s="669" t="s">
        <v>27</v>
      </c>
      <c r="E288" s="92">
        <f>IFERROR(VLOOKUP(EXPENSETBL45[[#This Row],[FIELD]],FFTBL[[Field]:[Acres]],2,FALSE),"-")</f>
        <v>205.6</v>
      </c>
      <c r="F288" s="92" t="s">
        <v>323</v>
      </c>
      <c r="G288" s="92" t="s">
        <v>297</v>
      </c>
      <c r="H288" s="92" t="s">
        <v>404</v>
      </c>
      <c r="I288" s="92" t="str">
        <f>IFERROR(VLOOKUP(EXPENSETBL45[[#This Row],[OPERATION]],OPERATIONCOST,2,FALSE)," ")</f>
        <v>ACRE</v>
      </c>
      <c r="J288" s="409">
        <f>IFERROR(VLOOKUP(EXPENSETBL45[[#This Row],[OPERATION]],OPERATIONCOST2024,3,FALSE)," ")</f>
        <v>-45</v>
      </c>
      <c r="K288" s="92">
        <f>IF(EXPENSETBL45[[#This Row],[UOM]]="acre",EXPENSETBL45[[#This Row],[ACRES]]," ")</f>
        <v>205.6</v>
      </c>
      <c r="L288" s="410">
        <f t="shared" si="15"/>
        <v>1</v>
      </c>
      <c r="M288" s="410">
        <f t="shared" si="16"/>
        <v>0</v>
      </c>
      <c r="N288" s="409">
        <f>IFERROR((EXPENSETBL45[[#This Row],[MCC.ENT]]*EXPENSETBL45[[#This Row],[TOTAL]])," ")</f>
        <v>-9252</v>
      </c>
      <c r="O288" s="409">
        <f>IFERROR((EXPENSETBL45[[#This Row],[L.L.]]*EXPENSETBL45[[#This Row],[TOTAL]])," ")</f>
        <v>0</v>
      </c>
      <c r="P288" s="409">
        <f>IFERROR((EXPENSETBL45[[#This Row],[QTY]]*EXPENSETBL45[[#This Row],[$/UOM]])," ")</f>
        <v>-9252</v>
      </c>
      <c r="Q288" s="409" t="s">
        <v>295</v>
      </c>
      <c r="R288" s="92">
        <v>2024</v>
      </c>
      <c r="S288" s="507"/>
      <c r="T288" s="507"/>
      <c r="U288" s="507"/>
      <c r="V288" s="507"/>
      <c r="W288" s="507"/>
      <c r="X288" s="507"/>
      <c r="Y288" s="507"/>
      <c r="Z288" s="507"/>
      <c r="AA288" s="507"/>
      <c r="AB288" s="507"/>
    </row>
    <row r="289" spans="2:28" ht="15" hidden="1" customHeight="1" x14ac:dyDescent="0.25">
      <c r="B289" s="669" t="s">
        <v>20</v>
      </c>
      <c r="C289" s="669" t="s">
        <v>28</v>
      </c>
      <c r="D289" s="669" t="s">
        <v>29</v>
      </c>
      <c r="E289" s="92">
        <f>IFERROR(VLOOKUP(EXPENSETBL45[[#This Row],[FIELD]],FFTBL[[Field]:[Acres]],2,FALSE),"-")</f>
        <v>79.2</v>
      </c>
      <c r="F289" s="92" t="s">
        <v>323</v>
      </c>
      <c r="G289" s="92" t="s">
        <v>297</v>
      </c>
      <c r="H289" s="92" t="s">
        <v>404</v>
      </c>
      <c r="I289" s="92" t="str">
        <f>IFERROR(VLOOKUP(EXPENSETBL45[[#This Row],[OPERATION]],OPERATIONCOST,2,FALSE)," ")</f>
        <v>ACRE</v>
      </c>
      <c r="J289" s="409">
        <f>IFERROR(VLOOKUP(EXPENSETBL45[[#This Row],[OPERATION]],OPERATIONCOST2024,3,FALSE)," ")</f>
        <v>-45</v>
      </c>
      <c r="K289" s="92">
        <f>IF(EXPENSETBL45[[#This Row],[UOM]]="acre",EXPENSETBL45[[#This Row],[ACRES]]," ")</f>
        <v>79.2</v>
      </c>
      <c r="L289" s="410">
        <f t="shared" si="15"/>
        <v>1</v>
      </c>
      <c r="M289" s="410">
        <f t="shared" si="16"/>
        <v>0</v>
      </c>
      <c r="N289" s="409">
        <f>IFERROR((EXPENSETBL45[[#This Row],[MCC.ENT]]*EXPENSETBL45[[#This Row],[TOTAL]])," ")</f>
        <v>-3564</v>
      </c>
      <c r="O289" s="409">
        <f>IFERROR((EXPENSETBL45[[#This Row],[L.L.]]*EXPENSETBL45[[#This Row],[TOTAL]])," ")</f>
        <v>0</v>
      </c>
      <c r="P289" s="409">
        <f>IFERROR((EXPENSETBL45[[#This Row],[QTY]]*EXPENSETBL45[[#This Row],[$/UOM]])," ")</f>
        <v>-3564</v>
      </c>
      <c r="Q289" s="409" t="s">
        <v>295</v>
      </c>
      <c r="R289" s="92">
        <v>2024</v>
      </c>
      <c r="S289" s="507"/>
      <c r="T289" s="507"/>
      <c r="U289" s="507"/>
      <c r="V289" s="507"/>
      <c r="W289" s="507"/>
      <c r="X289" s="507"/>
      <c r="Y289" s="507"/>
      <c r="Z289" s="507"/>
      <c r="AA289" s="507"/>
      <c r="AB289" s="507"/>
    </row>
    <row r="290" spans="2:28" ht="15.75" hidden="1" x14ac:dyDescent="0.25">
      <c r="B290" s="669" t="s">
        <v>20</v>
      </c>
      <c r="C290" s="669" t="s">
        <v>28</v>
      </c>
      <c r="D290" s="669" t="s">
        <v>30</v>
      </c>
      <c r="E290" s="92">
        <f>IFERROR(VLOOKUP(EXPENSETBL45[[#This Row],[FIELD]],FFTBL[[Field]:[Acres]],2,FALSE),"-")</f>
        <v>101.9</v>
      </c>
      <c r="F290" s="92" t="s">
        <v>323</v>
      </c>
      <c r="G290" s="92" t="s">
        <v>297</v>
      </c>
      <c r="H290" s="92" t="s">
        <v>404</v>
      </c>
      <c r="I290" s="92" t="str">
        <f>IFERROR(VLOOKUP(EXPENSETBL45[[#This Row],[OPERATION]],OPERATIONCOST,2,FALSE)," ")</f>
        <v>ACRE</v>
      </c>
      <c r="J290" s="409">
        <f>IFERROR(VLOOKUP(EXPENSETBL45[[#This Row],[OPERATION]],OPERATIONCOST2024,3,FALSE)," ")</f>
        <v>-45</v>
      </c>
      <c r="K290" s="92">
        <f>IF(EXPENSETBL45[[#This Row],[UOM]]="acre",EXPENSETBL45[[#This Row],[ACRES]]," ")</f>
        <v>101.9</v>
      </c>
      <c r="L290" s="410">
        <f t="shared" si="15"/>
        <v>1</v>
      </c>
      <c r="M290" s="410">
        <f t="shared" si="16"/>
        <v>0</v>
      </c>
      <c r="N290" s="409">
        <f>IFERROR((EXPENSETBL45[[#This Row],[MCC.ENT]]*EXPENSETBL45[[#This Row],[TOTAL]])," ")</f>
        <v>-4585.5</v>
      </c>
      <c r="O290" s="409">
        <f>IFERROR((EXPENSETBL45[[#This Row],[L.L.]]*EXPENSETBL45[[#This Row],[TOTAL]])," ")</f>
        <v>0</v>
      </c>
      <c r="P290" s="409">
        <f>IFERROR((EXPENSETBL45[[#This Row],[QTY]]*EXPENSETBL45[[#This Row],[$/UOM]])," ")</f>
        <v>-4585.5</v>
      </c>
      <c r="Q290" s="409" t="s">
        <v>295</v>
      </c>
      <c r="R290" s="92">
        <v>2024</v>
      </c>
      <c r="S290" s="507"/>
      <c r="T290" s="507"/>
      <c r="U290" s="507"/>
      <c r="V290" s="507"/>
      <c r="W290" s="507"/>
      <c r="X290" s="507"/>
      <c r="Y290" s="507"/>
      <c r="Z290" s="507"/>
      <c r="AA290" s="507"/>
      <c r="AB290" s="507"/>
    </row>
    <row r="291" spans="2:28" ht="15.75" hidden="1" x14ac:dyDescent="0.25">
      <c r="B291" s="669" t="s">
        <v>20</v>
      </c>
      <c r="C291" s="669" t="s">
        <v>28</v>
      </c>
      <c r="D291" s="669" t="s">
        <v>31</v>
      </c>
      <c r="E291" s="92">
        <f>IFERROR(VLOOKUP(EXPENSETBL45[[#This Row],[FIELD]],FFTBL[[Field]:[Acres]],2,FALSE),"-")</f>
        <v>157.5</v>
      </c>
      <c r="F291" s="92" t="s">
        <v>323</v>
      </c>
      <c r="G291" s="92" t="s">
        <v>297</v>
      </c>
      <c r="H291" s="92" t="s">
        <v>404</v>
      </c>
      <c r="I291" s="92" t="str">
        <f>IFERROR(VLOOKUP(EXPENSETBL45[[#This Row],[OPERATION]],OPERATIONCOST,2,FALSE)," ")</f>
        <v>ACRE</v>
      </c>
      <c r="J291" s="409">
        <f>IFERROR(VLOOKUP(EXPENSETBL45[[#This Row],[OPERATION]],OPERATIONCOST2024,3,FALSE)," ")</f>
        <v>-45</v>
      </c>
      <c r="K291" s="92">
        <f>IF(EXPENSETBL45[[#This Row],[UOM]]="acre",EXPENSETBL45[[#This Row],[ACRES]]," ")</f>
        <v>157.5</v>
      </c>
      <c r="L291" s="410">
        <f t="shared" si="15"/>
        <v>1</v>
      </c>
      <c r="M291" s="410">
        <f t="shared" si="16"/>
        <v>0</v>
      </c>
      <c r="N291" s="409">
        <f>IFERROR((EXPENSETBL45[[#This Row],[MCC.ENT]]*EXPENSETBL45[[#This Row],[TOTAL]])," ")</f>
        <v>-7087.5</v>
      </c>
      <c r="O291" s="409">
        <f>IFERROR((EXPENSETBL45[[#This Row],[L.L.]]*EXPENSETBL45[[#This Row],[TOTAL]])," ")</f>
        <v>0</v>
      </c>
      <c r="P291" s="409">
        <f>IFERROR((EXPENSETBL45[[#This Row],[QTY]]*EXPENSETBL45[[#This Row],[$/UOM]])," ")</f>
        <v>-7087.5</v>
      </c>
      <c r="Q291" s="409" t="s">
        <v>295</v>
      </c>
      <c r="R291" s="92">
        <v>2024</v>
      </c>
      <c r="S291" s="507"/>
      <c r="T291" s="507"/>
      <c r="U291" s="507"/>
      <c r="V291" s="507"/>
      <c r="W291" s="507"/>
      <c r="X291" s="507"/>
      <c r="Y291" s="507"/>
      <c r="Z291" s="507"/>
      <c r="AA291" s="507"/>
      <c r="AB291" s="507"/>
    </row>
    <row r="292" spans="2:28" ht="15.75" hidden="1" x14ac:dyDescent="0.25">
      <c r="B292" s="669" t="s">
        <v>20</v>
      </c>
      <c r="C292" s="669" t="s">
        <v>32</v>
      </c>
      <c r="D292" s="669" t="s">
        <v>33</v>
      </c>
      <c r="E292" s="92">
        <f>IFERROR(VLOOKUP(EXPENSETBL45[[#This Row],[FIELD]],FFTBL[[Field]:[Acres]],2,FALSE),"-")</f>
        <v>79.099999999999994</v>
      </c>
      <c r="F292" s="92" t="s">
        <v>323</v>
      </c>
      <c r="G292" s="92" t="s">
        <v>297</v>
      </c>
      <c r="H292" s="92" t="s">
        <v>404</v>
      </c>
      <c r="I292" s="92" t="str">
        <f>IFERROR(VLOOKUP(EXPENSETBL45[[#This Row],[OPERATION]],OPERATIONCOST,2,FALSE)," ")</f>
        <v>ACRE</v>
      </c>
      <c r="J292" s="409">
        <f>IFERROR(VLOOKUP(EXPENSETBL45[[#This Row],[OPERATION]],OPERATIONCOST2024,3,FALSE)," ")</f>
        <v>-45</v>
      </c>
      <c r="K292" s="92">
        <f>IF(EXPENSETBL45[[#This Row],[UOM]]="acre",EXPENSETBL45[[#This Row],[ACRES]]," ")</f>
        <v>79.099999999999994</v>
      </c>
      <c r="L292" s="410">
        <f t="shared" si="15"/>
        <v>1</v>
      </c>
      <c r="M292" s="410">
        <f t="shared" si="16"/>
        <v>0</v>
      </c>
      <c r="N292" s="409">
        <f>IFERROR((EXPENSETBL45[[#This Row],[MCC.ENT]]*EXPENSETBL45[[#This Row],[TOTAL]])," ")</f>
        <v>-3559.4999999999995</v>
      </c>
      <c r="O292" s="409">
        <f>IFERROR((EXPENSETBL45[[#This Row],[L.L.]]*EXPENSETBL45[[#This Row],[TOTAL]])," ")</f>
        <v>0</v>
      </c>
      <c r="P292" s="409">
        <f>IFERROR((EXPENSETBL45[[#This Row],[QTY]]*EXPENSETBL45[[#This Row],[$/UOM]])," ")</f>
        <v>-3559.4999999999995</v>
      </c>
      <c r="Q292" s="409" t="s">
        <v>295</v>
      </c>
      <c r="R292" s="92">
        <v>2024</v>
      </c>
      <c r="S292" s="507"/>
      <c r="T292" s="507"/>
      <c r="U292" s="507"/>
      <c r="V292" s="507"/>
      <c r="W292" s="507"/>
      <c r="X292" s="507"/>
      <c r="Y292" s="507"/>
      <c r="Z292" s="507"/>
      <c r="AA292" s="507"/>
      <c r="AB292" s="507"/>
    </row>
    <row r="293" spans="2:28" ht="15.75" hidden="1" x14ac:dyDescent="0.25">
      <c r="B293" s="669" t="s">
        <v>20</v>
      </c>
      <c r="C293" s="669" t="s">
        <v>32</v>
      </c>
      <c r="D293" s="669" t="s">
        <v>34</v>
      </c>
      <c r="E293" s="92">
        <f>IFERROR(VLOOKUP(EXPENSETBL45[[#This Row],[FIELD]],FFTBL[[Field]:[Acres]],2,FALSE),"-")</f>
        <v>77.400000000000006</v>
      </c>
      <c r="F293" s="92" t="s">
        <v>323</v>
      </c>
      <c r="G293" s="92" t="s">
        <v>297</v>
      </c>
      <c r="H293" s="92" t="s">
        <v>404</v>
      </c>
      <c r="I293" s="92" t="str">
        <f>IFERROR(VLOOKUP(EXPENSETBL45[[#This Row],[OPERATION]],OPERATIONCOST,2,FALSE)," ")</f>
        <v>ACRE</v>
      </c>
      <c r="J293" s="409">
        <f>IFERROR(VLOOKUP(EXPENSETBL45[[#This Row],[OPERATION]],OPERATIONCOST2024,3,FALSE)," ")</f>
        <v>-45</v>
      </c>
      <c r="K293" s="92">
        <f>IF(EXPENSETBL45[[#This Row],[UOM]]="acre",EXPENSETBL45[[#This Row],[ACRES]]," ")</f>
        <v>77.400000000000006</v>
      </c>
      <c r="L293" s="410">
        <f t="shared" si="15"/>
        <v>1</v>
      </c>
      <c r="M293" s="410">
        <f t="shared" si="16"/>
        <v>0</v>
      </c>
      <c r="N293" s="409">
        <f>IFERROR((EXPENSETBL45[[#This Row],[MCC.ENT]]*EXPENSETBL45[[#This Row],[TOTAL]])," ")</f>
        <v>-3483.0000000000005</v>
      </c>
      <c r="O293" s="409">
        <f>IFERROR((EXPENSETBL45[[#This Row],[L.L.]]*EXPENSETBL45[[#This Row],[TOTAL]])," ")</f>
        <v>0</v>
      </c>
      <c r="P293" s="409">
        <f>IFERROR((EXPENSETBL45[[#This Row],[QTY]]*EXPENSETBL45[[#This Row],[$/UOM]])," ")</f>
        <v>-3483.0000000000005</v>
      </c>
      <c r="Q293" s="409" t="s">
        <v>295</v>
      </c>
      <c r="R293" s="92">
        <v>2024</v>
      </c>
      <c r="S293" s="507"/>
      <c r="T293" s="507"/>
      <c r="U293" s="507"/>
      <c r="V293" s="507"/>
      <c r="W293" s="507"/>
      <c r="X293" s="507"/>
      <c r="Y293" s="507"/>
      <c r="Z293" s="507"/>
      <c r="AA293" s="507"/>
      <c r="AB293" s="507"/>
    </row>
    <row r="294" spans="2:28" ht="15.75" hidden="1" x14ac:dyDescent="0.25">
      <c r="B294" s="669" t="s">
        <v>20</v>
      </c>
      <c r="C294" s="669" t="s">
        <v>35</v>
      </c>
      <c r="D294" s="669" t="s">
        <v>36</v>
      </c>
      <c r="E294" s="92">
        <f>IFERROR(VLOOKUP(EXPENSETBL45[[#This Row],[FIELD]],FFTBL[[Field]:[Acres]],2,FALSE),"-")</f>
        <v>71.5</v>
      </c>
      <c r="F294" s="92" t="s">
        <v>323</v>
      </c>
      <c r="G294" s="92" t="s">
        <v>297</v>
      </c>
      <c r="H294" s="92" t="s">
        <v>404</v>
      </c>
      <c r="I294" s="92" t="str">
        <f>IFERROR(VLOOKUP(EXPENSETBL45[[#This Row],[OPERATION]],OPERATIONCOST,2,FALSE)," ")</f>
        <v>ACRE</v>
      </c>
      <c r="J294" s="409">
        <f>IFERROR(VLOOKUP(EXPENSETBL45[[#This Row],[OPERATION]],OPERATIONCOST2024,3,FALSE)," ")</f>
        <v>-45</v>
      </c>
      <c r="K294" s="92">
        <f>IF(EXPENSETBL45[[#This Row],[UOM]]="acre",EXPENSETBL45[[#This Row],[ACRES]]," ")</f>
        <v>71.5</v>
      </c>
      <c r="L294" s="410">
        <f t="shared" si="15"/>
        <v>1</v>
      </c>
      <c r="M294" s="410">
        <f t="shared" si="16"/>
        <v>0</v>
      </c>
      <c r="N294" s="409">
        <f>IFERROR((EXPENSETBL45[[#This Row],[MCC.ENT]]*EXPENSETBL45[[#This Row],[TOTAL]])," ")</f>
        <v>-3217.5</v>
      </c>
      <c r="O294" s="409">
        <f>IFERROR((EXPENSETBL45[[#This Row],[L.L.]]*EXPENSETBL45[[#This Row],[TOTAL]])," ")</f>
        <v>0</v>
      </c>
      <c r="P294" s="409">
        <f>IFERROR((EXPENSETBL45[[#This Row],[QTY]]*EXPENSETBL45[[#This Row],[$/UOM]])," ")</f>
        <v>-3217.5</v>
      </c>
      <c r="Q294" s="409" t="s">
        <v>295</v>
      </c>
      <c r="R294" s="92">
        <v>2024</v>
      </c>
      <c r="S294" s="507"/>
      <c r="T294" s="507"/>
      <c r="U294" s="507"/>
      <c r="V294" s="507"/>
      <c r="W294" s="507"/>
      <c r="X294" s="507"/>
      <c r="Y294" s="507"/>
      <c r="Z294" s="507"/>
      <c r="AA294" s="507"/>
      <c r="AB294" s="507"/>
    </row>
    <row r="295" spans="2:28" ht="15.75" hidden="1" x14ac:dyDescent="0.25">
      <c r="B295" s="669" t="s">
        <v>20</v>
      </c>
      <c r="C295" s="669" t="s">
        <v>35</v>
      </c>
      <c r="D295" s="669" t="s">
        <v>37</v>
      </c>
      <c r="E295" s="92">
        <f>IFERROR(VLOOKUP(EXPENSETBL45[[#This Row],[FIELD]],FFTBL[[Field]:[Acres]],2,FALSE),"-")</f>
        <v>157.69999999999999</v>
      </c>
      <c r="F295" s="92" t="s">
        <v>323</v>
      </c>
      <c r="G295" s="92" t="s">
        <v>297</v>
      </c>
      <c r="H295" s="92" t="s">
        <v>404</v>
      </c>
      <c r="I295" s="92" t="str">
        <f>IFERROR(VLOOKUP(EXPENSETBL45[[#This Row],[OPERATION]],OPERATIONCOST,2,FALSE)," ")</f>
        <v>ACRE</v>
      </c>
      <c r="J295" s="409">
        <f>IFERROR(VLOOKUP(EXPENSETBL45[[#This Row],[OPERATION]],OPERATIONCOST2024,3,FALSE)," ")</f>
        <v>-45</v>
      </c>
      <c r="K295" s="92">
        <f>IF(EXPENSETBL45[[#This Row],[UOM]]="acre",EXPENSETBL45[[#This Row],[ACRES]]," ")</f>
        <v>157.69999999999999</v>
      </c>
      <c r="L295" s="410">
        <f t="shared" si="15"/>
        <v>1</v>
      </c>
      <c r="M295" s="410">
        <f t="shared" si="16"/>
        <v>0</v>
      </c>
      <c r="N295" s="409">
        <f>IFERROR((EXPENSETBL45[[#This Row],[MCC.ENT]]*EXPENSETBL45[[#This Row],[TOTAL]])," ")</f>
        <v>-7096.4999999999991</v>
      </c>
      <c r="O295" s="409">
        <f>IFERROR((EXPENSETBL45[[#This Row],[L.L.]]*EXPENSETBL45[[#This Row],[TOTAL]])," ")</f>
        <v>0</v>
      </c>
      <c r="P295" s="409">
        <f>IFERROR((EXPENSETBL45[[#This Row],[QTY]]*EXPENSETBL45[[#This Row],[$/UOM]])," ")</f>
        <v>-7096.4999999999991</v>
      </c>
      <c r="Q295" s="409" t="s">
        <v>295</v>
      </c>
      <c r="R295" s="92">
        <v>2024</v>
      </c>
      <c r="S295" s="507"/>
      <c r="T295" s="507"/>
      <c r="U295" s="507"/>
      <c r="V295" s="507"/>
      <c r="W295" s="507"/>
      <c r="X295" s="507"/>
      <c r="Y295" s="507"/>
      <c r="Z295" s="507"/>
      <c r="AA295" s="507"/>
      <c r="AB295" s="507"/>
    </row>
    <row r="296" spans="2:28" ht="15.75" hidden="1" x14ac:dyDescent="0.25">
      <c r="B296" s="669" t="s">
        <v>20</v>
      </c>
      <c r="C296" s="669" t="s">
        <v>21</v>
      </c>
      <c r="D296" s="669" t="s">
        <v>22</v>
      </c>
      <c r="E296" s="92">
        <f>IFERROR(VLOOKUP(EXPENSETBL45[[#This Row],[FIELD]],FFTBL[[Field]:[Acres]],2,FALSE),"-")</f>
        <v>79.2</v>
      </c>
      <c r="F296" s="92" t="s">
        <v>323</v>
      </c>
      <c r="G296" s="92" t="s">
        <v>297</v>
      </c>
      <c r="H296" s="92" t="s">
        <v>406</v>
      </c>
      <c r="I296" s="92" t="str">
        <f>IFERROR(VLOOKUP(EXPENSETBL45[[#This Row],[OPERATION]],OPERATIONCOST,2,FALSE)," ")</f>
        <v>ACRE</v>
      </c>
      <c r="J296" s="409">
        <f>IFERROR(VLOOKUP(EXPENSETBL45[[#This Row],[OPERATION]],OPERATIONCOST2024,3,FALSE)," ")</f>
        <v>-17</v>
      </c>
      <c r="K296" s="92">
        <f>IF(EXPENSETBL45[[#This Row],[UOM]]="acre",EXPENSETBL45[[#This Row],[ACRES]]," ")</f>
        <v>79.2</v>
      </c>
      <c r="L296" s="410">
        <f t="shared" si="15"/>
        <v>1</v>
      </c>
      <c r="M296" s="410">
        <f t="shared" si="16"/>
        <v>0</v>
      </c>
      <c r="N296" s="409">
        <f>IFERROR((EXPENSETBL45[[#This Row],[MCC.ENT]]*EXPENSETBL45[[#This Row],[TOTAL]])," ")</f>
        <v>-1346.4</v>
      </c>
      <c r="O296" s="409">
        <f>IFERROR((EXPENSETBL45[[#This Row],[L.L.]]*EXPENSETBL45[[#This Row],[TOTAL]])," ")</f>
        <v>0</v>
      </c>
      <c r="P296" s="409">
        <f>IFERROR((EXPENSETBL45[[#This Row],[QTY]]*EXPENSETBL45[[#This Row],[$/UOM]])," ")</f>
        <v>-1346.4</v>
      </c>
      <c r="Q296" s="409" t="s">
        <v>295</v>
      </c>
      <c r="R296" s="92">
        <v>2024</v>
      </c>
      <c r="S296" s="507"/>
      <c r="T296" s="507"/>
      <c r="U296" s="507"/>
      <c r="V296" s="507"/>
      <c r="W296" s="507"/>
      <c r="X296" s="507"/>
      <c r="Y296" s="507"/>
      <c r="Z296" s="507"/>
      <c r="AA296" s="507"/>
      <c r="AB296" s="507"/>
    </row>
    <row r="297" spans="2:28" ht="15.75" hidden="1" x14ac:dyDescent="0.25">
      <c r="B297" s="669" t="s">
        <v>20</v>
      </c>
      <c r="C297" s="669" t="s">
        <v>21</v>
      </c>
      <c r="D297" s="669" t="s">
        <v>23</v>
      </c>
      <c r="E297" s="92">
        <f>IFERROR(VLOOKUP(EXPENSETBL45[[#This Row],[FIELD]],FFTBL[[Field]:[Acres]],2,FALSE),"-")</f>
        <v>78.599999999999994</v>
      </c>
      <c r="F297" s="92" t="s">
        <v>323</v>
      </c>
      <c r="G297" s="92" t="s">
        <v>297</v>
      </c>
      <c r="H297" s="92" t="s">
        <v>406</v>
      </c>
      <c r="I297" s="92" t="str">
        <f>IFERROR(VLOOKUP(EXPENSETBL45[[#This Row],[OPERATION]],OPERATIONCOST,2,FALSE)," ")</f>
        <v>ACRE</v>
      </c>
      <c r="J297" s="409">
        <f>IFERROR(VLOOKUP(EXPENSETBL45[[#This Row],[OPERATION]],OPERATIONCOST2024,3,FALSE)," ")</f>
        <v>-17</v>
      </c>
      <c r="K297" s="92">
        <f>IF(EXPENSETBL45[[#This Row],[UOM]]="acre",EXPENSETBL45[[#This Row],[ACRES]]," ")</f>
        <v>78.599999999999994</v>
      </c>
      <c r="L297" s="410">
        <f t="shared" si="15"/>
        <v>1</v>
      </c>
      <c r="M297" s="410">
        <f t="shared" si="16"/>
        <v>0</v>
      </c>
      <c r="N297" s="409">
        <f>IFERROR((EXPENSETBL45[[#This Row],[MCC.ENT]]*EXPENSETBL45[[#This Row],[TOTAL]])," ")</f>
        <v>-1336.1999999999998</v>
      </c>
      <c r="O297" s="409">
        <f>IFERROR((EXPENSETBL45[[#This Row],[L.L.]]*EXPENSETBL45[[#This Row],[TOTAL]])," ")</f>
        <v>0</v>
      </c>
      <c r="P297" s="409">
        <f>IFERROR((EXPENSETBL45[[#This Row],[QTY]]*EXPENSETBL45[[#This Row],[$/UOM]])," ")</f>
        <v>-1336.1999999999998</v>
      </c>
      <c r="Q297" s="409" t="s">
        <v>295</v>
      </c>
      <c r="R297" s="92">
        <v>2024</v>
      </c>
      <c r="S297" s="507"/>
      <c r="T297" s="507"/>
      <c r="U297" s="507"/>
      <c r="V297" s="507"/>
      <c r="W297" s="507"/>
      <c r="X297" s="507"/>
      <c r="Y297" s="507"/>
      <c r="Z297" s="507"/>
      <c r="AA297" s="507"/>
      <c r="AB297" s="507"/>
    </row>
    <row r="298" spans="2:28" ht="15.75" hidden="1" x14ac:dyDescent="0.25">
      <c r="B298" s="669" t="s">
        <v>20</v>
      </c>
      <c r="C298" s="669" t="s">
        <v>21</v>
      </c>
      <c r="D298" s="669" t="s">
        <v>24</v>
      </c>
      <c r="E298" s="92">
        <f>IFERROR(VLOOKUP(EXPENSETBL45[[#This Row],[FIELD]],FFTBL[[Field]:[Acres]],2,FALSE),"-")</f>
        <v>153</v>
      </c>
      <c r="F298" s="92" t="s">
        <v>323</v>
      </c>
      <c r="G298" s="92" t="s">
        <v>297</v>
      </c>
      <c r="H298" s="92" t="s">
        <v>406</v>
      </c>
      <c r="I298" s="92" t="str">
        <f>IFERROR(VLOOKUP(EXPENSETBL45[[#This Row],[OPERATION]],OPERATIONCOST,2,FALSE)," ")</f>
        <v>ACRE</v>
      </c>
      <c r="J298" s="409">
        <f>IFERROR(VLOOKUP(EXPENSETBL45[[#This Row],[OPERATION]],OPERATIONCOST2024,3,FALSE)," ")</f>
        <v>-17</v>
      </c>
      <c r="K298" s="92">
        <f>IF(EXPENSETBL45[[#This Row],[UOM]]="acre",EXPENSETBL45[[#This Row],[ACRES]]," ")</f>
        <v>153</v>
      </c>
      <c r="L298" s="410">
        <f t="shared" si="15"/>
        <v>1</v>
      </c>
      <c r="M298" s="410">
        <f t="shared" si="16"/>
        <v>0</v>
      </c>
      <c r="N298" s="409">
        <f>IFERROR((EXPENSETBL45[[#This Row],[MCC.ENT]]*EXPENSETBL45[[#This Row],[TOTAL]])," ")</f>
        <v>-2601</v>
      </c>
      <c r="O298" s="409">
        <f>IFERROR((EXPENSETBL45[[#This Row],[L.L.]]*EXPENSETBL45[[#This Row],[TOTAL]])," ")</f>
        <v>0</v>
      </c>
      <c r="P298" s="409">
        <f>IFERROR((EXPENSETBL45[[#This Row],[QTY]]*EXPENSETBL45[[#This Row],[$/UOM]])," ")</f>
        <v>-2601</v>
      </c>
      <c r="Q298" s="409" t="s">
        <v>295</v>
      </c>
      <c r="R298" s="92">
        <v>2024</v>
      </c>
      <c r="S298" s="507"/>
      <c r="T298" s="507"/>
      <c r="U298" s="507"/>
      <c r="V298" s="507"/>
      <c r="W298" s="507"/>
      <c r="X298" s="507"/>
      <c r="Y298" s="507"/>
      <c r="Z298" s="507"/>
      <c r="AA298" s="507"/>
      <c r="AB298" s="507"/>
    </row>
    <row r="299" spans="2:28" ht="15.75" hidden="1" x14ac:dyDescent="0.25">
      <c r="B299" s="669" t="s">
        <v>20</v>
      </c>
      <c r="C299" s="669" t="s">
        <v>21</v>
      </c>
      <c r="D299" s="669" t="s">
        <v>25</v>
      </c>
      <c r="E299" s="92">
        <f>IFERROR(VLOOKUP(EXPENSETBL45[[#This Row],[FIELD]],FFTBL[[Field]:[Acres]],2,FALSE),"-")</f>
        <v>159.69999999999999</v>
      </c>
      <c r="F299" s="92" t="s">
        <v>323</v>
      </c>
      <c r="G299" s="92" t="s">
        <v>297</v>
      </c>
      <c r="H299" s="92" t="s">
        <v>406</v>
      </c>
      <c r="I299" s="92" t="str">
        <f>IFERROR(VLOOKUP(EXPENSETBL45[[#This Row],[OPERATION]],OPERATIONCOST,2,FALSE)," ")</f>
        <v>ACRE</v>
      </c>
      <c r="J299" s="409">
        <f>IFERROR(VLOOKUP(EXPENSETBL45[[#This Row],[OPERATION]],OPERATIONCOST2024,3,FALSE)," ")</f>
        <v>-17</v>
      </c>
      <c r="K299" s="92">
        <f>IF(EXPENSETBL45[[#This Row],[UOM]]="acre",EXPENSETBL45[[#This Row],[ACRES]]," ")</f>
        <v>159.69999999999999</v>
      </c>
      <c r="L299" s="410">
        <f t="shared" si="15"/>
        <v>1</v>
      </c>
      <c r="M299" s="410">
        <f t="shared" si="16"/>
        <v>0</v>
      </c>
      <c r="N299" s="409">
        <f>IFERROR((EXPENSETBL45[[#This Row],[MCC.ENT]]*EXPENSETBL45[[#This Row],[TOTAL]])," ")</f>
        <v>-2714.8999999999996</v>
      </c>
      <c r="O299" s="409">
        <f>IFERROR((EXPENSETBL45[[#This Row],[L.L.]]*EXPENSETBL45[[#This Row],[TOTAL]])," ")</f>
        <v>0</v>
      </c>
      <c r="P299" s="409">
        <f>IFERROR((EXPENSETBL45[[#This Row],[QTY]]*EXPENSETBL45[[#This Row],[$/UOM]])," ")</f>
        <v>-2714.8999999999996</v>
      </c>
      <c r="Q299" s="409" t="s">
        <v>295</v>
      </c>
      <c r="R299" s="92">
        <v>2024</v>
      </c>
      <c r="S299" s="507"/>
      <c r="T299" s="507"/>
      <c r="U299" s="507"/>
      <c r="V299" s="507"/>
      <c r="W299" s="507"/>
      <c r="X299" s="507"/>
      <c r="Y299" s="507"/>
      <c r="Z299" s="507"/>
      <c r="AA299" s="507"/>
      <c r="AB299" s="507"/>
    </row>
    <row r="300" spans="2:28" ht="15.75" hidden="1" x14ac:dyDescent="0.25">
      <c r="B300" s="669" t="s">
        <v>20</v>
      </c>
      <c r="C300" s="669" t="s">
        <v>26</v>
      </c>
      <c r="D300" s="669" t="s">
        <v>27</v>
      </c>
      <c r="E300" s="92">
        <f>IFERROR(VLOOKUP(EXPENSETBL45[[#This Row],[FIELD]],FFTBL[[Field]:[Acres]],2,FALSE),"-")</f>
        <v>205.6</v>
      </c>
      <c r="F300" s="92" t="s">
        <v>323</v>
      </c>
      <c r="G300" s="92" t="s">
        <v>297</v>
      </c>
      <c r="H300" s="92" t="s">
        <v>406</v>
      </c>
      <c r="I300" s="92" t="str">
        <f>IFERROR(VLOOKUP(EXPENSETBL45[[#This Row],[OPERATION]],OPERATIONCOST,2,FALSE)," ")</f>
        <v>ACRE</v>
      </c>
      <c r="J300" s="409">
        <f>IFERROR(VLOOKUP(EXPENSETBL45[[#This Row],[OPERATION]],OPERATIONCOST2024,3,FALSE)," ")</f>
        <v>-17</v>
      </c>
      <c r="K300" s="92">
        <f>IF(EXPENSETBL45[[#This Row],[UOM]]="acre",EXPENSETBL45[[#This Row],[ACRES]]," ")</f>
        <v>205.6</v>
      </c>
      <c r="L300" s="410">
        <f t="shared" si="15"/>
        <v>1</v>
      </c>
      <c r="M300" s="410">
        <f t="shared" si="16"/>
        <v>0</v>
      </c>
      <c r="N300" s="409">
        <f>IFERROR((EXPENSETBL45[[#This Row],[MCC.ENT]]*EXPENSETBL45[[#This Row],[TOTAL]])," ")</f>
        <v>-3495.2</v>
      </c>
      <c r="O300" s="409">
        <f>IFERROR((EXPENSETBL45[[#This Row],[L.L.]]*EXPENSETBL45[[#This Row],[TOTAL]])," ")</f>
        <v>0</v>
      </c>
      <c r="P300" s="409">
        <f>IFERROR((EXPENSETBL45[[#This Row],[QTY]]*EXPENSETBL45[[#This Row],[$/UOM]])," ")</f>
        <v>-3495.2</v>
      </c>
      <c r="Q300" s="409" t="s">
        <v>295</v>
      </c>
      <c r="R300" s="92">
        <v>2024</v>
      </c>
      <c r="S300" s="507"/>
      <c r="T300" s="507"/>
      <c r="U300" s="507"/>
      <c r="V300" s="507"/>
      <c r="W300" s="507"/>
      <c r="X300" s="507"/>
      <c r="Y300" s="507"/>
      <c r="Z300" s="507"/>
      <c r="AA300" s="507"/>
      <c r="AB300" s="507"/>
    </row>
    <row r="301" spans="2:28" ht="15.75" hidden="1" x14ac:dyDescent="0.25">
      <c r="B301" s="669" t="s">
        <v>20</v>
      </c>
      <c r="C301" s="669" t="s">
        <v>28</v>
      </c>
      <c r="D301" s="669" t="s">
        <v>29</v>
      </c>
      <c r="E301" s="92">
        <f>IFERROR(VLOOKUP(EXPENSETBL45[[#This Row],[FIELD]],FFTBL[[Field]:[Acres]],2,FALSE),"-")</f>
        <v>79.2</v>
      </c>
      <c r="F301" s="92" t="s">
        <v>323</v>
      </c>
      <c r="G301" s="92" t="s">
        <v>297</v>
      </c>
      <c r="H301" s="92" t="s">
        <v>406</v>
      </c>
      <c r="I301" s="92" t="str">
        <f>IFERROR(VLOOKUP(EXPENSETBL45[[#This Row],[OPERATION]],OPERATIONCOST,2,FALSE)," ")</f>
        <v>ACRE</v>
      </c>
      <c r="J301" s="409">
        <f>IFERROR(VLOOKUP(EXPENSETBL45[[#This Row],[OPERATION]],OPERATIONCOST2024,3,FALSE)," ")</f>
        <v>-17</v>
      </c>
      <c r="K301" s="92">
        <f>IF(EXPENSETBL45[[#This Row],[UOM]]="acre",EXPENSETBL45[[#This Row],[ACRES]]," ")</f>
        <v>79.2</v>
      </c>
      <c r="L301" s="410">
        <f t="shared" si="15"/>
        <v>1</v>
      </c>
      <c r="M301" s="410">
        <f t="shared" si="16"/>
        <v>0</v>
      </c>
      <c r="N301" s="409">
        <f>IFERROR((EXPENSETBL45[[#This Row],[MCC.ENT]]*EXPENSETBL45[[#This Row],[TOTAL]])," ")</f>
        <v>-1346.4</v>
      </c>
      <c r="O301" s="409">
        <f>IFERROR((EXPENSETBL45[[#This Row],[L.L.]]*EXPENSETBL45[[#This Row],[TOTAL]])," ")</f>
        <v>0</v>
      </c>
      <c r="P301" s="409">
        <f>IFERROR((EXPENSETBL45[[#This Row],[QTY]]*EXPENSETBL45[[#This Row],[$/UOM]])," ")</f>
        <v>-1346.4</v>
      </c>
      <c r="Q301" s="409" t="s">
        <v>295</v>
      </c>
      <c r="R301" s="92">
        <v>2024</v>
      </c>
      <c r="S301" s="507"/>
      <c r="T301" s="507"/>
      <c r="U301" s="507"/>
      <c r="V301" s="507"/>
      <c r="W301" s="507"/>
      <c r="X301" s="507"/>
      <c r="Y301" s="507"/>
      <c r="Z301" s="507"/>
      <c r="AA301" s="507"/>
      <c r="AB301" s="507"/>
    </row>
    <row r="302" spans="2:28" ht="15.75" hidden="1" x14ac:dyDescent="0.25">
      <c r="B302" s="669" t="s">
        <v>20</v>
      </c>
      <c r="C302" s="669" t="s">
        <v>28</v>
      </c>
      <c r="D302" s="669" t="s">
        <v>30</v>
      </c>
      <c r="E302" s="92">
        <f>IFERROR(VLOOKUP(EXPENSETBL45[[#This Row],[FIELD]],FFTBL[[Field]:[Acres]],2,FALSE),"-")</f>
        <v>101.9</v>
      </c>
      <c r="F302" s="92" t="s">
        <v>323</v>
      </c>
      <c r="G302" s="92" t="s">
        <v>297</v>
      </c>
      <c r="H302" s="92" t="s">
        <v>406</v>
      </c>
      <c r="I302" s="92" t="str">
        <f>IFERROR(VLOOKUP(EXPENSETBL45[[#This Row],[OPERATION]],OPERATIONCOST,2,FALSE)," ")</f>
        <v>ACRE</v>
      </c>
      <c r="J302" s="409">
        <f>IFERROR(VLOOKUP(EXPENSETBL45[[#This Row],[OPERATION]],OPERATIONCOST2024,3,FALSE)," ")</f>
        <v>-17</v>
      </c>
      <c r="K302" s="92">
        <f>IF(EXPENSETBL45[[#This Row],[UOM]]="acre",EXPENSETBL45[[#This Row],[ACRES]]," ")</f>
        <v>101.9</v>
      </c>
      <c r="L302" s="410">
        <f t="shared" si="15"/>
        <v>1</v>
      </c>
      <c r="M302" s="410">
        <f t="shared" si="16"/>
        <v>0</v>
      </c>
      <c r="N302" s="409">
        <f>IFERROR((EXPENSETBL45[[#This Row],[MCC.ENT]]*EXPENSETBL45[[#This Row],[TOTAL]])," ")</f>
        <v>-1732.3000000000002</v>
      </c>
      <c r="O302" s="409">
        <f>IFERROR((EXPENSETBL45[[#This Row],[L.L.]]*EXPENSETBL45[[#This Row],[TOTAL]])," ")</f>
        <v>0</v>
      </c>
      <c r="P302" s="409">
        <f>IFERROR((EXPENSETBL45[[#This Row],[QTY]]*EXPENSETBL45[[#This Row],[$/UOM]])," ")</f>
        <v>-1732.3000000000002</v>
      </c>
      <c r="Q302" s="409" t="s">
        <v>295</v>
      </c>
      <c r="R302" s="92">
        <v>2024</v>
      </c>
      <c r="S302" s="507"/>
      <c r="T302" s="507"/>
      <c r="U302" s="507"/>
      <c r="V302" s="507"/>
      <c r="W302" s="507"/>
      <c r="X302" s="507"/>
      <c r="Y302" s="507"/>
      <c r="Z302" s="507"/>
      <c r="AA302" s="507"/>
      <c r="AB302" s="507"/>
    </row>
    <row r="303" spans="2:28" ht="15.75" hidden="1" x14ac:dyDescent="0.25">
      <c r="B303" s="669" t="s">
        <v>20</v>
      </c>
      <c r="C303" s="669" t="s">
        <v>28</v>
      </c>
      <c r="D303" s="669" t="s">
        <v>31</v>
      </c>
      <c r="E303" s="92">
        <f>IFERROR(VLOOKUP(EXPENSETBL45[[#This Row],[FIELD]],FFTBL[[Field]:[Acres]],2,FALSE),"-")</f>
        <v>157.5</v>
      </c>
      <c r="F303" s="92" t="s">
        <v>323</v>
      </c>
      <c r="G303" s="92" t="s">
        <v>297</v>
      </c>
      <c r="H303" s="92" t="s">
        <v>406</v>
      </c>
      <c r="I303" s="92" t="str">
        <f>IFERROR(VLOOKUP(EXPENSETBL45[[#This Row],[OPERATION]],OPERATIONCOST,2,FALSE)," ")</f>
        <v>ACRE</v>
      </c>
      <c r="J303" s="409">
        <f>IFERROR(VLOOKUP(EXPENSETBL45[[#This Row],[OPERATION]],OPERATIONCOST2024,3,FALSE)," ")</f>
        <v>-17</v>
      </c>
      <c r="K303" s="92">
        <f>IF(EXPENSETBL45[[#This Row],[UOM]]="acre",EXPENSETBL45[[#This Row],[ACRES]]," ")</f>
        <v>157.5</v>
      </c>
      <c r="L303" s="410">
        <f t="shared" si="15"/>
        <v>1</v>
      </c>
      <c r="M303" s="410">
        <f t="shared" si="16"/>
        <v>0</v>
      </c>
      <c r="N303" s="409">
        <f>IFERROR((EXPENSETBL45[[#This Row],[MCC.ENT]]*EXPENSETBL45[[#This Row],[TOTAL]])," ")</f>
        <v>-2677.5</v>
      </c>
      <c r="O303" s="409">
        <f>IFERROR((EXPENSETBL45[[#This Row],[L.L.]]*EXPENSETBL45[[#This Row],[TOTAL]])," ")</f>
        <v>0</v>
      </c>
      <c r="P303" s="409">
        <f>IFERROR((EXPENSETBL45[[#This Row],[QTY]]*EXPENSETBL45[[#This Row],[$/UOM]])," ")</f>
        <v>-2677.5</v>
      </c>
      <c r="Q303" s="409" t="s">
        <v>295</v>
      </c>
      <c r="R303" s="92">
        <v>2024</v>
      </c>
      <c r="S303" s="507"/>
      <c r="T303" s="507"/>
      <c r="U303" s="507"/>
      <c r="V303" s="507"/>
      <c r="W303" s="507"/>
      <c r="X303" s="507"/>
      <c r="Y303" s="507"/>
      <c r="Z303" s="507"/>
      <c r="AA303" s="507"/>
      <c r="AB303" s="507"/>
    </row>
    <row r="304" spans="2:28" ht="15.75" hidden="1" x14ac:dyDescent="0.25">
      <c r="B304" s="669" t="s">
        <v>20</v>
      </c>
      <c r="C304" s="669" t="s">
        <v>32</v>
      </c>
      <c r="D304" s="669" t="s">
        <v>33</v>
      </c>
      <c r="E304" s="92">
        <f>IFERROR(VLOOKUP(EXPENSETBL45[[#This Row],[FIELD]],FFTBL[[Field]:[Acres]],2,FALSE),"-")</f>
        <v>79.099999999999994</v>
      </c>
      <c r="F304" s="92" t="s">
        <v>323</v>
      </c>
      <c r="G304" s="92" t="s">
        <v>297</v>
      </c>
      <c r="H304" s="92" t="s">
        <v>406</v>
      </c>
      <c r="I304" s="92" t="str">
        <f>IFERROR(VLOOKUP(EXPENSETBL45[[#This Row],[OPERATION]],OPERATIONCOST,2,FALSE)," ")</f>
        <v>ACRE</v>
      </c>
      <c r="J304" s="409">
        <f>IFERROR(VLOOKUP(EXPENSETBL45[[#This Row],[OPERATION]],OPERATIONCOST2024,3,FALSE)," ")</f>
        <v>-17</v>
      </c>
      <c r="K304" s="92">
        <f>IF(EXPENSETBL45[[#This Row],[UOM]]="acre",EXPENSETBL45[[#This Row],[ACRES]]," ")</f>
        <v>79.099999999999994</v>
      </c>
      <c r="L304" s="410">
        <f t="shared" si="15"/>
        <v>1</v>
      </c>
      <c r="M304" s="410">
        <f t="shared" si="16"/>
        <v>0</v>
      </c>
      <c r="N304" s="409">
        <f>IFERROR((EXPENSETBL45[[#This Row],[MCC.ENT]]*EXPENSETBL45[[#This Row],[TOTAL]])," ")</f>
        <v>-1344.6999999999998</v>
      </c>
      <c r="O304" s="409">
        <f>IFERROR((EXPENSETBL45[[#This Row],[L.L.]]*EXPENSETBL45[[#This Row],[TOTAL]])," ")</f>
        <v>0</v>
      </c>
      <c r="P304" s="409">
        <f>IFERROR((EXPENSETBL45[[#This Row],[QTY]]*EXPENSETBL45[[#This Row],[$/UOM]])," ")</f>
        <v>-1344.6999999999998</v>
      </c>
      <c r="Q304" s="409" t="s">
        <v>295</v>
      </c>
      <c r="R304" s="92">
        <v>2024</v>
      </c>
      <c r="S304" s="507"/>
      <c r="T304" s="507"/>
      <c r="U304" s="507"/>
      <c r="V304" s="507"/>
      <c r="W304" s="507"/>
      <c r="X304" s="507"/>
      <c r="Y304" s="507"/>
      <c r="Z304" s="507"/>
      <c r="AA304" s="507"/>
      <c r="AB304" s="507"/>
    </row>
    <row r="305" spans="2:28" ht="15.75" hidden="1" x14ac:dyDescent="0.25">
      <c r="B305" s="669" t="s">
        <v>20</v>
      </c>
      <c r="C305" s="669" t="s">
        <v>32</v>
      </c>
      <c r="D305" s="669" t="s">
        <v>34</v>
      </c>
      <c r="E305" s="92">
        <f>IFERROR(VLOOKUP(EXPENSETBL45[[#This Row],[FIELD]],FFTBL[[Field]:[Acres]],2,FALSE),"-")</f>
        <v>77.400000000000006</v>
      </c>
      <c r="F305" s="92" t="s">
        <v>323</v>
      </c>
      <c r="G305" s="92" t="s">
        <v>297</v>
      </c>
      <c r="H305" s="92" t="s">
        <v>406</v>
      </c>
      <c r="I305" s="92" t="str">
        <f>IFERROR(VLOOKUP(EXPENSETBL45[[#This Row],[OPERATION]],OPERATIONCOST,2,FALSE)," ")</f>
        <v>ACRE</v>
      </c>
      <c r="J305" s="409">
        <f>IFERROR(VLOOKUP(EXPENSETBL45[[#This Row],[OPERATION]],OPERATIONCOST2024,3,FALSE)," ")</f>
        <v>-17</v>
      </c>
      <c r="K305" s="92">
        <f>IF(EXPENSETBL45[[#This Row],[UOM]]="acre",EXPENSETBL45[[#This Row],[ACRES]]," ")</f>
        <v>77.400000000000006</v>
      </c>
      <c r="L305" s="410">
        <f t="shared" si="15"/>
        <v>1</v>
      </c>
      <c r="M305" s="410">
        <f t="shared" si="16"/>
        <v>0</v>
      </c>
      <c r="N305" s="409">
        <f>IFERROR((EXPENSETBL45[[#This Row],[MCC.ENT]]*EXPENSETBL45[[#This Row],[TOTAL]])," ")</f>
        <v>-1315.8000000000002</v>
      </c>
      <c r="O305" s="409">
        <f>IFERROR((EXPENSETBL45[[#This Row],[L.L.]]*EXPENSETBL45[[#This Row],[TOTAL]])," ")</f>
        <v>0</v>
      </c>
      <c r="P305" s="409">
        <f>IFERROR((EXPENSETBL45[[#This Row],[QTY]]*EXPENSETBL45[[#This Row],[$/UOM]])," ")</f>
        <v>-1315.8000000000002</v>
      </c>
      <c r="Q305" s="409" t="s">
        <v>295</v>
      </c>
      <c r="R305" s="92">
        <v>2024</v>
      </c>
      <c r="S305" s="507"/>
      <c r="T305" s="507"/>
      <c r="U305" s="507"/>
      <c r="V305" s="507"/>
      <c r="W305" s="507"/>
      <c r="X305" s="507"/>
      <c r="Y305" s="507"/>
      <c r="Z305" s="507"/>
      <c r="AA305" s="507"/>
      <c r="AB305" s="507"/>
    </row>
    <row r="306" spans="2:28" ht="15.75" hidden="1" x14ac:dyDescent="0.25">
      <c r="B306" s="669" t="s">
        <v>20</v>
      </c>
      <c r="C306" s="669" t="s">
        <v>35</v>
      </c>
      <c r="D306" s="669" t="s">
        <v>36</v>
      </c>
      <c r="E306" s="92">
        <f>IFERROR(VLOOKUP(EXPENSETBL45[[#This Row],[FIELD]],FFTBL[[Field]:[Acres]],2,FALSE),"-")</f>
        <v>71.5</v>
      </c>
      <c r="F306" s="92" t="s">
        <v>323</v>
      </c>
      <c r="G306" s="92" t="s">
        <v>297</v>
      </c>
      <c r="H306" s="92" t="s">
        <v>406</v>
      </c>
      <c r="I306" s="92" t="str">
        <f>IFERROR(VLOOKUP(EXPENSETBL45[[#This Row],[OPERATION]],OPERATIONCOST,2,FALSE)," ")</f>
        <v>ACRE</v>
      </c>
      <c r="J306" s="409">
        <f>IFERROR(VLOOKUP(EXPENSETBL45[[#This Row],[OPERATION]],OPERATIONCOST2024,3,FALSE)," ")</f>
        <v>-17</v>
      </c>
      <c r="K306" s="92">
        <f>IF(EXPENSETBL45[[#This Row],[UOM]]="acre",EXPENSETBL45[[#This Row],[ACRES]]," ")</f>
        <v>71.5</v>
      </c>
      <c r="L306" s="410">
        <f t="shared" si="15"/>
        <v>1</v>
      </c>
      <c r="M306" s="410">
        <f t="shared" si="16"/>
        <v>0</v>
      </c>
      <c r="N306" s="409">
        <f>IFERROR((EXPENSETBL45[[#This Row],[MCC.ENT]]*EXPENSETBL45[[#This Row],[TOTAL]])," ")</f>
        <v>-1215.5</v>
      </c>
      <c r="O306" s="409">
        <f>IFERROR((EXPENSETBL45[[#This Row],[L.L.]]*EXPENSETBL45[[#This Row],[TOTAL]])," ")</f>
        <v>0</v>
      </c>
      <c r="P306" s="409">
        <f>IFERROR((EXPENSETBL45[[#This Row],[QTY]]*EXPENSETBL45[[#This Row],[$/UOM]])," ")</f>
        <v>-1215.5</v>
      </c>
      <c r="Q306" s="409" t="s">
        <v>295</v>
      </c>
      <c r="R306" s="92">
        <v>2024</v>
      </c>
      <c r="S306" s="507"/>
      <c r="T306" s="507"/>
      <c r="U306" s="507"/>
      <c r="V306" s="507"/>
      <c r="W306" s="507"/>
      <c r="X306" s="507"/>
      <c r="Y306" s="507"/>
      <c r="Z306" s="507"/>
      <c r="AA306" s="507"/>
      <c r="AB306" s="507"/>
    </row>
    <row r="307" spans="2:28" ht="15.75" hidden="1" x14ac:dyDescent="0.25">
      <c r="B307" s="669" t="s">
        <v>20</v>
      </c>
      <c r="C307" s="669" t="s">
        <v>35</v>
      </c>
      <c r="D307" s="669" t="s">
        <v>37</v>
      </c>
      <c r="E307" s="92">
        <f>IFERROR(VLOOKUP(EXPENSETBL45[[#This Row],[FIELD]],FFTBL[[Field]:[Acres]],2,FALSE),"-")</f>
        <v>157.69999999999999</v>
      </c>
      <c r="F307" s="92" t="s">
        <v>323</v>
      </c>
      <c r="G307" s="92" t="s">
        <v>297</v>
      </c>
      <c r="H307" s="92" t="s">
        <v>406</v>
      </c>
      <c r="I307" s="92" t="str">
        <f>IFERROR(VLOOKUP(EXPENSETBL45[[#This Row],[OPERATION]],OPERATIONCOST,2,FALSE)," ")</f>
        <v>ACRE</v>
      </c>
      <c r="J307" s="409">
        <f>IFERROR(VLOOKUP(EXPENSETBL45[[#This Row],[OPERATION]],OPERATIONCOST2024,3,FALSE)," ")</f>
        <v>-17</v>
      </c>
      <c r="K307" s="92">
        <f>IF(EXPENSETBL45[[#This Row],[UOM]]="acre",EXPENSETBL45[[#This Row],[ACRES]]," ")</f>
        <v>157.69999999999999</v>
      </c>
      <c r="L307" s="410">
        <f t="shared" si="15"/>
        <v>1</v>
      </c>
      <c r="M307" s="410">
        <f t="shared" si="16"/>
        <v>0</v>
      </c>
      <c r="N307" s="409">
        <f>IFERROR((EXPENSETBL45[[#This Row],[MCC.ENT]]*EXPENSETBL45[[#This Row],[TOTAL]])," ")</f>
        <v>-2680.8999999999996</v>
      </c>
      <c r="O307" s="409">
        <f>IFERROR((EXPENSETBL45[[#This Row],[L.L.]]*EXPENSETBL45[[#This Row],[TOTAL]])," ")</f>
        <v>0</v>
      </c>
      <c r="P307" s="409">
        <f>IFERROR((EXPENSETBL45[[#This Row],[QTY]]*EXPENSETBL45[[#This Row],[$/UOM]])," ")</f>
        <v>-2680.8999999999996</v>
      </c>
      <c r="Q307" s="409" t="s">
        <v>295</v>
      </c>
      <c r="R307" s="92">
        <v>2024</v>
      </c>
      <c r="S307" s="507"/>
      <c r="T307" s="507"/>
      <c r="U307" s="507"/>
      <c r="V307" s="507"/>
      <c r="W307" s="507"/>
      <c r="X307" s="507"/>
      <c r="Y307" s="507"/>
      <c r="Z307" s="507"/>
      <c r="AA307" s="507"/>
      <c r="AB307" s="507"/>
    </row>
    <row r="308" spans="2:28" ht="15.75" hidden="1" x14ac:dyDescent="0.25">
      <c r="B308" s="669" t="s">
        <v>20</v>
      </c>
      <c r="C308" s="669" t="s">
        <v>21</v>
      </c>
      <c r="D308" s="669" t="s">
        <v>22</v>
      </c>
      <c r="E308" s="92">
        <f>IFERROR(VLOOKUP(EXPENSETBL45[[#This Row],[FIELD]],FFTBL[[Field]:[Acres]],2,FALSE),"-")</f>
        <v>79.2</v>
      </c>
      <c r="F308" s="92" t="s">
        <v>319</v>
      </c>
      <c r="G308" s="92" t="s">
        <v>117</v>
      </c>
      <c r="H308" s="92" t="s">
        <v>345</v>
      </c>
      <c r="I308" s="92" t="str">
        <f>IFERROR(VLOOKUP(EXPENSETBL45[[#This Row],[OPERATION]],OPERATIONCOST,2,FALSE)," ")</f>
        <v>ACRE</v>
      </c>
      <c r="J308" s="409">
        <f>IFERROR(VLOOKUP(EXPENSETBL45[[#This Row],[OPERATION]],OPERATIONCOST2024,3,FALSE)," ")</f>
        <v>-71.790000000000006</v>
      </c>
      <c r="K308" s="92">
        <f>IF(EXPENSETBL45[[#This Row],[UOM]]="acre",EXPENSETBL45[[#This Row],[ACRES]]," ")</f>
        <v>79.2</v>
      </c>
      <c r="L308" s="410">
        <f t="shared" si="15"/>
        <v>0.65</v>
      </c>
      <c r="M308" s="410">
        <f t="shared" si="16"/>
        <v>0.35</v>
      </c>
      <c r="N308" s="409">
        <f>IFERROR((EXPENSETBL45[[#This Row],[MCC.ENT]]*EXPENSETBL45[[#This Row],[TOTAL]])," ")</f>
        <v>-3695.7492000000007</v>
      </c>
      <c r="O308" s="409">
        <f>IFERROR((EXPENSETBL45[[#This Row],[L.L.]]*EXPENSETBL45[[#This Row],[TOTAL]])," ")</f>
        <v>-1990.0188000000003</v>
      </c>
      <c r="P308" s="409">
        <f>IFERROR((EXPENSETBL45[[#This Row],[QTY]]*EXPENSETBL45[[#This Row],[$/UOM]])," ")</f>
        <v>-5685.7680000000009</v>
      </c>
      <c r="Q308" s="409" t="s">
        <v>295</v>
      </c>
      <c r="R308" s="92">
        <v>2024</v>
      </c>
      <c r="S308" s="507"/>
      <c r="T308" s="507"/>
      <c r="U308" s="507"/>
      <c r="V308" s="507"/>
      <c r="W308" s="507"/>
      <c r="X308" s="507"/>
      <c r="Y308" s="507"/>
      <c r="Z308" s="507"/>
      <c r="AA308" s="507"/>
      <c r="AB308" s="507"/>
    </row>
    <row r="309" spans="2:28" ht="15.75" hidden="1" x14ac:dyDescent="0.25">
      <c r="B309" s="669" t="s">
        <v>20</v>
      </c>
      <c r="C309" s="669" t="s">
        <v>21</v>
      </c>
      <c r="D309" s="669" t="s">
        <v>23</v>
      </c>
      <c r="E309" s="92">
        <f>IFERROR(VLOOKUP(EXPENSETBL45[[#This Row],[FIELD]],FFTBL[[Field]:[Acres]],2,FALSE),"-")</f>
        <v>78.599999999999994</v>
      </c>
      <c r="F309" s="92" t="s">
        <v>319</v>
      </c>
      <c r="G309" s="92" t="s">
        <v>117</v>
      </c>
      <c r="H309" s="92" t="s">
        <v>345</v>
      </c>
      <c r="I309" s="92" t="str">
        <f>IFERROR(VLOOKUP(EXPENSETBL45[[#This Row],[OPERATION]],OPERATIONCOST,2,FALSE)," ")</f>
        <v>ACRE</v>
      </c>
      <c r="J309" s="409">
        <f>IFERROR(VLOOKUP(EXPENSETBL45[[#This Row],[OPERATION]],OPERATIONCOST2024,3,FALSE)," ")</f>
        <v>-71.790000000000006</v>
      </c>
      <c r="K309" s="92">
        <f>IF(EXPENSETBL45[[#This Row],[UOM]]="acre",EXPENSETBL45[[#This Row],[ACRES]]," ")</f>
        <v>78.599999999999994</v>
      </c>
      <c r="L309" s="410">
        <f t="shared" si="15"/>
        <v>0.65</v>
      </c>
      <c r="M309" s="410">
        <f t="shared" si="16"/>
        <v>0.35</v>
      </c>
      <c r="N309" s="409">
        <f>IFERROR((EXPENSETBL45[[#This Row],[MCC.ENT]]*EXPENSETBL45[[#This Row],[TOTAL]])," ")</f>
        <v>-3667.7511000000004</v>
      </c>
      <c r="O309" s="409">
        <f>IFERROR((EXPENSETBL45[[#This Row],[L.L.]]*EXPENSETBL45[[#This Row],[TOTAL]])," ")</f>
        <v>-1974.9429</v>
      </c>
      <c r="P309" s="409">
        <f>IFERROR((EXPENSETBL45[[#This Row],[QTY]]*EXPENSETBL45[[#This Row],[$/UOM]])," ")</f>
        <v>-5642.6940000000004</v>
      </c>
      <c r="Q309" s="409" t="s">
        <v>295</v>
      </c>
      <c r="R309" s="92">
        <v>2024</v>
      </c>
      <c r="S309" s="507"/>
      <c r="T309" s="507"/>
      <c r="U309" s="507"/>
      <c r="V309" s="507"/>
      <c r="W309" s="507"/>
      <c r="X309" s="507"/>
      <c r="Y309" s="507"/>
      <c r="Z309" s="507"/>
      <c r="AA309" s="507"/>
      <c r="AB309" s="507"/>
    </row>
    <row r="310" spans="2:28" ht="15.75" hidden="1" x14ac:dyDescent="0.25">
      <c r="B310" s="669" t="s">
        <v>20</v>
      </c>
      <c r="C310" s="669" t="s">
        <v>21</v>
      </c>
      <c r="D310" s="669" t="s">
        <v>24</v>
      </c>
      <c r="E310" s="92">
        <f>IFERROR(VLOOKUP(EXPENSETBL45[[#This Row],[FIELD]],FFTBL[[Field]:[Acres]],2,FALSE),"-")</f>
        <v>153</v>
      </c>
      <c r="F310" s="92" t="s">
        <v>319</v>
      </c>
      <c r="G310" s="92" t="s">
        <v>117</v>
      </c>
      <c r="H310" s="92" t="s">
        <v>345</v>
      </c>
      <c r="I310" s="92" t="str">
        <f>IFERROR(VLOOKUP(EXPENSETBL45[[#This Row],[OPERATION]],OPERATIONCOST,2,FALSE)," ")</f>
        <v>ACRE</v>
      </c>
      <c r="J310" s="409">
        <f>IFERROR(VLOOKUP(EXPENSETBL45[[#This Row],[OPERATION]],OPERATIONCOST2024,3,FALSE)," ")</f>
        <v>-71.790000000000006</v>
      </c>
      <c r="K310" s="92">
        <f>IF(EXPENSETBL45[[#This Row],[UOM]]="acre",EXPENSETBL45[[#This Row],[ACRES]]," ")</f>
        <v>153</v>
      </c>
      <c r="L310" s="410">
        <f t="shared" ref="L310:L334" si="17">IF(G310="SPLIT",0.65,1)</f>
        <v>0.65</v>
      </c>
      <c r="M310" s="410">
        <f t="shared" ref="M310:M334" si="18">IF(G310="SPLIT",0.35,0)</f>
        <v>0.35</v>
      </c>
      <c r="N310" s="409">
        <f>IFERROR((EXPENSETBL45[[#This Row],[MCC.ENT]]*EXPENSETBL45[[#This Row],[TOTAL]])," ")</f>
        <v>-7139.5155000000004</v>
      </c>
      <c r="O310" s="409">
        <f>IFERROR((EXPENSETBL45[[#This Row],[L.L.]]*EXPENSETBL45[[#This Row],[TOTAL]])," ")</f>
        <v>-3844.3544999999999</v>
      </c>
      <c r="P310" s="409">
        <f>IFERROR((EXPENSETBL45[[#This Row],[QTY]]*EXPENSETBL45[[#This Row],[$/UOM]])," ")</f>
        <v>-10983.87</v>
      </c>
      <c r="Q310" s="409" t="s">
        <v>295</v>
      </c>
      <c r="R310" s="92">
        <v>2024</v>
      </c>
      <c r="S310" s="507"/>
      <c r="T310" s="507"/>
      <c r="U310" s="507"/>
      <c r="V310" s="507"/>
      <c r="W310" s="507"/>
      <c r="X310" s="507"/>
      <c r="Y310" s="507"/>
      <c r="Z310" s="507"/>
      <c r="AA310" s="507"/>
      <c r="AB310" s="507"/>
    </row>
    <row r="311" spans="2:28" ht="15.75" hidden="1" x14ac:dyDescent="0.25">
      <c r="B311" s="669" t="s">
        <v>20</v>
      </c>
      <c r="C311" s="669" t="s">
        <v>21</v>
      </c>
      <c r="D311" s="669" t="s">
        <v>25</v>
      </c>
      <c r="E311" s="92">
        <f>IFERROR(VLOOKUP(EXPENSETBL45[[#This Row],[FIELD]],FFTBL[[Field]:[Acres]],2,FALSE),"-")</f>
        <v>159.69999999999999</v>
      </c>
      <c r="F311" s="92" t="s">
        <v>319</v>
      </c>
      <c r="G311" s="92" t="s">
        <v>117</v>
      </c>
      <c r="H311" s="92" t="s">
        <v>345</v>
      </c>
      <c r="I311" s="92" t="str">
        <f>IFERROR(VLOOKUP(EXPENSETBL45[[#This Row],[OPERATION]],OPERATIONCOST,2,FALSE)," ")</f>
        <v>ACRE</v>
      </c>
      <c r="J311" s="409">
        <f>IFERROR(VLOOKUP(EXPENSETBL45[[#This Row],[OPERATION]],OPERATIONCOST2024,3,FALSE)," ")</f>
        <v>-71.790000000000006</v>
      </c>
      <c r="K311" s="92">
        <f>IF(EXPENSETBL45[[#This Row],[UOM]]="acre",EXPENSETBL45[[#This Row],[ACRES]]," ")</f>
        <v>159.69999999999999</v>
      </c>
      <c r="L311" s="410">
        <f t="shared" si="17"/>
        <v>0.65</v>
      </c>
      <c r="M311" s="410">
        <f t="shared" si="18"/>
        <v>0.35</v>
      </c>
      <c r="N311" s="409">
        <f>IFERROR((EXPENSETBL45[[#This Row],[MCC.ENT]]*EXPENSETBL45[[#This Row],[TOTAL]])," ")</f>
        <v>-7452.1609499999995</v>
      </c>
      <c r="O311" s="409">
        <f>IFERROR((EXPENSETBL45[[#This Row],[L.L.]]*EXPENSETBL45[[#This Row],[TOTAL]])," ")</f>
        <v>-4012.7020499999994</v>
      </c>
      <c r="P311" s="409">
        <f>IFERROR((EXPENSETBL45[[#This Row],[QTY]]*EXPENSETBL45[[#This Row],[$/UOM]])," ")</f>
        <v>-11464.862999999999</v>
      </c>
      <c r="Q311" s="409" t="s">
        <v>295</v>
      </c>
      <c r="R311" s="92">
        <v>2024</v>
      </c>
      <c r="S311" s="507"/>
      <c r="T311" s="507"/>
      <c r="U311" s="507"/>
      <c r="V311" s="507"/>
      <c r="W311" s="507"/>
      <c r="X311" s="507"/>
      <c r="Y311" s="507"/>
      <c r="Z311" s="507"/>
      <c r="AA311" s="507"/>
      <c r="AB311" s="507"/>
    </row>
    <row r="312" spans="2:28" ht="15.75" hidden="1" x14ac:dyDescent="0.25">
      <c r="B312" s="669" t="s">
        <v>20</v>
      </c>
      <c r="C312" s="669" t="s">
        <v>26</v>
      </c>
      <c r="D312" s="669" t="s">
        <v>27</v>
      </c>
      <c r="E312" s="92">
        <f>IFERROR(VLOOKUP(EXPENSETBL45[[#This Row],[FIELD]],FFTBL[[Field]:[Acres]],2,FALSE),"-")</f>
        <v>205.6</v>
      </c>
      <c r="F312" s="92" t="s">
        <v>319</v>
      </c>
      <c r="G312" s="92" t="s">
        <v>117</v>
      </c>
      <c r="H312" s="92" t="s">
        <v>345</v>
      </c>
      <c r="I312" s="92" t="str">
        <f>IFERROR(VLOOKUP(EXPENSETBL45[[#This Row],[OPERATION]],OPERATIONCOST,2,FALSE)," ")</f>
        <v>ACRE</v>
      </c>
      <c r="J312" s="409">
        <f>IFERROR(VLOOKUP(EXPENSETBL45[[#This Row],[OPERATION]],OPERATIONCOST2024,3,FALSE)," ")</f>
        <v>-71.790000000000006</v>
      </c>
      <c r="K312" s="92">
        <f>IF(EXPENSETBL45[[#This Row],[UOM]]="acre",EXPENSETBL45[[#This Row],[ACRES]]," ")</f>
        <v>205.6</v>
      </c>
      <c r="L312" s="410">
        <f t="shared" si="17"/>
        <v>0.65</v>
      </c>
      <c r="M312" s="410">
        <f t="shared" si="18"/>
        <v>0.35</v>
      </c>
      <c r="N312" s="409">
        <f>IFERROR((EXPENSETBL45[[#This Row],[MCC.ENT]]*EXPENSETBL45[[#This Row],[TOTAL]])," ")</f>
        <v>-9594.0156000000006</v>
      </c>
      <c r="O312" s="409">
        <f>IFERROR((EXPENSETBL45[[#This Row],[L.L.]]*EXPENSETBL45[[#This Row],[TOTAL]])," ")</f>
        <v>-5166.0083999999997</v>
      </c>
      <c r="P312" s="409">
        <f>IFERROR((EXPENSETBL45[[#This Row],[QTY]]*EXPENSETBL45[[#This Row],[$/UOM]])," ")</f>
        <v>-14760.024000000001</v>
      </c>
      <c r="Q312" s="409" t="s">
        <v>295</v>
      </c>
      <c r="R312" s="92">
        <v>2024</v>
      </c>
      <c r="S312" s="507"/>
      <c r="T312" s="507"/>
      <c r="U312" s="507"/>
      <c r="V312" s="507"/>
      <c r="W312" s="507"/>
      <c r="X312" s="507"/>
      <c r="Y312" s="507"/>
      <c r="Z312" s="507"/>
      <c r="AA312" s="507"/>
      <c r="AB312" s="507"/>
    </row>
    <row r="313" spans="2:28" ht="15.75" hidden="1" x14ac:dyDescent="0.25">
      <c r="B313" s="669" t="s">
        <v>20</v>
      </c>
      <c r="C313" s="669" t="s">
        <v>28</v>
      </c>
      <c r="D313" s="669" t="s">
        <v>29</v>
      </c>
      <c r="E313" s="92">
        <f>IFERROR(VLOOKUP(EXPENSETBL45[[#This Row],[FIELD]],FFTBL[[Field]:[Acres]],2,FALSE),"-")</f>
        <v>79.2</v>
      </c>
      <c r="F313" s="92" t="s">
        <v>319</v>
      </c>
      <c r="G313" s="92" t="s">
        <v>117</v>
      </c>
      <c r="H313" s="92" t="s">
        <v>345</v>
      </c>
      <c r="I313" s="92" t="str">
        <f>IFERROR(VLOOKUP(EXPENSETBL45[[#This Row],[OPERATION]],OPERATIONCOST,2,FALSE)," ")</f>
        <v>ACRE</v>
      </c>
      <c r="J313" s="409">
        <f>IFERROR(VLOOKUP(EXPENSETBL45[[#This Row],[OPERATION]],OPERATIONCOST2024,3,FALSE)," ")</f>
        <v>-71.790000000000006</v>
      </c>
      <c r="K313" s="92">
        <f>IF(EXPENSETBL45[[#This Row],[UOM]]="acre",EXPENSETBL45[[#This Row],[ACRES]]," ")</f>
        <v>79.2</v>
      </c>
      <c r="L313" s="410">
        <f t="shared" si="17"/>
        <v>0.65</v>
      </c>
      <c r="M313" s="410">
        <f t="shared" si="18"/>
        <v>0.35</v>
      </c>
      <c r="N313" s="409">
        <f>IFERROR((EXPENSETBL45[[#This Row],[MCC.ENT]]*EXPENSETBL45[[#This Row],[TOTAL]])," ")</f>
        <v>-3695.7492000000007</v>
      </c>
      <c r="O313" s="409">
        <f>IFERROR((EXPENSETBL45[[#This Row],[L.L.]]*EXPENSETBL45[[#This Row],[TOTAL]])," ")</f>
        <v>-1990.0188000000003</v>
      </c>
      <c r="P313" s="409">
        <f>IFERROR((EXPENSETBL45[[#This Row],[QTY]]*EXPENSETBL45[[#This Row],[$/UOM]])," ")</f>
        <v>-5685.7680000000009</v>
      </c>
      <c r="Q313" s="409" t="s">
        <v>295</v>
      </c>
      <c r="R313" s="92">
        <v>2024</v>
      </c>
      <c r="S313" s="507"/>
      <c r="T313" s="507"/>
      <c r="U313" s="507"/>
      <c r="V313" s="507"/>
      <c r="W313" s="507"/>
      <c r="X313" s="507"/>
      <c r="Y313" s="507"/>
      <c r="Z313" s="507"/>
      <c r="AA313" s="507"/>
      <c r="AB313" s="507"/>
    </row>
    <row r="314" spans="2:28" ht="15.75" hidden="1" x14ac:dyDescent="0.25">
      <c r="B314" s="669" t="s">
        <v>20</v>
      </c>
      <c r="C314" s="669" t="s">
        <v>28</v>
      </c>
      <c r="D314" s="669" t="s">
        <v>30</v>
      </c>
      <c r="E314" s="92">
        <f>IFERROR(VLOOKUP(EXPENSETBL45[[#This Row],[FIELD]],FFTBL[[Field]:[Acres]],2,FALSE),"-")</f>
        <v>101.9</v>
      </c>
      <c r="F314" s="92" t="s">
        <v>319</v>
      </c>
      <c r="G314" s="92" t="s">
        <v>117</v>
      </c>
      <c r="H314" s="92" t="s">
        <v>345</v>
      </c>
      <c r="I314" s="92" t="str">
        <f>IFERROR(VLOOKUP(EXPENSETBL45[[#This Row],[OPERATION]],OPERATIONCOST,2,FALSE)," ")</f>
        <v>ACRE</v>
      </c>
      <c r="J314" s="409">
        <f>IFERROR(VLOOKUP(EXPENSETBL45[[#This Row],[OPERATION]],OPERATIONCOST2024,3,FALSE)," ")</f>
        <v>-71.790000000000006</v>
      </c>
      <c r="K314" s="92">
        <f>IF(EXPENSETBL45[[#This Row],[UOM]]="acre",EXPENSETBL45[[#This Row],[ACRES]]," ")</f>
        <v>101.9</v>
      </c>
      <c r="L314" s="410">
        <f t="shared" si="17"/>
        <v>0.65</v>
      </c>
      <c r="M314" s="410">
        <f t="shared" si="18"/>
        <v>0.35</v>
      </c>
      <c r="N314" s="409">
        <f>IFERROR((EXPENSETBL45[[#This Row],[MCC.ENT]]*EXPENSETBL45[[#This Row],[TOTAL]])," ")</f>
        <v>-4755.0106500000011</v>
      </c>
      <c r="O314" s="409">
        <f>IFERROR((EXPENSETBL45[[#This Row],[L.L.]]*EXPENSETBL45[[#This Row],[TOTAL]])," ")</f>
        <v>-2560.3903500000001</v>
      </c>
      <c r="P314" s="409">
        <f>IFERROR((EXPENSETBL45[[#This Row],[QTY]]*EXPENSETBL45[[#This Row],[$/UOM]])," ")</f>
        <v>-7315.4010000000007</v>
      </c>
      <c r="Q314" s="409" t="s">
        <v>295</v>
      </c>
      <c r="R314" s="92">
        <v>2024</v>
      </c>
      <c r="S314" s="507"/>
      <c r="T314" s="507"/>
      <c r="U314" s="507"/>
      <c r="V314" s="507"/>
      <c r="W314" s="507"/>
      <c r="X314" s="507"/>
      <c r="Y314" s="507"/>
      <c r="Z314" s="507"/>
      <c r="AA314" s="507"/>
      <c r="AB314" s="507"/>
    </row>
    <row r="315" spans="2:28" ht="15.75" hidden="1" x14ac:dyDescent="0.25">
      <c r="B315" s="669" t="s">
        <v>20</v>
      </c>
      <c r="C315" s="669" t="s">
        <v>28</v>
      </c>
      <c r="D315" s="669" t="s">
        <v>31</v>
      </c>
      <c r="E315" s="92">
        <f>IFERROR(VLOOKUP(EXPENSETBL45[[#This Row],[FIELD]],FFTBL[[Field]:[Acres]],2,FALSE),"-")</f>
        <v>157.5</v>
      </c>
      <c r="F315" s="92" t="s">
        <v>319</v>
      </c>
      <c r="G315" s="92" t="s">
        <v>117</v>
      </c>
      <c r="H315" s="92" t="s">
        <v>345</v>
      </c>
      <c r="I315" s="92" t="str">
        <f>IFERROR(VLOOKUP(EXPENSETBL45[[#This Row],[OPERATION]],OPERATIONCOST,2,FALSE)," ")</f>
        <v>ACRE</v>
      </c>
      <c r="J315" s="409">
        <f>IFERROR(VLOOKUP(EXPENSETBL45[[#This Row],[OPERATION]],OPERATIONCOST2024,3,FALSE)," ")</f>
        <v>-71.790000000000006</v>
      </c>
      <c r="K315" s="92">
        <f>IF(EXPENSETBL45[[#This Row],[UOM]]="acre",EXPENSETBL45[[#This Row],[ACRES]]," ")</f>
        <v>157.5</v>
      </c>
      <c r="L315" s="410">
        <f t="shared" si="17"/>
        <v>0.65</v>
      </c>
      <c r="M315" s="410">
        <f t="shared" si="18"/>
        <v>0.35</v>
      </c>
      <c r="N315" s="409">
        <f>IFERROR((EXPENSETBL45[[#This Row],[MCC.ENT]]*EXPENSETBL45[[#This Row],[TOTAL]])," ")</f>
        <v>-7349.5012500000012</v>
      </c>
      <c r="O315" s="409">
        <f>IFERROR((EXPENSETBL45[[#This Row],[L.L.]]*EXPENSETBL45[[#This Row],[TOTAL]])," ")</f>
        <v>-3957.4237499999999</v>
      </c>
      <c r="P315" s="409">
        <f>IFERROR((EXPENSETBL45[[#This Row],[QTY]]*EXPENSETBL45[[#This Row],[$/UOM]])," ")</f>
        <v>-11306.925000000001</v>
      </c>
      <c r="Q315" s="409" t="s">
        <v>295</v>
      </c>
      <c r="R315" s="92">
        <v>2024</v>
      </c>
      <c r="S315" s="507"/>
      <c r="T315" s="507"/>
      <c r="U315" s="507"/>
      <c r="V315" s="507"/>
      <c r="W315" s="507"/>
      <c r="X315" s="507"/>
      <c r="Y315" s="507"/>
      <c r="Z315" s="507"/>
      <c r="AA315" s="507"/>
      <c r="AB315" s="507"/>
    </row>
    <row r="316" spans="2:28" ht="15.75" hidden="1" x14ac:dyDescent="0.25">
      <c r="B316" s="669" t="s">
        <v>20</v>
      </c>
      <c r="C316" s="669" t="s">
        <v>32</v>
      </c>
      <c r="D316" s="669" t="s">
        <v>33</v>
      </c>
      <c r="E316" s="92">
        <f>IFERROR(VLOOKUP(EXPENSETBL45[[#This Row],[FIELD]],FFTBL[[Field]:[Acres]],2,FALSE),"-")</f>
        <v>79.099999999999994</v>
      </c>
      <c r="F316" s="92" t="s">
        <v>319</v>
      </c>
      <c r="G316" s="92" t="s">
        <v>117</v>
      </c>
      <c r="H316" s="92" t="s">
        <v>345</v>
      </c>
      <c r="I316" s="92" t="str">
        <f>IFERROR(VLOOKUP(EXPENSETBL45[[#This Row],[OPERATION]],OPERATIONCOST,2,FALSE)," ")</f>
        <v>ACRE</v>
      </c>
      <c r="J316" s="409">
        <f>IFERROR(VLOOKUP(EXPENSETBL45[[#This Row],[OPERATION]],OPERATIONCOST2024,3,FALSE)," ")</f>
        <v>-71.790000000000006</v>
      </c>
      <c r="K316" s="92">
        <f>IF(EXPENSETBL45[[#This Row],[UOM]]="acre",EXPENSETBL45[[#This Row],[ACRES]]," ")</f>
        <v>79.099999999999994</v>
      </c>
      <c r="L316" s="410">
        <f t="shared" si="17"/>
        <v>0.65</v>
      </c>
      <c r="M316" s="410">
        <f t="shared" si="18"/>
        <v>0.35</v>
      </c>
      <c r="N316" s="409">
        <f>IFERROR((EXPENSETBL45[[#This Row],[MCC.ENT]]*EXPENSETBL45[[#This Row],[TOTAL]])," ")</f>
        <v>-3691.0828500000002</v>
      </c>
      <c r="O316" s="409">
        <f>IFERROR((EXPENSETBL45[[#This Row],[L.L.]]*EXPENSETBL45[[#This Row],[TOTAL]])," ")</f>
        <v>-1987.5061499999999</v>
      </c>
      <c r="P316" s="409">
        <f>IFERROR((EXPENSETBL45[[#This Row],[QTY]]*EXPENSETBL45[[#This Row],[$/UOM]])," ")</f>
        <v>-5678.5889999999999</v>
      </c>
      <c r="Q316" s="409" t="s">
        <v>295</v>
      </c>
      <c r="R316" s="92">
        <v>2024</v>
      </c>
      <c r="S316" s="507"/>
      <c r="T316" s="507"/>
      <c r="U316" s="507"/>
      <c r="V316" s="507"/>
      <c r="W316" s="507"/>
      <c r="X316" s="507"/>
      <c r="Y316" s="507"/>
      <c r="Z316" s="507"/>
      <c r="AA316" s="507"/>
      <c r="AB316" s="507"/>
    </row>
    <row r="317" spans="2:28" ht="15.75" hidden="1" x14ac:dyDescent="0.25">
      <c r="B317" s="669" t="s">
        <v>20</v>
      </c>
      <c r="C317" s="669" t="s">
        <v>32</v>
      </c>
      <c r="D317" s="669" t="s">
        <v>34</v>
      </c>
      <c r="E317" s="92">
        <f>IFERROR(VLOOKUP(EXPENSETBL45[[#This Row],[FIELD]],FFTBL[[Field]:[Acres]],2,FALSE),"-")</f>
        <v>77.400000000000006</v>
      </c>
      <c r="F317" s="92" t="s">
        <v>319</v>
      </c>
      <c r="G317" s="92" t="s">
        <v>117</v>
      </c>
      <c r="H317" s="92" t="s">
        <v>345</v>
      </c>
      <c r="I317" s="92" t="str">
        <f>IFERROR(VLOOKUP(EXPENSETBL45[[#This Row],[OPERATION]],OPERATIONCOST,2,FALSE)," ")</f>
        <v>ACRE</v>
      </c>
      <c r="J317" s="409">
        <f>IFERROR(VLOOKUP(EXPENSETBL45[[#This Row],[OPERATION]],OPERATIONCOST2024,3,FALSE)," ")</f>
        <v>-71.790000000000006</v>
      </c>
      <c r="K317" s="92">
        <f>IF(EXPENSETBL45[[#This Row],[UOM]]="acre",EXPENSETBL45[[#This Row],[ACRES]]," ")</f>
        <v>77.400000000000006</v>
      </c>
      <c r="L317" s="410">
        <f t="shared" si="17"/>
        <v>0.65</v>
      </c>
      <c r="M317" s="410">
        <f t="shared" si="18"/>
        <v>0.35</v>
      </c>
      <c r="N317" s="409">
        <f>IFERROR((EXPENSETBL45[[#This Row],[MCC.ENT]]*EXPENSETBL45[[#This Row],[TOTAL]])," ")</f>
        <v>-3611.7549000000008</v>
      </c>
      <c r="O317" s="409">
        <f>IFERROR((EXPENSETBL45[[#This Row],[L.L.]]*EXPENSETBL45[[#This Row],[TOTAL]])," ")</f>
        <v>-1944.7911000000004</v>
      </c>
      <c r="P317" s="409">
        <f>IFERROR((EXPENSETBL45[[#This Row],[QTY]]*EXPENSETBL45[[#This Row],[$/UOM]])," ")</f>
        <v>-5556.5460000000012</v>
      </c>
      <c r="Q317" s="409" t="s">
        <v>295</v>
      </c>
      <c r="R317" s="92">
        <v>2024</v>
      </c>
      <c r="S317" s="507"/>
      <c r="T317" s="507"/>
      <c r="U317" s="507"/>
      <c r="V317" s="507"/>
      <c r="W317" s="507"/>
      <c r="X317" s="507"/>
      <c r="Y317" s="507"/>
      <c r="Z317" s="507"/>
      <c r="AA317" s="507"/>
      <c r="AB317" s="507"/>
    </row>
    <row r="318" spans="2:28" ht="15.75" hidden="1" x14ac:dyDescent="0.25">
      <c r="B318" s="669" t="s">
        <v>20</v>
      </c>
      <c r="C318" s="669" t="s">
        <v>35</v>
      </c>
      <c r="D318" s="669" t="s">
        <v>36</v>
      </c>
      <c r="E318" s="92">
        <f>IFERROR(VLOOKUP(EXPENSETBL45[[#This Row],[FIELD]],FFTBL[[Field]:[Acres]],2,FALSE),"-")</f>
        <v>71.5</v>
      </c>
      <c r="F318" s="92" t="s">
        <v>319</v>
      </c>
      <c r="G318" s="92" t="s">
        <v>117</v>
      </c>
      <c r="H318" s="92" t="s">
        <v>345</v>
      </c>
      <c r="I318" s="92" t="str">
        <f>IFERROR(VLOOKUP(EXPENSETBL45[[#This Row],[OPERATION]],OPERATIONCOST,2,FALSE)," ")</f>
        <v>ACRE</v>
      </c>
      <c r="J318" s="409">
        <f>IFERROR(VLOOKUP(EXPENSETBL45[[#This Row],[OPERATION]],OPERATIONCOST2024,3,FALSE)," ")</f>
        <v>-71.790000000000006</v>
      </c>
      <c r="K318" s="92">
        <f>IF(EXPENSETBL45[[#This Row],[UOM]]="acre",EXPENSETBL45[[#This Row],[ACRES]]," ")</f>
        <v>71.5</v>
      </c>
      <c r="L318" s="410">
        <f t="shared" si="17"/>
        <v>0.65</v>
      </c>
      <c r="M318" s="410">
        <f t="shared" si="18"/>
        <v>0.35</v>
      </c>
      <c r="N318" s="409">
        <f>IFERROR((EXPENSETBL45[[#This Row],[MCC.ENT]]*EXPENSETBL45[[#This Row],[TOTAL]])," ")</f>
        <v>-3336.4402500000006</v>
      </c>
      <c r="O318" s="409">
        <f>IFERROR((EXPENSETBL45[[#This Row],[L.L.]]*EXPENSETBL45[[#This Row],[TOTAL]])," ")</f>
        <v>-1796.54475</v>
      </c>
      <c r="P318" s="409">
        <f>IFERROR((EXPENSETBL45[[#This Row],[QTY]]*EXPENSETBL45[[#This Row],[$/UOM]])," ")</f>
        <v>-5132.9850000000006</v>
      </c>
      <c r="Q318" s="409" t="s">
        <v>295</v>
      </c>
      <c r="R318" s="92">
        <v>2024</v>
      </c>
      <c r="S318" s="507"/>
      <c r="T318" s="507"/>
      <c r="U318" s="507"/>
      <c r="V318" s="507"/>
      <c r="W318" s="507"/>
      <c r="X318" s="507"/>
      <c r="Y318" s="507"/>
      <c r="Z318" s="507"/>
      <c r="AA318" s="507"/>
      <c r="AB318" s="507"/>
    </row>
    <row r="319" spans="2:28" ht="15.75" hidden="1" x14ac:dyDescent="0.25">
      <c r="B319" s="669" t="s">
        <v>20</v>
      </c>
      <c r="C319" s="669" t="s">
        <v>35</v>
      </c>
      <c r="D319" s="669" t="s">
        <v>37</v>
      </c>
      <c r="E319" s="92">
        <f>IFERROR(VLOOKUP(EXPENSETBL45[[#This Row],[FIELD]],FFTBL[[Field]:[Acres]],2,FALSE),"-")</f>
        <v>157.69999999999999</v>
      </c>
      <c r="F319" s="92" t="s">
        <v>319</v>
      </c>
      <c r="G319" s="92" t="s">
        <v>117</v>
      </c>
      <c r="H319" s="92" t="s">
        <v>345</v>
      </c>
      <c r="I319" s="92" t="str">
        <f>IFERROR(VLOOKUP(EXPENSETBL45[[#This Row],[OPERATION]],OPERATIONCOST,2,FALSE)," ")</f>
        <v>ACRE</v>
      </c>
      <c r="J319" s="409">
        <f>IFERROR(VLOOKUP(EXPENSETBL45[[#This Row],[OPERATION]],OPERATIONCOST2024,3,FALSE)," ")</f>
        <v>-71.790000000000006</v>
      </c>
      <c r="K319" s="92">
        <f>IF(EXPENSETBL45[[#This Row],[UOM]]="acre",EXPENSETBL45[[#This Row],[ACRES]]," ")</f>
        <v>157.69999999999999</v>
      </c>
      <c r="L319" s="410">
        <f t="shared" si="17"/>
        <v>0.65</v>
      </c>
      <c r="M319" s="410">
        <f t="shared" si="18"/>
        <v>0.35</v>
      </c>
      <c r="N319" s="409">
        <f>IFERROR((EXPENSETBL45[[#This Row],[MCC.ENT]]*EXPENSETBL45[[#This Row],[TOTAL]])," ")</f>
        <v>-7358.8339500000002</v>
      </c>
      <c r="O319" s="409">
        <f>IFERROR((EXPENSETBL45[[#This Row],[L.L.]]*EXPENSETBL45[[#This Row],[TOTAL]])," ")</f>
        <v>-3962.4490499999997</v>
      </c>
      <c r="P319" s="409">
        <f>IFERROR((EXPENSETBL45[[#This Row],[QTY]]*EXPENSETBL45[[#This Row],[$/UOM]])," ")</f>
        <v>-11321.282999999999</v>
      </c>
      <c r="Q319" s="409" t="s">
        <v>295</v>
      </c>
      <c r="R319" s="92">
        <v>2024</v>
      </c>
      <c r="S319" s="507"/>
      <c r="T319" s="507"/>
      <c r="U319" s="507"/>
      <c r="V319" s="507"/>
      <c r="W319" s="507"/>
      <c r="X319" s="507"/>
      <c r="Y319" s="507"/>
      <c r="Z319" s="507"/>
      <c r="AA319" s="507"/>
      <c r="AB319" s="507"/>
    </row>
    <row r="320" spans="2:28" ht="15.75" hidden="1" x14ac:dyDescent="0.25">
      <c r="B320" s="669" t="s">
        <v>20</v>
      </c>
      <c r="C320" s="669" t="s">
        <v>21</v>
      </c>
      <c r="D320" s="669" t="s">
        <v>22</v>
      </c>
      <c r="E320" s="92">
        <f>IFERROR(VLOOKUP(EXPENSETBL45[[#This Row],[FIELD]],FFTBL[[Field]:[Acres]],2,FALSE),"-")</f>
        <v>79.2</v>
      </c>
      <c r="F320" s="92" t="s">
        <v>319</v>
      </c>
      <c r="G320" s="92" t="s">
        <v>117</v>
      </c>
      <c r="H320" s="92" t="s">
        <v>346</v>
      </c>
      <c r="I320" s="92" t="str">
        <f>IFERROR(VLOOKUP(EXPENSETBL45[[#This Row],[OPERATION]],OPERATIONCOST,2,FALSE)," ")</f>
        <v>ACRE</v>
      </c>
      <c r="J320" s="409">
        <f>IFERROR(VLOOKUP(EXPENSETBL45[[#This Row],[OPERATION]],OPERATIONCOST2024,3,FALSE)," ")</f>
        <v>-37.64</v>
      </c>
      <c r="K320" s="92">
        <f>IF(EXPENSETBL45[[#This Row],[UOM]]="acre",EXPENSETBL45[[#This Row],[ACRES]]," ")</f>
        <v>79.2</v>
      </c>
      <c r="L320" s="410">
        <f t="shared" si="17"/>
        <v>0.65</v>
      </c>
      <c r="M320" s="410">
        <f t="shared" si="18"/>
        <v>0.35</v>
      </c>
      <c r="N320" s="409">
        <f>IFERROR((EXPENSETBL45[[#This Row],[MCC.ENT]]*EXPENSETBL45[[#This Row],[TOTAL]])," ")</f>
        <v>-1937.7072000000003</v>
      </c>
      <c r="O320" s="409">
        <f>IFERROR((EXPENSETBL45[[#This Row],[L.L.]]*EXPENSETBL45[[#This Row],[TOTAL]])," ")</f>
        <v>-1043.3807999999999</v>
      </c>
      <c r="P320" s="409">
        <f>IFERROR((EXPENSETBL45[[#This Row],[QTY]]*EXPENSETBL45[[#This Row],[$/UOM]])," ")</f>
        <v>-2981.0880000000002</v>
      </c>
      <c r="Q320" s="409" t="s">
        <v>295</v>
      </c>
      <c r="R320" s="92">
        <v>2024</v>
      </c>
      <c r="S320" s="507"/>
      <c r="T320" s="507"/>
      <c r="U320" s="507"/>
      <c r="V320" s="507"/>
      <c r="W320" s="507"/>
      <c r="X320" s="507"/>
      <c r="Y320" s="507"/>
      <c r="Z320" s="507"/>
      <c r="AA320" s="507"/>
      <c r="AB320" s="507"/>
    </row>
    <row r="321" spans="2:28" ht="15.75" hidden="1" x14ac:dyDescent="0.25">
      <c r="B321" s="669" t="s">
        <v>20</v>
      </c>
      <c r="C321" s="669" t="s">
        <v>21</v>
      </c>
      <c r="D321" s="669" t="s">
        <v>23</v>
      </c>
      <c r="E321" s="92">
        <f>IFERROR(VLOOKUP(EXPENSETBL45[[#This Row],[FIELD]],FFTBL[[Field]:[Acres]],2,FALSE),"-")</f>
        <v>78.599999999999994</v>
      </c>
      <c r="F321" s="92" t="s">
        <v>319</v>
      </c>
      <c r="G321" s="92" t="s">
        <v>117</v>
      </c>
      <c r="H321" s="92" t="s">
        <v>346</v>
      </c>
      <c r="I321" s="92" t="str">
        <f>IFERROR(VLOOKUP(EXPENSETBL45[[#This Row],[OPERATION]],OPERATIONCOST,2,FALSE)," ")</f>
        <v>ACRE</v>
      </c>
      <c r="J321" s="409">
        <f>IFERROR(VLOOKUP(EXPENSETBL45[[#This Row],[OPERATION]],OPERATIONCOST2024,3,FALSE)," ")</f>
        <v>-37.64</v>
      </c>
      <c r="K321" s="92">
        <f>IF(EXPENSETBL45[[#This Row],[UOM]]="acre",EXPENSETBL45[[#This Row],[ACRES]]," ")</f>
        <v>78.599999999999994</v>
      </c>
      <c r="L321" s="410">
        <f t="shared" si="17"/>
        <v>0.65</v>
      </c>
      <c r="M321" s="410">
        <f t="shared" si="18"/>
        <v>0.35</v>
      </c>
      <c r="N321" s="409">
        <f>IFERROR((EXPENSETBL45[[#This Row],[MCC.ENT]]*EXPENSETBL45[[#This Row],[TOTAL]])," ")</f>
        <v>-1923.0275999999999</v>
      </c>
      <c r="O321" s="409">
        <f>IFERROR((EXPENSETBL45[[#This Row],[L.L.]]*EXPENSETBL45[[#This Row],[TOTAL]])," ")</f>
        <v>-1035.4764</v>
      </c>
      <c r="P321" s="409">
        <f>IFERROR((EXPENSETBL45[[#This Row],[QTY]]*EXPENSETBL45[[#This Row],[$/UOM]])," ")</f>
        <v>-2958.5039999999999</v>
      </c>
      <c r="Q321" s="409" t="s">
        <v>295</v>
      </c>
      <c r="R321" s="92">
        <v>2024</v>
      </c>
      <c r="S321" s="507"/>
      <c r="T321" s="507"/>
      <c r="U321" s="507"/>
      <c r="V321" s="507"/>
      <c r="W321" s="507"/>
      <c r="X321" s="507"/>
      <c r="Y321" s="507"/>
      <c r="Z321" s="507"/>
      <c r="AA321" s="507"/>
      <c r="AB321" s="507"/>
    </row>
    <row r="322" spans="2:28" ht="15.75" hidden="1" x14ac:dyDescent="0.25">
      <c r="B322" s="669" t="s">
        <v>20</v>
      </c>
      <c r="C322" s="669" t="s">
        <v>21</v>
      </c>
      <c r="D322" s="669" t="s">
        <v>24</v>
      </c>
      <c r="E322" s="92">
        <f>IFERROR(VLOOKUP(EXPENSETBL45[[#This Row],[FIELD]],FFTBL[[Field]:[Acres]],2,FALSE),"-")</f>
        <v>153</v>
      </c>
      <c r="F322" s="92" t="s">
        <v>319</v>
      </c>
      <c r="G322" s="92" t="s">
        <v>117</v>
      </c>
      <c r="H322" s="92" t="s">
        <v>346</v>
      </c>
      <c r="I322" s="92" t="str">
        <f>IFERROR(VLOOKUP(EXPENSETBL45[[#This Row],[OPERATION]],OPERATIONCOST,2,FALSE)," ")</f>
        <v>ACRE</v>
      </c>
      <c r="J322" s="409">
        <f>IFERROR(VLOOKUP(EXPENSETBL45[[#This Row],[OPERATION]],OPERATIONCOST2024,3,FALSE)," ")</f>
        <v>-37.64</v>
      </c>
      <c r="K322" s="92">
        <f>IF(EXPENSETBL45[[#This Row],[UOM]]="acre",EXPENSETBL45[[#This Row],[ACRES]]," ")</f>
        <v>153</v>
      </c>
      <c r="L322" s="410">
        <f t="shared" si="17"/>
        <v>0.65</v>
      </c>
      <c r="M322" s="410">
        <f t="shared" si="18"/>
        <v>0.35</v>
      </c>
      <c r="N322" s="409">
        <f>IFERROR((EXPENSETBL45[[#This Row],[MCC.ENT]]*EXPENSETBL45[[#This Row],[TOTAL]])," ")</f>
        <v>-3743.2980000000002</v>
      </c>
      <c r="O322" s="409">
        <f>IFERROR((EXPENSETBL45[[#This Row],[L.L.]]*EXPENSETBL45[[#This Row],[TOTAL]])," ")</f>
        <v>-2015.6219999999998</v>
      </c>
      <c r="P322" s="409">
        <f>IFERROR((EXPENSETBL45[[#This Row],[QTY]]*EXPENSETBL45[[#This Row],[$/UOM]])," ")</f>
        <v>-5758.92</v>
      </c>
      <c r="Q322" s="409" t="s">
        <v>295</v>
      </c>
      <c r="R322" s="92">
        <v>2024</v>
      </c>
      <c r="S322" s="507"/>
      <c r="T322" s="507"/>
      <c r="U322" s="507"/>
      <c r="V322" s="507"/>
      <c r="W322" s="507"/>
      <c r="X322" s="507"/>
      <c r="Y322" s="507"/>
      <c r="Z322" s="507"/>
      <c r="AA322" s="507"/>
      <c r="AB322" s="507"/>
    </row>
    <row r="323" spans="2:28" ht="15.75" hidden="1" x14ac:dyDescent="0.25">
      <c r="B323" s="669" t="s">
        <v>20</v>
      </c>
      <c r="C323" s="669" t="s">
        <v>21</v>
      </c>
      <c r="D323" s="669" t="s">
        <v>25</v>
      </c>
      <c r="E323" s="92">
        <f>IFERROR(VLOOKUP(EXPENSETBL45[[#This Row],[FIELD]],FFTBL[[Field]:[Acres]],2,FALSE),"-")</f>
        <v>159.69999999999999</v>
      </c>
      <c r="F323" s="92" t="s">
        <v>319</v>
      </c>
      <c r="G323" s="92" t="s">
        <v>117</v>
      </c>
      <c r="H323" s="92" t="s">
        <v>346</v>
      </c>
      <c r="I323" s="92" t="str">
        <f>IFERROR(VLOOKUP(EXPENSETBL45[[#This Row],[OPERATION]],OPERATIONCOST,2,FALSE)," ")</f>
        <v>ACRE</v>
      </c>
      <c r="J323" s="409">
        <f>IFERROR(VLOOKUP(EXPENSETBL45[[#This Row],[OPERATION]],OPERATIONCOST2024,3,FALSE)," ")</f>
        <v>-37.64</v>
      </c>
      <c r="K323" s="92">
        <f>IF(EXPENSETBL45[[#This Row],[UOM]]="acre",EXPENSETBL45[[#This Row],[ACRES]]," ")</f>
        <v>159.69999999999999</v>
      </c>
      <c r="L323" s="410">
        <f t="shared" si="17"/>
        <v>0.65</v>
      </c>
      <c r="M323" s="410">
        <f t="shared" si="18"/>
        <v>0.35</v>
      </c>
      <c r="N323" s="409">
        <f>IFERROR((EXPENSETBL45[[#This Row],[MCC.ENT]]*EXPENSETBL45[[#This Row],[TOTAL]])," ")</f>
        <v>-3907.2201999999997</v>
      </c>
      <c r="O323" s="409">
        <f>IFERROR((EXPENSETBL45[[#This Row],[L.L.]]*EXPENSETBL45[[#This Row],[TOTAL]])," ")</f>
        <v>-2103.8877999999995</v>
      </c>
      <c r="P323" s="409">
        <f>IFERROR((EXPENSETBL45[[#This Row],[QTY]]*EXPENSETBL45[[#This Row],[$/UOM]])," ")</f>
        <v>-6011.1079999999993</v>
      </c>
      <c r="Q323" s="409" t="s">
        <v>295</v>
      </c>
      <c r="R323" s="92">
        <v>2024</v>
      </c>
      <c r="S323" s="507"/>
      <c r="T323" s="507"/>
      <c r="U323" s="507"/>
      <c r="V323" s="507"/>
      <c r="W323" s="507"/>
      <c r="X323" s="507"/>
      <c r="Y323" s="507"/>
      <c r="Z323" s="507"/>
      <c r="AA323" s="507"/>
      <c r="AB323" s="507"/>
    </row>
    <row r="324" spans="2:28" ht="15.75" hidden="1" x14ac:dyDescent="0.25">
      <c r="B324" s="669" t="s">
        <v>20</v>
      </c>
      <c r="C324" s="669" t="s">
        <v>26</v>
      </c>
      <c r="D324" s="669" t="s">
        <v>27</v>
      </c>
      <c r="E324" s="92">
        <f>IFERROR(VLOOKUP(EXPENSETBL45[[#This Row],[FIELD]],FFTBL[[Field]:[Acres]],2,FALSE),"-")</f>
        <v>205.6</v>
      </c>
      <c r="F324" s="92" t="s">
        <v>319</v>
      </c>
      <c r="G324" s="92" t="s">
        <v>117</v>
      </c>
      <c r="H324" s="92" t="s">
        <v>346</v>
      </c>
      <c r="I324" s="92" t="str">
        <f>IFERROR(VLOOKUP(EXPENSETBL45[[#This Row],[OPERATION]],OPERATIONCOST,2,FALSE)," ")</f>
        <v>ACRE</v>
      </c>
      <c r="J324" s="409">
        <f>IFERROR(VLOOKUP(EXPENSETBL45[[#This Row],[OPERATION]],OPERATIONCOST2024,3,FALSE)," ")</f>
        <v>-37.64</v>
      </c>
      <c r="K324" s="92">
        <f>IF(EXPENSETBL45[[#This Row],[UOM]]="acre",EXPENSETBL45[[#This Row],[ACRES]]," ")</f>
        <v>205.6</v>
      </c>
      <c r="L324" s="410">
        <f t="shared" si="17"/>
        <v>0.65</v>
      </c>
      <c r="M324" s="410">
        <f t="shared" si="18"/>
        <v>0.35</v>
      </c>
      <c r="N324" s="409">
        <f>IFERROR((EXPENSETBL45[[#This Row],[MCC.ENT]]*EXPENSETBL45[[#This Row],[TOTAL]])," ")</f>
        <v>-5030.2096000000001</v>
      </c>
      <c r="O324" s="409">
        <f>IFERROR((EXPENSETBL45[[#This Row],[L.L.]]*EXPENSETBL45[[#This Row],[TOTAL]])," ")</f>
        <v>-2708.5743999999995</v>
      </c>
      <c r="P324" s="409">
        <f>IFERROR((EXPENSETBL45[[#This Row],[QTY]]*EXPENSETBL45[[#This Row],[$/UOM]])," ")</f>
        <v>-7738.7839999999997</v>
      </c>
      <c r="Q324" s="409" t="s">
        <v>295</v>
      </c>
      <c r="R324" s="92">
        <v>2024</v>
      </c>
      <c r="S324" s="507"/>
      <c r="T324" s="507"/>
      <c r="U324" s="507"/>
      <c r="V324" s="507"/>
      <c r="W324" s="507"/>
      <c r="X324" s="507"/>
      <c r="Y324" s="507"/>
      <c r="Z324" s="507"/>
      <c r="AA324" s="507"/>
      <c r="AB324" s="507"/>
    </row>
    <row r="325" spans="2:28" ht="15.75" hidden="1" x14ac:dyDescent="0.25">
      <c r="B325" s="669" t="s">
        <v>20</v>
      </c>
      <c r="C325" s="669" t="s">
        <v>28</v>
      </c>
      <c r="D325" s="669" t="s">
        <v>29</v>
      </c>
      <c r="E325" s="92">
        <f>IFERROR(VLOOKUP(EXPENSETBL45[[#This Row],[FIELD]],FFTBL[[Field]:[Acres]],2,FALSE),"-")</f>
        <v>79.2</v>
      </c>
      <c r="F325" s="92" t="s">
        <v>319</v>
      </c>
      <c r="G325" s="92" t="s">
        <v>117</v>
      </c>
      <c r="H325" s="92" t="s">
        <v>346</v>
      </c>
      <c r="I325" s="92" t="str">
        <f>IFERROR(VLOOKUP(EXPENSETBL45[[#This Row],[OPERATION]],OPERATIONCOST,2,FALSE)," ")</f>
        <v>ACRE</v>
      </c>
      <c r="J325" s="409">
        <f>IFERROR(VLOOKUP(EXPENSETBL45[[#This Row],[OPERATION]],OPERATIONCOST2024,3,FALSE)," ")</f>
        <v>-37.64</v>
      </c>
      <c r="K325" s="92">
        <f>IF(EXPENSETBL45[[#This Row],[UOM]]="acre",EXPENSETBL45[[#This Row],[ACRES]]," ")</f>
        <v>79.2</v>
      </c>
      <c r="L325" s="410">
        <f t="shared" si="17"/>
        <v>0.65</v>
      </c>
      <c r="M325" s="410">
        <f t="shared" si="18"/>
        <v>0.35</v>
      </c>
      <c r="N325" s="409">
        <f>IFERROR((EXPENSETBL45[[#This Row],[MCC.ENT]]*EXPENSETBL45[[#This Row],[TOTAL]])," ")</f>
        <v>-1937.7072000000003</v>
      </c>
      <c r="O325" s="409">
        <f>IFERROR((EXPENSETBL45[[#This Row],[L.L.]]*EXPENSETBL45[[#This Row],[TOTAL]])," ")</f>
        <v>-1043.3807999999999</v>
      </c>
      <c r="P325" s="409">
        <f>IFERROR((EXPENSETBL45[[#This Row],[QTY]]*EXPENSETBL45[[#This Row],[$/UOM]])," ")</f>
        <v>-2981.0880000000002</v>
      </c>
      <c r="Q325" s="409" t="s">
        <v>295</v>
      </c>
      <c r="R325" s="92">
        <v>2024</v>
      </c>
      <c r="S325" s="507"/>
      <c r="T325" s="507"/>
      <c r="U325" s="507"/>
      <c r="V325" s="507"/>
      <c r="W325" s="507"/>
      <c r="X325" s="507"/>
      <c r="Y325" s="507"/>
      <c r="Z325" s="507"/>
      <c r="AA325" s="507"/>
      <c r="AB325" s="507"/>
    </row>
    <row r="326" spans="2:28" ht="15.75" hidden="1" x14ac:dyDescent="0.25">
      <c r="B326" s="669" t="s">
        <v>20</v>
      </c>
      <c r="C326" s="669" t="s">
        <v>28</v>
      </c>
      <c r="D326" s="669" t="s">
        <v>30</v>
      </c>
      <c r="E326" s="92">
        <f>IFERROR(VLOOKUP(EXPENSETBL45[[#This Row],[FIELD]],FFTBL[[Field]:[Acres]],2,FALSE),"-")</f>
        <v>101.9</v>
      </c>
      <c r="F326" s="92" t="s">
        <v>319</v>
      </c>
      <c r="G326" s="92" t="s">
        <v>117</v>
      </c>
      <c r="H326" s="92" t="s">
        <v>346</v>
      </c>
      <c r="I326" s="92" t="str">
        <f>IFERROR(VLOOKUP(EXPENSETBL45[[#This Row],[OPERATION]],OPERATIONCOST,2,FALSE)," ")</f>
        <v>ACRE</v>
      </c>
      <c r="J326" s="409">
        <f>IFERROR(VLOOKUP(EXPENSETBL45[[#This Row],[OPERATION]],OPERATIONCOST2024,3,FALSE)," ")</f>
        <v>-37.64</v>
      </c>
      <c r="K326" s="92">
        <f>IF(EXPENSETBL45[[#This Row],[UOM]]="acre",EXPENSETBL45[[#This Row],[ACRES]]," ")</f>
        <v>101.9</v>
      </c>
      <c r="L326" s="410">
        <f t="shared" si="17"/>
        <v>0.65</v>
      </c>
      <c r="M326" s="410">
        <f t="shared" si="18"/>
        <v>0.35</v>
      </c>
      <c r="N326" s="409">
        <f>IFERROR((EXPENSETBL45[[#This Row],[MCC.ENT]]*EXPENSETBL45[[#This Row],[TOTAL]])," ")</f>
        <v>-2493.0853999999999</v>
      </c>
      <c r="O326" s="409">
        <f>IFERROR((EXPENSETBL45[[#This Row],[L.L.]]*EXPENSETBL45[[#This Row],[TOTAL]])," ")</f>
        <v>-1342.4305999999999</v>
      </c>
      <c r="P326" s="409">
        <f>IFERROR((EXPENSETBL45[[#This Row],[QTY]]*EXPENSETBL45[[#This Row],[$/UOM]])," ")</f>
        <v>-3835.5160000000001</v>
      </c>
      <c r="Q326" s="409" t="s">
        <v>295</v>
      </c>
      <c r="R326" s="92">
        <v>2024</v>
      </c>
      <c r="S326" s="507"/>
      <c r="T326" s="507"/>
      <c r="U326" s="507"/>
      <c r="V326" s="507"/>
      <c r="W326" s="507"/>
      <c r="X326" s="507"/>
      <c r="Y326" s="507"/>
      <c r="Z326" s="507"/>
      <c r="AA326" s="507"/>
      <c r="AB326" s="507"/>
    </row>
    <row r="327" spans="2:28" ht="15.75" hidden="1" x14ac:dyDescent="0.25">
      <c r="B327" s="669" t="s">
        <v>20</v>
      </c>
      <c r="C327" s="669" t="s">
        <v>28</v>
      </c>
      <c r="D327" s="669" t="s">
        <v>31</v>
      </c>
      <c r="E327" s="92">
        <f>IFERROR(VLOOKUP(EXPENSETBL45[[#This Row],[FIELD]],FFTBL[[Field]:[Acres]],2,FALSE),"-")</f>
        <v>157.5</v>
      </c>
      <c r="F327" s="92" t="s">
        <v>319</v>
      </c>
      <c r="G327" s="92" t="s">
        <v>117</v>
      </c>
      <c r="H327" s="92" t="s">
        <v>346</v>
      </c>
      <c r="I327" s="92" t="str">
        <f>IFERROR(VLOOKUP(EXPENSETBL45[[#This Row],[OPERATION]],OPERATIONCOST,2,FALSE)," ")</f>
        <v>ACRE</v>
      </c>
      <c r="J327" s="409">
        <f>IFERROR(VLOOKUP(EXPENSETBL45[[#This Row],[OPERATION]],OPERATIONCOST2024,3,FALSE)," ")</f>
        <v>-37.64</v>
      </c>
      <c r="K327" s="92">
        <f>IF(EXPENSETBL45[[#This Row],[UOM]]="acre",EXPENSETBL45[[#This Row],[ACRES]]," ")</f>
        <v>157.5</v>
      </c>
      <c r="L327" s="410">
        <f t="shared" si="17"/>
        <v>0.65</v>
      </c>
      <c r="M327" s="410">
        <f t="shared" si="18"/>
        <v>0.35</v>
      </c>
      <c r="N327" s="409">
        <f>IFERROR((EXPENSETBL45[[#This Row],[MCC.ENT]]*EXPENSETBL45[[#This Row],[TOTAL]])," ")</f>
        <v>-3853.3950000000004</v>
      </c>
      <c r="O327" s="409">
        <f>IFERROR((EXPENSETBL45[[#This Row],[L.L.]]*EXPENSETBL45[[#This Row],[TOTAL]])," ")</f>
        <v>-2074.9049999999997</v>
      </c>
      <c r="P327" s="409">
        <f>IFERROR((EXPENSETBL45[[#This Row],[QTY]]*EXPENSETBL45[[#This Row],[$/UOM]])," ")</f>
        <v>-5928.3</v>
      </c>
      <c r="Q327" s="409" t="s">
        <v>295</v>
      </c>
      <c r="R327" s="92">
        <v>2024</v>
      </c>
      <c r="S327" s="507"/>
      <c r="T327" s="507"/>
      <c r="U327" s="507"/>
      <c r="V327" s="507"/>
      <c r="W327" s="507"/>
      <c r="X327" s="507"/>
      <c r="Y327" s="507"/>
      <c r="Z327" s="507"/>
      <c r="AA327" s="507"/>
      <c r="AB327" s="507"/>
    </row>
    <row r="328" spans="2:28" ht="15.75" hidden="1" x14ac:dyDescent="0.25">
      <c r="B328" s="669" t="s">
        <v>20</v>
      </c>
      <c r="C328" s="669" t="s">
        <v>32</v>
      </c>
      <c r="D328" s="669" t="s">
        <v>33</v>
      </c>
      <c r="E328" s="92">
        <f>IFERROR(VLOOKUP(EXPENSETBL45[[#This Row],[FIELD]],FFTBL[[Field]:[Acres]],2,FALSE),"-")</f>
        <v>79.099999999999994</v>
      </c>
      <c r="F328" s="92" t="s">
        <v>319</v>
      </c>
      <c r="G328" s="92" t="s">
        <v>117</v>
      </c>
      <c r="H328" s="92" t="s">
        <v>346</v>
      </c>
      <c r="I328" s="92" t="str">
        <f>IFERROR(VLOOKUP(EXPENSETBL45[[#This Row],[OPERATION]],OPERATIONCOST,2,FALSE)," ")</f>
        <v>ACRE</v>
      </c>
      <c r="J328" s="409">
        <f>IFERROR(VLOOKUP(EXPENSETBL45[[#This Row],[OPERATION]],OPERATIONCOST2024,3,FALSE)," ")</f>
        <v>-37.64</v>
      </c>
      <c r="K328" s="92">
        <f>IF(EXPENSETBL45[[#This Row],[UOM]]="acre",EXPENSETBL45[[#This Row],[ACRES]]," ")</f>
        <v>79.099999999999994</v>
      </c>
      <c r="L328" s="410">
        <f t="shared" si="17"/>
        <v>0.65</v>
      </c>
      <c r="M328" s="410">
        <f t="shared" si="18"/>
        <v>0.35</v>
      </c>
      <c r="N328" s="409">
        <f>IFERROR((EXPENSETBL45[[#This Row],[MCC.ENT]]*EXPENSETBL45[[#This Row],[TOTAL]])," ")</f>
        <v>-1935.2605999999998</v>
      </c>
      <c r="O328" s="409">
        <f>IFERROR((EXPENSETBL45[[#This Row],[L.L.]]*EXPENSETBL45[[#This Row],[TOTAL]])," ")</f>
        <v>-1042.0633999999998</v>
      </c>
      <c r="P328" s="409">
        <f>IFERROR((EXPENSETBL45[[#This Row],[QTY]]*EXPENSETBL45[[#This Row],[$/UOM]])," ")</f>
        <v>-2977.3239999999996</v>
      </c>
      <c r="Q328" s="409" t="s">
        <v>295</v>
      </c>
      <c r="R328" s="92">
        <v>2024</v>
      </c>
      <c r="S328" s="507"/>
      <c r="T328" s="507"/>
      <c r="U328" s="507"/>
      <c r="V328" s="507"/>
      <c r="W328" s="507"/>
      <c r="X328" s="507"/>
      <c r="Y328" s="507"/>
      <c r="Z328" s="507"/>
      <c r="AA328" s="507"/>
      <c r="AB328" s="507"/>
    </row>
    <row r="329" spans="2:28" ht="15.75" hidden="1" x14ac:dyDescent="0.25">
      <c r="B329" s="669" t="s">
        <v>20</v>
      </c>
      <c r="C329" s="669" t="s">
        <v>32</v>
      </c>
      <c r="D329" s="669" t="s">
        <v>34</v>
      </c>
      <c r="E329" s="92">
        <f>IFERROR(VLOOKUP(EXPENSETBL45[[#This Row],[FIELD]],FFTBL[[Field]:[Acres]],2,FALSE),"-")</f>
        <v>77.400000000000006</v>
      </c>
      <c r="F329" s="92" t="s">
        <v>319</v>
      </c>
      <c r="G329" s="92" t="s">
        <v>117</v>
      </c>
      <c r="H329" s="92" t="s">
        <v>346</v>
      </c>
      <c r="I329" s="92" t="str">
        <f>IFERROR(VLOOKUP(EXPENSETBL45[[#This Row],[OPERATION]],OPERATIONCOST,2,FALSE)," ")</f>
        <v>ACRE</v>
      </c>
      <c r="J329" s="409">
        <f>IFERROR(VLOOKUP(EXPENSETBL45[[#This Row],[OPERATION]],OPERATIONCOST2024,3,FALSE)," ")</f>
        <v>-37.64</v>
      </c>
      <c r="K329" s="92">
        <f>IF(EXPENSETBL45[[#This Row],[UOM]]="acre",EXPENSETBL45[[#This Row],[ACRES]]," ")</f>
        <v>77.400000000000006</v>
      </c>
      <c r="L329" s="410">
        <f t="shared" si="17"/>
        <v>0.65</v>
      </c>
      <c r="M329" s="410">
        <f t="shared" si="18"/>
        <v>0.35</v>
      </c>
      <c r="N329" s="409">
        <f>IFERROR((EXPENSETBL45[[#This Row],[MCC.ENT]]*EXPENSETBL45[[#This Row],[TOTAL]])," ")</f>
        <v>-1893.6684000000002</v>
      </c>
      <c r="O329" s="409">
        <f>IFERROR((EXPENSETBL45[[#This Row],[L.L.]]*EXPENSETBL45[[#This Row],[TOTAL]])," ")</f>
        <v>-1019.6676</v>
      </c>
      <c r="P329" s="409">
        <f>IFERROR((EXPENSETBL45[[#This Row],[QTY]]*EXPENSETBL45[[#This Row],[$/UOM]])," ")</f>
        <v>-2913.3360000000002</v>
      </c>
      <c r="Q329" s="409" t="s">
        <v>295</v>
      </c>
      <c r="R329" s="92">
        <v>2024</v>
      </c>
      <c r="S329" s="507"/>
      <c r="T329" s="507"/>
      <c r="U329" s="507"/>
      <c r="V329" s="507"/>
      <c r="W329" s="507"/>
      <c r="X329" s="507"/>
      <c r="Y329" s="507"/>
      <c r="Z329" s="507"/>
      <c r="AA329" s="507"/>
      <c r="AB329" s="507"/>
    </row>
    <row r="330" spans="2:28" ht="15.75" hidden="1" x14ac:dyDescent="0.25">
      <c r="B330" s="669" t="s">
        <v>20</v>
      </c>
      <c r="C330" s="669" t="s">
        <v>35</v>
      </c>
      <c r="D330" s="669" t="s">
        <v>36</v>
      </c>
      <c r="E330" s="92">
        <f>IFERROR(VLOOKUP(EXPENSETBL45[[#This Row],[FIELD]],FFTBL[[Field]:[Acres]],2,FALSE),"-")</f>
        <v>71.5</v>
      </c>
      <c r="F330" s="92" t="s">
        <v>319</v>
      </c>
      <c r="G330" s="92" t="s">
        <v>117</v>
      </c>
      <c r="H330" s="92" t="s">
        <v>346</v>
      </c>
      <c r="I330" s="92" t="str">
        <f>IFERROR(VLOOKUP(EXPENSETBL45[[#This Row],[OPERATION]],OPERATIONCOST,2,FALSE)," ")</f>
        <v>ACRE</v>
      </c>
      <c r="J330" s="409">
        <f>IFERROR(VLOOKUP(EXPENSETBL45[[#This Row],[OPERATION]],OPERATIONCOST2024,3,FALSE)," ")</f>
        <v>-37.64</v>
      </c>
      <c r="K330" s="92">
        <f>IF(EXPENSETBL45[[#This Row],[UOM]]="acre",EXPENSETBL45[[#This Row],[ACRES]]," ")</f>
        <v>71.5</v>
      </c>
      <c r="L330" s="410">
        <f t="shared" si="17"/>
        <v>0.65</v>
      </c>
      <c r="M330" s="410">
        <f t="shared" si="18"/>
        <v>0.35</v>
      </c>
      <c r="N330" s="409">
        <f>IFERROR((EXPENSETBL45[[#This Row],[MCC.ENT]]*EXPENSETBL45[[#This Row],[TOTAL]])," ")</f>
        <v>-1749.3190000000002</v>
      </c>
      <c r="O330" s="409">
        <f>IFERROR((EXPENSETBL45[[#This Row],[L.L.]]*EXPENSETBL45[[#This Row],[TOTAL]])," ")</f>
        <v>-941.94100000000003</v>
      </c>
      <c r="P330" s="409">
        <f>IFERROR((EXPENSETBL45[[#This Row],[QTY]]*EXPENSETBL45[[#This Row],[$/UOM]])," ")</f>
        <v>-2691.26</v>
      </c>
      <c r="Q330" s="409" t="s">
        <v>295</v>
      </c>
      <c r="R330" s="92">
        <v>2024</v>
      </c>
      <c r="S330" s="507"/>
      <c r="T330" s="507"/>
      <c r="U330" s="507"/>
      <c r="V330" s="507"/>
      <c r="W330" s="507"/>
      <c r="X330" s="507"/>
      <c r="Y330" s="507"/>
      <c r="Z330" s="507"/>
      <c r="AA330" s="507"/>
      <c r="AB330" s="507"/>
    </row>
    <row r="331" spans="2:28" ht="15.75" hidden="1" x14ac:dyDescent="0.25">
      <c r="B331" s="669" t="s">
        <v>20</v>
      </c>
      <c r="C331" s="669" t="s">
        <v>35</v>
      </c>
      <c r="D331" s="669" t="s">
        <v>37</v>
      </c>
      <c r="E331" s="92">
        <f>IFERROR(VLOOKUP(EXPENSETBL45[[#This Row],[FIELD]],FFTBL[[Field]:[Acres]],2,FALSE),"-")</f>
        <v>157.69999999999999</v>
      </c>
      <c r="F331" s="92" t="s">
        <v>319</v>
      </c>
      <c r="G331" s="92" t="s">
        <v>117</v>
      </c>
      <c r="H331" s="92" t="s">
        <v>346</v>
      </c>
      <c r="I331" s="92" t="str">
        <f>IFERROR(VLOOKUP(EXPENSETBL45[[#This Row],[OPERATION]],OPERATIONCOST,2,FALSE)," ")</f>
        <v>ACRE</v>
      </c>
      <c r="J331" s="409">
        <f>IFERROR(VLOOKUP(EXPENSETBL45[[#This Row],[OPERATION]],OPERATIONCOST2024,3,FALSE)," ")</f>
        <v>-37.64</v>
      </c>
      <c r="K331" s="92">
        <f>IF(EXPENSETBL45[[#This Row],[UOM]]="acre",EXPENSETBL45[[#This Row],[ACRES]]," ")</f>
        <v>157.69999999999999</v>
      </c>
      <c r="L331" s="410">
        <f t="shared" si="17"/>
        <v>0.65</v>
      </c>
      <c r="M331" s="410">
        <f t="shared" si="18"/>
        <v>0.35</v>
      </c>
      <c r="N331" s="409">
        <f>IFERROR((EXPENSETBL45[[#This Row],[MCC.ENT]]*EXPENSETBL45[[#This Row],[TOTAL]])," ")</f>
        <v>-3858.2882</v>
      </c>
      <c r="O331" s="409">
        <f>IFERROR((EXPENSETBL45[[#This Row],[L.L.]]*EXPENSETBL45[[#This Row],[TOTAL]])," ")</f>
        <v>-2077.5397999999996</v>
      </c>
      <c r="P331" s="409">
        <f>IFERROR((EXPENSETBL45[[#This Row],[QTY]]*EXPENSETBL45[[#This Row],[$/UOM]])," ")</f>
        <v>-5935.8279999999995</v>
      </c>
      <c r="Q331" s="409" t="s">
        <v>295</v>
      </c>
      <c r="R331" s="92">
        <v>2024</v>
      </c>
      <c r="S331" s="507"/>
      <c r="T331" s="507"/>
      <c r="U331" s="507"/>
      <c r="V331" s="507"/>
      <c r="W331" s="507"/>
      <c r="X331" s="507"/>
      <c r="Y331" s="507"/>
      <c r="Z331" s="507"/>
      <c r="AA331" s="507"/>
      <c r="AB331" s="507"/>
    </row>
    <row r="332" spans="2:28" ht="15.75" hidden="1" x14ac:dyDescent="0.25">
      <c r="B332" s="669" t="s">
        <v>20</v>
      </c>
      <c r="C332" s="669" t="s">
        <v>21</v>
      </c>
      <c r="D332" s="669" t="s">
        <v>22</v>
      </c>
      <c r="E332" s="92">
        <f>IFERROR(VLOOKUP(EXPENSETBL45[[#This Row],[FIELD]],FFTBL[[Field]:[Acres]],2,FALSE),"-")</f>
        <v>79.2</v>
      </c>
      <c r="F332" s="92" t="s">
        <v>319</v>
      </c>
      <c r="G332" s="92" t="s">
        <v>117</v>
      </c>
      <c r="H332" s="92" t="s">
        <v>347</v>
      </c>
      <c r="I332" s="92" t="str">
        <f>IFERROR(VLOOKUP(EXPENSETBL45[[#This Row],[OPERATION]],OPERATIONCOST,2,FALSE)," ")</f>
        <v>ACRE</v>
      </c>
      <c r="J332" s="409">
        <f>IFERROR(VLOOKUP(EXPENSETBL45[[#This Row],[OPERATION]],OPERATIONCOST2024,3,FALSE)," ")</f>
        <v>-18.47</v>
      </c>
      <c r="K332" s="92">
        <f>IF(EXPENSETBL45[[#This Row],[UOM]]="acre",EXPENSETBL45[[#This Row],[ACRES]]," ")</f>
        <v>79.2</v>
      </c>
      <c r="L332" s="410">
        <f t="shared" si="17"/>
        <v>0.65</v>
      </c>
      <c r="M332" s="410">
        <f t="shared" si="18"/>
        <v>0.35</v>
      </c>
      <c r="N332" s="409">
        <f>IFERROR((EXPENSETBL45[[#This Row],[MCC.ENT]]*EXPENSETBL45[[#This Row],[TOTAL]])," ")</f>
        <v>-950.83560000000011</v>
      </c>
      <c r="O332" s="409">
        <f>IFERROR((EXPENSETBL45[[#This Row],[L.L.]]*EXPENSETBL45[[#This Row],[TOTAL]])," ")</f>
        <v>-511.98840000000001</v>
      </c>
      <c r="P332" s="409">
        <f>IFERROR((EXPENSETBL45[[#This Row],[QTY]]*EXPENSETBL45[[#This Row],[$/UOM]])," ")</f>
        <v>-1462.8240000000001</v>
      </c>
      <c r="Q332" s="409" t="s">
        <v>295</v>
      </c>
      <c r="R332" s="92">
        <v>2024</v>
      </c>
      <c r="S332" s="507"/>
      <c r="T332" s="507"/>
      <c r="U332" s="507"/>
      <c r="V332" s="507"/>
      <c r="W332" s="507"/>
      <c r="X332" s="507"/>
      <c r="Y332" s="507"/>
      <c r="Z332" s="507"/>
      <c r="AA332" s="507"/>
      <c r="AB332" s="507"/>
    </row>
    <row r="333" spans="2:28" ht="15.75" hidden="1" x14ac:dyDescent="0.25">
      <c r="B333" s="669" t="s">
        <v>20</v>
      </c>
      <c r="C333" s="669" t="s">
        <v>21</v>
      </c>
      <c r="D333" s="669" t="s">
        <v>23</v>
      </c>
      <c r="E333" s="92">
        <f>IFERROR(VLOOKUP(EXPENSETBL45[[#This Row],[FIELD]],FFTBL[[Field]:[Acres]],2,FALSE),"-")</f>
        <v>78.599999999999994</v>
      </c>
      <c r="F333" s="92" t="s">
        <v>319</v>
      </c>
      <c r="G333" s="92" t="s">
        <v>117</v>
      </c>
      <c r="H333" s="92" t="s">
        <v>347</v>
      </c>
      <c r="I333" s="92" t="str">
        <f>IFERROR(VLOOKUP(EXPENSETBL45[[#This Row],[OPERATION]],OPERATIONCOST,2,FALSE)," ")</f>
        <v>ACRE</v>
      </c>
      <c r="J333" s="409">
        <f>IFERROR(VLOOKUP(EXPENSETBL45[[#This Row],[OPERATION]],OPERATIONCOST2024,3,FALSE)," ")</f>
        <v>-18.47</v>
      </c>
      <c r="K333" s="92">
        <f>IF(EXPENSETBL45[[#This Row],[UOM]]="acre",EXPENSETBL45[[#This Row],[ACRES]]," ")</f>
        <v>78.599999999999994</v>
      </c>
      <c r="L333" s="410">
        <f t="shared" si="17"/>
        <v>0.65</v>
      </c>
      <c r="M333" s="410">
        <f t="shared" si="18"/>
        <v>0.35</v>
      </c>
      <c r="N333" s="409">
        <f>IFERROR((EXPENSETBL45[[#This Row],[MCC.ENT]]*EXPENSETBL45[[#This Row],[TOTAL]])," ")</f>
        <v>-943.63229999999987</v>
      </c>
      <c r="O333" s="409">
        <f>IFERROR((EXPENSETBL45[[#This Row],[L.L.]]*EXPENSETBL45[[#This Row],[TOTAL]])," ")</f>
        <v>-508.10969999999986</v>
      </c>
      <c r="P333" s="409">
        <f>IFERROR((EXPENSETBL45[[#This Row],[QTY]]*EXPENSETBL45[[#This Row],[$/UOM]])," ")</f>
        <v>-1451.7419999999997</v>
      </c>
      <c r="Q333" s="409" t="s">
        <v>295</v>
      </c>
      <c r="R333" s="92">
        <v>2024</v>
      </c>
      <c r="S333" s="507"/>
      <c r="T333" s="507"/>
      <c r="U333" s="507"/>
      <c r="V333" s="507"/>
      <c r="W333" s="507"/>
      <c r="X333" s="507"/>
      <c r="Y333" s="507"/>
      <c r="Z333" s="507"/>
      <c r="AA333" s="507"/>
      <c r="AB333" s="507"/>
    </row>
    <row r="334" spans="2:28" ht="15.75" hidden="1" x14ac:dyDescent="0.25">
      <c r="B334" s="669" t="s">
        <v>20</v>
      </c>
      <c r="C334" s="669" t="s">
        <v>21</v>
      </c>
      <c r="D334" s="669" t="s">
        <v>24</v>
      </c>
      <c r="E334" s="92">
        <f>IFERROR(VLOOKUP(EXPENSETBL45[[#This Row],[FIELD]],FFTBL[[Field]:[Acres]],2,FALSE),"-")</f>
        <v>153</v>
      </c>
      <c r="F334" s="92" t="s">
        <v>319</v>
      </c>
      <c r="G334" s="92" t="s">
        <v>117</v>
      </c>
      <c r="H334" s="92" t="s">
        <v>347</v>
      </c>
      <c r="I334" s="92" t="str">
        <f>IFERROR(VLOOKUP(EXPENSETBL45[[#This Row],[OPERATION]],OPERATIONCOST,2,FALSE)," ")</f>
        <v>ACRE</v>
      </c>
      <c r="J334" s="409">
        <f>IFERROR(VLOOKUP(EXPENSETBL45[[#This Row],[OPERATION]],OPERATIONCOST2024,3,FALSE)," ")</f>
        <v>-18.47</v>
      </c>
      <c r="K334" s="92">
        <f>IF(EXPENSETBL45[[#This Row],[UOM]]="acre",EXPENSETBL45[[#This Row],[ACRES]]," ")</f>
        <v>153</v>
      </c>
      <c r="L334" s="410">
        <f t="shared" si="17"/>
        <v>0.65</v>
      </c>
      <c r="M334" s="410">
        <f t="shared" si="18"/>
        <v>0.35</v>
      </c>
      <c r="N334" s="409">
        <f>IFERROR((EXPENSETBL45[[#This Row],[MCC.ENT]]*EXPENSETBL45[[#This Row],[TOTAL]])," ")</f>
        <v>-1836.8415</v>
      </c>
      <c r="O334" s="409">
        <f>IFERROR((EXPENSETBL45[[#This Row],[L.L.]]*EXPENSETBL45[[#This Row],[TOTAL]])," ")</f>
        <v>-989.06849999999986</v>
      </c>
      <c r="P334" s="409">
        <f>IFERROR((EXPENSETBL45[[#This Row],[QTY]]*EXPENSETBL45[[#This Row],[$/UOM]])," ")</f>
        <v>-2825.91</v>
      </c>
      <c r="Q334" s="409" t="s">
        <v>295</v>
      </c>
      <c r="R334" s="92">
        <v>2024</v>
      </c>
      <c r="S334" s="507"/>
      <c r="T334" s="507"/>
      <c r="U334" s="507"/>
      <c r="V334" s="507"/>
      <c r="W334" s="507"/>
      <c r="X334" s="507"/>
      <c r="Y334" s="507"/>
      <c r="Z334" s="507"/>
      <c r="AA334" s="507"/>
      <c r="AB334" s="507"/>
    </row>
    <row r="335" spans="2:28" ht="15.75" hidden="1" x14ac:dyDescent="0.25">
      <c r="B335" s="669" t="s">
        <v>20</v>
      </c>
      <c r="C335" s="669" t="s">
        <v>21</v>
      </c>
      <c r="D335" s="669" t="s">
        <v>25</v>
      </c>
      <c r="E335" s="92">
        <f>IFERROR(VLOOKUP(EXPENSETBL45[[#This Row],[FIELD]],FFTBL[[Field]:[Acres]],2,FALSE),"-")</f>
        <v>159.69999999999999</v>
      </c>
      <c r="F335" s="92" t="s">
        <v>319</v>
      </c>
      <c r="G335" s="92" t="s">
        <v>117</v>
      </c>
      <c r="H335" s="92" t="s">
        <v>347</v>
      </c>
      <c r="I335" s="92" t="str">
        <f>IFERROR(VLOOKUP(EXPENSETBL45[[#This Row],[OPERATION]],OPERATIONCOST,2,FALSE)," ")</f>
        <v>ACRE</v>
      </c>
      <c r="J335" s="409">
        <f>IFERROR(VLOOKUP(EXPENSETBL45[[#This Row],[OPERATION]],OPERATIONCOST2024,3,FALSE)," ")</f>
        <v>-18.47</v>
      </c>
      <c r="K335" s="92">
        <f>IF(EXPENSETBL45[[#This Row],[UOM]]="acre",EXPENSETBL45[[#This Row],[ACRES]]," ")</f>
        <v>159.69999999999999</v>
      </c>
      <c r="L335" s="410">
        <f>IF(G334="SPLIT",0.65,1)</f>
        <v>0.65</v>
      </c>
      <c r="M335" s="410">
        <f>IF(G334="SPLIT",0.35,0)</f>
        <v>0.35</v>
      </c>
      <c r="N335" s="409">
        <f>IFERROR((EXPENSETBL45[[#This Row],[MCC.ENT]]*EXPENSETBL45[[#This Row],[TOTAL]])," ")</f>
        <v>-1917.2783499999998</v>
      </c>
      <c r="O335" s="409">
        <f>IFERROR((EXPENSETBL45[[#This Row],[L.L.]]*EXPENSETBL45[[#This Row],[TOTAL]])," ")</f>
        <v>-1032.3806499999998</v>
      </c>
      <c r="P335" s="409">
        <f>IFERROR((EXPENSETBL45[[#This Row],[QTY]]*EXPENSETBL45[[#This Row],[$/UOM]])," ")</f>
        <v>-2949.6589999999997</v>
      </c>
      <c r="Q335" s="409" t="s">
        <v>295</v>
      </c>
      <c r="R335" s="92">
        <v>2024</v>
      </c>
      <c r="S335" s="507"/>
      <c r="T335" s="507"/>
      <c r="U335" s="507"/>
      <c r="V335" s="507"/>
      <c r="W335" s="507"/>
      <c r="X335" s="507"/>
      <c r="Y335" s="507"/>
      <c r="Z335" s="507"/>
      <c r="AA335" s="507"/>
      <c r="AB335" s="507"/>
    </row>
    <row r="336" spans="2:28" ht="15.75" hidden="1" x14ac:dyDescent="0.25">
      <c r="B336" s="669" t="s">
        <v>20</v>
      </c>
      <c r="C336" s="669" t="s">
        <v>26</v>
      </c>
      <c r="D336" s="669" t="s">
        <v>27</v>
      </c>
      <c r="E336" s="92">
        <f>IFERROR(VLOOKUP(EXPENSETBL45[[#This Row],[FIELD]],FFTBL[[Field]:[Acres]],2,FALSE),"-")</f>
        <v>205.6</v>
      </c>
      <c r="F336" s="92" t="s">
        <v>319</v>
      </c>
      <c r="G336" s="92" t="s">
        <v>117</v>
      </c>
      <c r="H336" s="92" t="s">
        <v>347</v>
      </c>
      <c r="I336" s="92" t="str">
        <f>IFERROR(VLOOKUP(EXPENSETBL45[[#This Row],[OPERATION]],OPERATIONCOST,2,FALSE)," ")</f>
        <v>ACRE</v>
      </c>
      <c r="J336" s="409">
        <f>IFERROR(VLOOKUP(EXPENSETBL45[[#This Row],[OPERATION]],OPERATIONCOST2024,3,FALSE)," ")</f>
        <v>-18.47</v>
      </c>
      <c r="K336" s="92">
        <f>IF(EXPENSETBL45[[#This Row],[UOM]]="acre",EXPENSETBL45[[#This Row],[ACRES]]," ")</f>
        <v>205.6</v>
      </c>
      <c r="L336" s="410">
        <f t="shared" ref="L336:L358" si="19">IF(G336="SPLIT",0.65,1)</f>
        <v>0.65</v>
      </c>
      <c r="M336" s="410">
        <f t="shared" ref="M336:M358" si="20">IF(G336="SPLIT",0.35,0)</f>
        <v>0.35</v>
      </c>
      <c r="N336" s="409">
        <f>IFERROR((EXPENSETBL45[[#This Row],[MCC.ENT]]*EXPENSETBL45[[#This Row],[TOTAL]])," ")</f>
        <v>-2468.3307999999997</v>
      </c>
      <c r="O336" s="409">
        <f>IFERROR((EXPENSETBL45[[#This Row],[L.L.]]*EXPENSETBL45[[#This Row],[TOTAL]])," ")</f>
        <v>-1329.1011999999998</v>
      </c>
      <c r="P336" s="409">
        <f>IFERROR((EXPENSETBL45[[#This Row],[QTY]]*EXPENSETBL45[[#This Row],[$/UOM]])," ")</f>
        <v>-3797.4319999999998</v>
      </c>
      <c r="Q336" s="409" t="s">
        <v>295</v>
      </c>
      <c r="R336" s="92">
        <v>2024</v>
      </c>
      <c r="S336" s="507"/>
      <c r="T336" s="507"/>
      <c r="U336" s="507"/>
      <c r="V336" s="507"/>
      <c r="W336" s="507"/>
      <c r="X336" s="507"/>
      <c r="Y336" s="507"/>
      <c r="Z336" s="507"/>
      <c r="AA336" s="507"/>
      <c r="AB336" s="507"/>
    </row>
    <row r="337" spans="2:28" ht="15.75" hidden="1" x14ac:dyDescent="0.25">
      <c r="B337" s="669" t="s">
        <v>20</v>
      </c>
      <c r="C337" s="669" t="s">
        <v>28</v>
      </c>
      <c r="D337" s="669" t="s">
        <v>29</v>
      </c>
      <c r="E337" s="92">
        <f>IFERROR(VLOOKUP(EXPENSETBL45[[#This Row],[FIELD]],FFTBL[[Field]:[Acres]],2,FALSE),"-")</f>
        <v>79.2</v>
      </c>
      <c r="F337" s="92" t="s">
        <v>319</v>
      </c>
      <c r="G337" s="92" t="s">
        <v>117</v>
      </c>
      <c r="H337" s="92" t="s">
        <v>347</v>
      </c>
      <c r="I337" s="92" t="str">
        <f>IFERROR(VLOOKUP(EXPENSETBL45[[#This Row],[OPERATION]],OPERATIONCOST,2,FALSE)," ")</f>
        <v>ACRE</v>
      </c>
      <c r="J337" s="409">
        <f>IFERROR(VLOOKUP(EXPENSETBL45[[#This Row],[OPERATION]],OPERATIONCOST2024,3,FALSE)," ")</f>
        <v>-18.47</v>
      </c>
      <c r="K337" s="92">
        <f>IF(EXPENSETBL45[[#This Row],[UOM]]="acre",EXPENSETBL45[[#This Row],[ACRES]]," ")</f>
        <v>79.2</v>
      </c>
      <c r="L337" s="410">
        <f t="shared" si="19"/>
        <v>0.65</v>
      </c>
      <c r="M337" s="410">
        <f t="shared" si="20"/>
        <v>0.35</v>
      </c>
      <c r="N337" s="409">
        <f>IFERROR((EXPENSETBL45[[#This Row],[MCC.ENT]]*EXPENSETBL45[[#This Row],[TOTAL]])," ")</f>
        <v>-950.83560000000011</v>
      </c>
      <c r="O337" s="409">
        <f>IFERROR((EXPENSETBL45[[#This Row],[L.L.]]*EXPENSETBL45[[#This Row],[TOTAL]])," ")</f>
        <v>-511.98840000000001</v>
      </c>
      <c r="P337" s="409">
        <f>IFERROR((EXPENSETBL45[[#This Row],[QTY]]*EXPENSETBL45[[#This Row],[$/UOM]])," ")</f>
        <v>-1462.8240000000001</v>
      </c>
      <c r="Q337" s="409" t="s">
        <v>295</v>
      </c>
      <c r="R337" s="92">
        <v>2024</v>
      </c>
      <c r="S337" s="507"/>
      <c r="T337" s="507"/>
      <c r="U337" s="507"/>
      <c r="V337" s="507"/>
      <c r="W337" s="507"/>
      <c r="X337" s="507"/>
      <c r="Y337" s="507"/>
      <c r="Z337" s="507"/>
      <c r="AA337" s="507"/>
      <c r="AB337" s="507"/>
    </row>
    <row r="338" spans="2:28" ht="15.75" hidden="1" x14ac:dyDescent="0.25">
      <c r="B338" s="669" t="s">
        <v>20</v>
      </c>
      <c r="C338" s="669" t="s">
        <v>28</v>
      </c>
      <c r="D338" s="669" t="s">
        <v>30</v>
      </c>
      <c r="E338" s="92">
        <f>IFERROR(VLOOKUP(EXPENSETBL45[[#This Row],[FIELD]],FFTBL[[Field]:[Acres]],2,FALSE),"-")</f>
        <v>101.9</v>
      </c>
      <c r="F338" s="92" t="s">
        <v>319</v>
      </c>
      <c r="G338" s="92" t="s">
        <v>117</v>
      </c>
      <c r="H338" s="92" t="s">
        <v>347</v>
      </c>
      <c r="I338" s="92" t="str">
        <f>IFERROR(VLOOKUP(EXPENSETBL45[[#This Row],[OPERATION]],OPERATIONCOST,2,FALSE)," ")</f>
        <v>ACRE</v>
      </c>
      <c r="J338" s="409">
        <f>IFERROR(VLOOKUP(EXPENSETBL45[[#This Row],[OPERATION]],OPERATIONCOST2024,3,FALSE)," ")</f>
        <v>-18.47</v>
      </c>
      <c r="K338" s="92">
        <f>IF(EXPENSETBL45[[#This Row],[UOM]]="acre",EXPENSETBL45[[#This Row],[ACRES]]," ")</f>
        <v>101.9</v>
      </c>
      <c r="L338" s="410">
        <f t="shared" si="19"/>
        <v>0.65</v>
      </c>
      <c r="M338" s="410">
        <f t="shared" si="20"/>
        <v>0.35</v>
      </c>
      <c r="N338" s="409">
        <f>IFERROR((EXPENSETBL45[[#This Row],[MCC.ENT]]*EXPENSETBL45[[#This Row],[TOTAL]])," ")</f>
        <v>-1223.3604500000001</v>
      </c>
      <c r="O338" s="409">
        <f>IFERROR((EXPENSETBL45[[#This Row],[L.L.]]*EXPENSETBL45[[#This Row],[TOTAL]])," ")</f>
        <v>-658.73254999999995</v>
      </c>
      <c r="P338" s="409">
        <f>IFERROR((EXPENSETBL45[[#This Row],[QTY]]*EXPENSETBL45[[#This Row],[$/UOM]])," ")</f>
        <v>-1882.0930000000001</v>
      </c>
      <c r="Q338" s="409" t="s">
        <v>295</v>
      </c>
      <c r="R338" s="92">
        <v>2024</v>
      </c>
      <c r="S338" s="507"/>
      <c r="T338" s="507"/>
      <c r="U338" s="507"/>
      <c r="V338" s="507"/>
      <c r="W338" s="507"/>
      <c r="X338" s="507"/>
      <c r="Y338" s="507"/>
      <c r="Z338" s="507"/>
      <c r="AA338" s="507"/>
      <c r="AB338" s="507"/>
    </row>
    <row r="339" spans="2:28" ht="15.75" hidden="1" x14ac:dyDescent="0.25">
      <c r="B339" s="669" t="s">
        <v>20</v>
      </c>
      <c r="C339" s="669" t="s">
        <v>28</v>
      </c>
      <c r="D339" s="669" t="s">
        <v>31</v>
      </c>
      <c r="E339" s="92">
        <f>IFERROR(VLOOKUP(EXPENSETBL45[[#This Row],[FIELD]],FFTBL[[Field]:[Acres]],2,FALSE),"-")</f>
        <v>157.5</v>
      </c>
      <c r="F339" s="92" t="s">
        <v>319</v>
      </c>
      <c r="G339" s="92" t="s">
        <v>117</v>
      </c>
      <c r="H339" s="92" t="s">
        <v>347</v>
      </c>
      <c r="I339" s="92" t="str">
        <f>IFERROR(VLOOKUP(EXPENSETBL45[[#This Row],[OPERATION]],OPERATIONCOST,2,FALSE)," ")</f>
        <v>ACRE</v>
      </c>
      <c r="J339" s="409">
        <f>IFERROR(VLOOKUP(EXPENSETBL45[[#This Row],[OPERATION]],OPERATIONCOST2024,3,FALSE)," ")</f>
        <v>-18.47</v>
      </c>
      <c r="K339" s="92">
        <f>IF(EXPENSETBL45[[#This Row],[UOM]]="acre",EXPENSETBL45[[#This Row],[ACRES]]," ")</f>
        <v>157.5</v>
      </c>
      <c r="L339" s="410">
        <f t="shared" si="19"/>
        <v>0.65</v>
      </c>
      <c r="M339" s="410">
        <f t="shared" si="20"/>
        <v>0.35</v>
      </c>
      <c r="N339" s="409">
        <f>IFERROR((EXPENSETBL45[[#This Row],[MCC.ENT]]*EXPENSETBL45[[#This Row],[TOTAL]])," ")</f>
        <v>-1890.8662499999998</v>
      </c>
      <c r="O339" s="409">
        <f>IFERROR((EXPENSETBL45[[#This Row],[L.L.]]*EXPENSETBL45[[#This Row],[TOTAL]])," ")</f>
        <v>-1018.1587499999998</v>
      </c>
      <c r="P339" s="409">
        <f>IFERROR((EXPENSETBL45[[#This Row],[QTY]]*EXPENSETBL45[[#This Row],[$/UOM]])," ")</f>
        <v>-2909.0249999999996</v>
      </c>
      <c r="Q339" s="409" t="s">
        <v>295</v>
      </c>
      <c r="R339" s="92">
        <v>2024</v>
      </c>
      <c r="S339" s="507"/>
      <c r="T339" s="507"/>
      <c r="U339" s="507"/>
      <c r="V339" s="507"/>
      <c r="W339" s="507"/>
      <c r="X339" s="507"/>
      <c r="Y339" s="507"/>
      <c r="Z339" s="507"/>
      <c r="AA339" s="507"/>
      <c r="AB339" s="507"/>
    </row>
    <row r="340" spans="2:28" ht="15.75" hidden="1" x14ac:dyDescent="0.25">
      <c r="B340" s="669" t="s">
        <v>20</v>
      </c>
      <c r="C340" s="669" t="s">
        <v>32</v>
      </c>
      <c r="D340" s="669" t="s">
        <v>33</v>
      </c>
      <c r="E340" s="92">
        <f>IFERROR(VLOOKUP(EXPENSETBL45[[#This Row],[FIELD]],FFTBL[[Field]:[Acres]],2,FALSE),"-")</f>
        <v>79.099999999999994</v>
      </c>
      <c r="F340" s="92" t="s">
        <v>319</v>
      </c>
      <c r="G340" s="92" t="s">
        <v>117</v>
      </c>
      <c r="H340" s="92" t="s">
        <v>347</v>
      </c>
      <c r="I340" s="92" t="str">
        <f>IFERROR(VLOOKUP(EXPENSETBL45[[#This Row],[OPERATION]],OPERATIONCOST,2,FALSE)," ")</f>
        <v>ACRE</v>
      </c>
      <c r="J340" s="409">
        <f>IFERROR(VLOOKUP(EXPENSETBL45[[#This Row],[OPERATION]],OPERATIONCOST2024,3,FALSE)," ")</f>
        <v>-18.47</v>
      </c>
      <c r="K340" s="92">
        <f>IF(EXPENSETBL45[[#This Row],[UOM]]="acre",EXPENSETBL45[[#This Row],[ACRES]]," ")</f>
        <v>79.099999999999994</v>
      </c>
      <c r="L340" s="410">
        <f t="shared" si="19"/>
        <v>0.65</v>
      </c>
      <c r="M340" s="410">
        <f t="shared" si="20"/>
        <v>0.35</v>
      </c>
      <c r="N340" s="409">
        <f>IFERROR((EXPENSETBL45[[#This Row],[MCC.ENT]]*EXPENSETBL45[[#This Row],[TOTAL]])," ")</f>
        <v>-949.63504999999998</v>
      </c>
      <c r="O340" s="409">
        <f>IFERROR((EXPENSETBL45[[#This Row],[L.L.]]*EXPENSETBL45[[#This Row],[TOTAL]])," ")</f>
        <v>-511.34194999999994</v>
      </c>
      <c r="P340" s="409">
        <f>IFERROR((EXPENSETBL45[[#This Row],[QTY]]*EXPENSETBL45[[#This Row],[$/UOM]])," ")</f>
        <v>-1460.9769999999999</v>
      </c>
      <c r="Q340" s="409" t="s">
        <v>295</v>
      </c>
      <c r="R340" s="92">
        <v>2024</v>
      </c>
      <c r="S340" s="507"/>
      <c r="T340" s="507"/>
      <c r="U340" s="507"/>
      <c r="V340" s="507"/>
      <c r="W340" s="507"/>
      <c r="X340" s="507"/>
      <c r="Y340" s="507"/>
      <c r="Z340" s="507"/>
      <c r="AA340" s="507"/>
      <c r="AB340" s="507"/>
    </row>
    <row r="341" spans="2:28" ht="15.75" hidden="1" x14ac:dyDescent="0.25">
      <c r="B341" s="669" t="s">
        <v>20</v>
      </c>
      <c r="C341" s="669" t="s">
        <v>32</v>
      </c>
      <c r="D341" s="669" t="s">
        <v>34</v>
      </c>
      <c r="E341" s="92">
        <f>IFERROR(VLOOKUP(EXPENSETBL45[[#This Row],[FIELD]],FFTBL[[Field]:[Acres]],2,FALSE),"-")</f>
        <v>77.400000000000006</v>
      </c>
      <c r="F341" s="92" t="s">
        <v>319</v>
      </c>
      <c r="G341" s="92" t="s">
        <v>117</v>
      </c>
      <c r="H341" s="92" t="s">
        <v>347</v>
      </c>
      <c r="I341" s="92" t="str">
        <f>IFERROR(VLOOKUP(EXPENSETBL45[[#This Row],[OPERATION]],OPERATIONCOST,2,FALSE)," ")</f>
        <v>ACRE</v>
      </c>
      <c r="J341" s="409">
        <f>IFERROR(VLOOKUP(EXPENSETBL45[[#This Row],[OPERATION]],OPERATIONCOST2024,3,FALSE)," ")</f>
        <v>-18.47</v>
      </c>
      <c r="K341" s="92">
        <f>IF(EXPENSETBL45[[#This Row],[UOM]]="acre",EXPENSETBL45[[#This Row],[ACRES]]," ")</f>
        <v>77.400000000000006</v>
      </c>
      <c r="L341" s="410">
        <f t="shared" si="19"/>
        <v>0.65</v>
      </c>
      <c r="M341" s="410">
        <f t="shared" si="20"/>
        <v>0.35</v>
      </c>
      <c r="N341" s="409">
        <f>IFERROR((EXPENSETBL45[[#This Row],[MCC.ENT]]*EXPENSETBL45[[#This Row],[TOTAL]])," ")</f>
        <v>-929.22569999999996</v>
      </c>
      <c r="O341" s="409">
        <f>IFERROR((EXPENSETBL45[[#This Row],[L.L.]]*EXPENSETBL45[[#This Row],[TOTAL]])," ")</f>
        <v>-500.35229999999996</v>
      </c>
      <c r="P341" s="409">
        <f>IFERROR((EXPENSETBL45[[#This Row],[QTY]]*EXPENSETBL45[[#This Row],[$/UOM]])," ")</f>
        <v>-1429.578</v>
      </c>
      <c r="Q341" s="409" t="s">
        <v>295</v>
      </c>
      <c r="R341" s="92">
        <v>2024</v>
      </c>
      <c r="S341" s="507"/>
      <c r="T341" s="507"/>
      <c r="U341" s="507"/>
      <c r="V341" s="507"/>
      <c r="W341" s="507"/>
      <c r="X341" s="507"/>
      <c r="Y341" s="507"/>
      <c r="Z341" s="507"/>
      <c r="AA341" s="507"/>
      <c r="AB341" s="507"/>
    </row>
    <row r="342" spans="2:28" ht="15.75" hidden="1" x14ac:dyDescent="0.25">
      <c r="B342" s="669" t="s">
        <v>20</v>
      </c>
      <c r="C342" s="669" t="s">
        <v>35</v>
      </c>
      <c r="D342" s="669" t="s">
        <v>36</v>
      </c>
      <c r="E342" s="92">
        <f>IFERROR(VLOOKUP(EXPENSETBL45[[#This Row],[FIELD]],FFTBL[[Field]:[Acres]],2,FALSE),"-")</f>
        <v>71.5</v>
      </c>
      <c r="F342" s="92" t="s">
        <v>319</v>
      </c>
      <c r="G342" s="92" t="s">
        <v>117</v>
      </c>
      <c r="H342" s="92" t="s">
        <v>347</v>
      </c>
      <c r="I342" s="92" t="str">
        <f>IFERROR(VLOOKUP(EXPENSETBL45[[#This Row],[OPERATION]],OPERATIONCOST,2,FALSE)," ")</f>
        <v>ACRE</v>
      </c>
      <c r="J342" s="409">
        <f>IFERROR(VLOOKUP(EXPENSETBL45[[#This Row],[OPERATION]],OPERATIONCOST2024,3,FALSE)," ")</f>
        <v>-18.47</v>
      </c>
      <c r="K342" s="92">
        <f>IF(EXPENSETBL45[[#This Row],[UOM]]="acre",EXPENSETBL45[[#This Row],[ACRES]]," ")</f>
        <v>71.5</v>
      </c>
      <c r="L342" s="410">
        <f t="shared" si="19"/>
        <v>0.65</v>
      </c>
      <c r="M342" s="410">
        <f t="shared" si="20"/>
        <v>0.35</v>
      </c>
      <c r="N342" s="409">
        <f>IFERROR((EXPENSETBL45[[#This Row],[MCC.ENT]]*EXPENSETBL45[[#This Row],[TOTAL]])," ")</f>
        <v>-858.39325000000008</v>
      </c>
      <c r="O342" s="409">
        <f>IFERROR((EXPENSETBL45[[#This Row],[L.L.]]*EXPENSETBL45[[#This Row],[TOTAL]])," ")</f>
        <v>-462.21174999999999</v>
      </c>
      <c r="P342" s="409">
        <f>IFERROR((EXPENSETBL45[[#This Row],[QTY]]*EXPENSETBL45[[#This Row],[$/UOM]])," ")</f>
        <v>-1320.605</v>
      </c>
      <c r="Q342" s="409" t="s">
        <v>295</v>
      </c>
      <c r="R342" s="92">
        <v>2024</v>
      </c>
      <c r="S342" s="507"/>
      <c r="T342" s="507"/>
      <c r="U342" s="507"/>
      <c r="V342" s="507"/>
      <c r="W342" s="507"/>
      <c r="X342" s="507"/>
      <c r="Y342" s="507"/>
      <c r="Z342" s="507"/>
      <c r="AA342" s="507"/>
      <c r="AB342" s="507"/>
    </row>
    <row r="343" spans="2:28" ht="15.75" hidden="1" x14ac:dyDescent="0.25">
      <c r="B343" s="669" t="s">
        <v>20</v>
      </c>
      <c r="C343" s="669" t="s">
        <v>35</v>
      </c>
      <c r="D343" s="669" t="s">
        <v>37</v>
      </c>
      <c r="E343" s="92">
        <f>IFERROR(VLOOKUP(EXPENSETBL45[[#This Row],[FIELD]],FFTBL[[Field]:[Acres]],2,FALSE),"-")</f>
        <v>157.69999999999999</v>
      </c>
      <c r="F343" s="92" t="s">
        <v>319</v>
      </c>
      <c r="G343" s="92" t="s">
        <v>117</v>
      </c>
      <c r="H343" s="92" t="s">
        <v>347</v>
      </c>
      <c r="I343" s="92" t="str">
        <f>IFERROR(VLOOKUP(EXPENSETBL45[[#This Row],[OPERATION]],OPERATIONCOST,2,FALSE)," ")</f>
        <v>ACRE</v>
      </c>
      <c r="J343" s="409">
        <f>IFERROR(VLOOKUP(EXPENSETBL45[[#This Row],[OPERATION]],OPERATIONCOST2024,3,FALSE)," ")</f>
        <v>-18.47</v>
      </c>
      <c r="K343" s="92">
        <f>IF(EXPENSETBL45[[#This Row],[UOM]]="acre",EXPENSETBL45[[#This Row],[ACRES]]," ")</f>
        <v>157.69999999999999</v>
      </c>
      <c r="L343" s="410">
        <f t="shared" si="19"/>
        <v>0.65</v>
      </c>
      <c r="M343" s="410">
        <f t="shared" si="20"/>
        <v>0.35</v>
      </c>
      <c r="N343" s="409">
        <f>IFERROR((EXPENSETBL45[[#This Row],[MCC.ENT]]*EXPENSETBL45[[#This Row],[TOTAL]])," ")</f>
        <v>-1893.2673499999999</v>
      </c>
      <c r="O343" s="409">
        <f>IFERROR((EXPENSETBL45[[#This Row],[L.L.]]*EXPENSETBL45[[#This Row],[TOTAL]])," ")</f>
        <v>-1019.4516499999997</v>
      </c>
      <c r="P343" s="409">
        <f>IFERROR((EXPENSETBL45[[#This Row],[QTY]]*EXPENSETBL45[[#This Row],[$/UOM]])," ")</f>
        <v>-2912.7189999999996</v>
      </c>
      <c r="Q343" s="409" t="s">
        <v>295</v>
      </c>
      <c r="R343" s="92">
        <v>2024</v>
      </c>
      <c r="S343" s="507"/>
      <c r="T343" s="507"/>
      <c r="U343" s="507"/>
      <c r="V343" s="507"/>
      <c r="W343" s="507"/>
      <c r="X343" s="507"/>
      <c r="Y343" s="507"/>
      <c r="Z343" s="507"/>
      <c r="AA343" s="507"/>
      <c r="AB343" s="507"/>
    </row>
    <row r="344" spans="2:28" ht="15.75" hidden="1" x14ac:dyDescent="0.25">
      <c r="B344" s="669" t="s">
        <v>20</v>
      </c>
      <c r="C344" s="669" t="s">
        <v>21</v>
      </c>
      <c r="D344" s="669" t="s">
        <v>22</v>
      </c>
      <c r="E344" s="92">
        <f>IFERROR(VLOOKUP(EXPENSETBL45[[#This Row],[FIELD]],FFTBL[[Field]:[Acres]],2,FALSE),"-")</f>
        <v>79.2</v>
      </c>
      <c r="F344" s="92" t="s">
        <v>323</v>
      </c>
      <c r="G344" s="92" t="s">
        <v>297</v>
      </c>
      <c r="H344" s="92" t="s">
        <v>411</v>
      </c>
      <c r="I344" s="92" t="str">
        <f>IFERROR(VLOOKUP(EXPENSETBL45[[#This Row],[OPERATION]],OPERATIONCOST,2,FALSE)," ")</f>
        <v>/QTY</v>
      </c>
      <c r="J344" s="409">
        <f>IFERROR(VLOOKUP(EXPENSETBL45[[#This Row],[OPERATION]],OPERATIONCOST2024,3,FALSE)," ")</f>
        <v>-0.26</v>
      </c>
      <c r="K344" s="160">
        <v>1260.9966666666667</v>
      </c>
      <c r="L344" s="410">
        <f t="shared" si="19"/>
        <v>1</v>
      </c>
      <c r="M344" s="410">
        <f t="shared" si="20"/>
        <v>0</v>
      </c>
      <c r="N344" s="409">
        <f>IFERROR((EXPENSETBL45[[#This Row],[MCC.ENT]]*EXPENSETBL45[[#This Row],[TOTAL]])," ")</f>
        <v>-327.85913333333332</v>
      </c>
      <c r="O344" s="409">
        <f>IFERROR((EXPENSETBL45[[#This Row],[L.L.]]*EXPENSETBL45[[#This Row],[TOTAL]])," ")</f>
        <v>0</v>
      </c>
      <c r="P344" s="409">
        <f>IFERROR((EXPENSETBL45[[#This Row],[QTY]]*EXPENSETBL45[[#This Row],[$/UOM]])," ")</f>
        <v>-327.85913333333332</v>
      </c>
      <c r="Q344" s="409" t="s">
        <v>295</v>
      </c>
      <c r="R344" s="92">
        <v>2024</v>
      </c>
      <c r="S344" s="507"/>
      <c r="T344" s="507"/>
      <c r="U344" s="507"/>
      <c r="V344" s="507"/>
      <c r="W344" s="507"/>
      <c r="X344" s="507"/>
      <c r="Y344" s="507"/>
      <c r="Z344" s="507"/>
      <c r="AA344" s="507"/>
      <c r="AB344" s="507"/>
    </row>
    <row r="345" spans="2:28" ht="15.75" hidden="1" x14ac:dyDescent="0.25">
      <c r="B345" s="669" t="s">
        <v>20</v>
      </c>
      <c r="C345" s="669" t="s">
        <v>21</v>
      </c>
      <c r="D345" s="669" t="s">
        <v>23</v>
      </c>
      <c r="E345" s="92">
        <f>IFERROR(VLOOKUP(EXPENSETBL45[[#This Row],[FIELD]],FFTBL[[Field]:[Acres]],2,FALSE),"-")</f>
        <v>78.599999999999994</v>
      </c>
      <c r="F345" s="92" t="s">
        <v>323</v>
      </c>
      <c r="G345" s="92" t="s">
        <v>297</v>
      </c>
      <c r="H345" s="92" t="s">
        <v>411</v>
      </c>
      <c r="I345" s="92" t="str">
        <f>IFERROR(VLOOKUP(EXPENSETBL45[[#This Row],[OPERATION]],OPERATIONCOST,2,FALSE)," ")</f>
        <v>/QTY</v>
      </c>
      <c r="J345" s="409">
        <f>IFERROR(VLOOKUP(EXPENSETBL45[[#This Row],[OPERATION]],OPERATIONCOST2024,3,FALSE)," ")</f>
        <v>-0.26</v>
      </c>
      <c r="K345" s="160">
        <v>1547.58</v>
      </c>
      <c r="L345" s="410">
        <f t="shared" si="19"/>
        <v>1</v>
      </c>
      <c r="M345" s="410">
        <f t="shared" si="20"/>
        <v>0</v>
      </c>
      <c r="N345" s="409">
        <f>IFERROR((EXPENSETBL45[[#This Row],[MCC.ENT]]*EXPENSETBL45[[#This Row],[TOTAL]])," ")</f>
        <v>-402.37079999999997</v>
      </c>
      <c r="O345" s="409">
        <f>IFERROR((EXPENSETBL45[[#This Row],[L.L.]]*EXPENSETBL45[[#This Row],[TOTAL]])," ")</f>
        <v>0</v>
      </c>
      <c r="P345" s="409">
        <f>IFERROR((EXPENSETBL45[[#This Row],[QTY]]*EXPENSETBL45[[#This Row],[$/UOM]])," ")</f>
        <v>-402.37079999999997</v>
      </c>
      <c r="Q345" s="409" t="s">
        <v>295</v>
      </c>
      <c r="R345" s="92">
        <v>2024</v>
      </c>
      <c r="S345" s="507"/>
      <c r="T345" s="507"/>
      <c r="U345" s="507"/>
      <c r="V345" s="507"/>
      <c r="W345" s="507"/>
      <c r="X345" s="507"/>
      <c r="Y345" s="507"/>
      <c r="Z345" s="507"/>
      <c r="AA345" s="507"/>
      <c r="AB345" s="507"/>
    </row>
    <row r="346" spans="2:28" ht="15.75" hidden="1" x14ac:dyDescent="0.25">
      <c r="B346" s="669" t="s">
        <v>20</v>
      </c>
      <c r="C346" s="669" t="s">
        <v>21</v>
      </c>
      <c r="D346" s="669" t="s">
        <v>24</v>
      </c>
      <c r="E346" s="92">
        <f>IFERROR(VLOOKUP(EXPENSETBL45[[#This Row],[FIELD]],FFTBL[[Field]:[Acres]],2,FALSE),"-")</f>
        <v>153</v>
      </c>
      <c r="F346" s="92" t="s">
        <v>323</v>
      </c>
      <c r="G346" s="92" t="s">
        <v>297</v>
      </c>
      <c r="H346" s="92" t="s">
        <v>411</v>
      </c>
      <c r="I346" s="92" t="str">
        <f>IFERROR(VLOOKUP(EXPENSETBL45[[#This Row],[OPERATION]],OPERATIONCOST,2,FALSE)," ")</f>
        <v>/QTY</v>
      </c>
      <c r="J346" s="409">
        <f>IFERROR(VLOOKUP(EXPENSETBL45[[#This Row],[OPERATION]],OPERATIONCOST2024,3,FALSE)," ")</f>
        <v>-0.26</v>
      </c>
      <c r="K346" s="160">
        <v>6653.6666666666661</v>
      </c>
      <c r="L346" s="410">
        <f t="shared" si="19"/>
        <v>1</v>
      </c>
      <c r="M346" s="410">
        <f t="shared" si="20"/>
        <v>0</v>
      </c>
      <c r="N346" s="409">
        <f>IFERROR((EXPENSETBL45[[#This Row],[MCC.ENT]]*EXPENSETBL45[[#This Row],[TOTAL]])," ")</f>
        <v>-1729.9533333333331</v>
      </c>
      <c r="O346" s="409">
        <f>IFERROR((EXPENSETBL45[[#This Row],[L.L.]]*EXPENSETBL45[[#This Row],[TOTAL]])," ")</f>
        <v>0</v>
      </c>
      <c r="P346" s="409">
        <f>IFERROR((EXPENSETBL45[[#This Row],[QTY]]*EXPENSETBL45[[#This Row],[$/UOM]])," ")</f>
        <v>-1729.9533333333331</v>
      </c>
      <c r="Q346" s="409" t="s">
        <v>295</v>
      </c>
      <c r="R346" s="92">
        <v>2024</v>
      </c>
      <c r="S346" s="507"/>
      <c r="T346" s="507"/>
      <c r="U346" s="507"/>
      <c r="V346" s="507"/>
      <c r="W346" s="507"/>
      <c r="X346" s="507"/>
      <c r="Y346" s="507"/>
      <c r="Z346" s="507"/>
      <c r="AA346" s="507"/>
      <c r="AB346" s="507"/>
    </row>
    <row r="347" spans="2:28" ht="15.75" hidden="1" x14ac:dyDescent="0.25">
      <c r="B347" s="669" t="s">
        <v>20</v>
      </c>
      <c r="C347" s="669" t="s">
        <v>21</v>
      </c>
      <c r="D347" s="669" t="s">
        <v>25</v>
      </c>
      <c r="E347" s="92">
        <f>IFERROR(VLOOKUP(EXPENSETBL45[[#This Row],[FIELD]],FFTBL[[Field]:[Acres]],2,FALSE),"-")</f>
        <v>159.69999999999999</v>
      </c>
      <c r="F347" s="92" t="s">
        <v>323</v>
      </c>
      <c r="G347" s="92" t="s">
        <v>297</v>
      </c>
      <c r="H347" s="92" t="s">
        <v>411</v>
      </c>
      <c r="I347" s="92" t="str">
        <f>IFERROR(VLOOKUP(EXPENSETBL45[[#This Row],[OPERATION]],OPERATIONCOST,2,FALSE)," ")</f>
        <v>/QTY</v>
      </c>
      <c r="J347" s="409">
        <f>IFERROR(VLOOKUP(EXPENSETBL45[[#This Row],[OPERATION]],OPERATIONCOST2024,3,FALSE)," ")</f>
        <v>-0.26</v>
      </c>
      <c r="K347" s="160">
        <v>4171.3099999999995</v>
      </c>
      <c r="L347" s="410">
        <f t="shared" si="19"/>
        <v>1</v>
      </c>
      <c r="M347" s="410">
        <f t="shared" si="20"/>
        <v>0</v>
      </c>
      <c r="N347" s="409">
        <f>IFERROR((EXPENSETBL45[[#This Row],[MCC.ENT]]*EXPENSETBL45[[#This Row],[TOTAL]])," ")</f>
        <v>-1084.5405999999998</v>
      </c>
      <c r="O347" s="409">
        <f>IFERROR((EXPENSETBL45[[#This Row],[L.L.]]*EXPENSETBL45[[#This Row],[TOTAL]])," ")</f>
        <v>0</v>
      </c>
      <c r="P347" s="409">
        <f>IFERROR((EXPENSETBL45[[#This Row],[QTY]]*EXPENSETBL45[[#This Row],[$/UOM]])," ")</f>
        <v>-1084.5405999999998</v>
      </c>
      <c r="Q347" s="409" t="s">
        <v>295</v>
      </c>
      <c r="R347" s="92">
        <v>2024</v>
      </c>
      <c r="S347" s="507"/>
      <c r="T347" s="507"/>
      <c r="U347" s="507"/>
      <c r="V347" s="507"/>
      <c r="W347" s="507"/>
      <c r="X347" s="507"/>
      <c r="Y347" s="507"/>
      <c r="Z347" s="507"/>
      <c r="AA347" s="507"/>
      <c r="AB347" s="507"/>
    </row>
    <row r="348" spans="2:28" ht="15.75" hidden="1" x14ac:dyDescent="0.25">
      <c r="B348" s="669" t="s">
        <v>20</v>
      </c>
      <c r="C348" s="669" t="s">
        <v>26</v>
      </c>
      <c r="D348" s="669" t="s">
        <v>27</v>
      </c>
      <c r="E348" s="92">
        <f>IFERROR(VLOOKUP(EXPENSETBL45[[#This Row],[FIELD]],FFTBL[[Field]:[Acres]],2,FALSE),"-")</f>
        <v>205.6</v>
      </c>
      <c r="F348" s="92" t="s">
        <v>323</v>
      </c>
      <c r="G348" s="92" t="s">
        <v>297</v>
      </c>
      <c r="H348" s="92" t="s">
        <v>411</v>
      </c>
      <c r="I348" s="92" t="str">
        <f>IFERROR(VLOOKUP(EXPENSETBL45[[#This Row],[OPERATION]],OPERATIONCOST,2,FALSE)," ")</f>
        <v>/QTY</v>
      </c>
      <c r="J348" s="409">
        <f>IFERROR(VLOOKUP(EXPENSETBL45[[#This Row],[OPERATION]],OPERATIONCOST2024,3,FALSE)," ")</f>
        <v>-0.26</v>
      </c>
      <c r="K348" s="160">
        <v>3190.3910000000001</v>
      </c>
      <c r="L348" s="410">
        <f t="shared" si="19"/>
        <v>1</v>
      </c>
      <c r="M348" s="410">
        <f t="shared" si="20"/>
        <v>0</v>
      </c>
      <c r="N348" s="409">
        <f>IFERROR((EXPENSETBL45[[#This Row],[MCC.ENT]]*EXPENSETBL45[[#This Row],[TOTAL]])," ")</f>
        <v>-829.50166000000002</v>
      </c>
      <c r="O348" s="409">
        <f>IFERROR((EXPENSETBL45[[#This Row],[L.L.]]*EXPENSETBL45[[#This Row],[TOTAL]])," ")</f>
        <v>0</v>
      </c>
      <c r="P348" s="409">
        <f>IFERROR((EXPENSETBL45[[#This Row],[QTY]]*EXPENSETBL45[[#This Row],[$/UOM]])," ")</f>
        <v>-829.50166000000002</v>
      </c>
      <c r="Q348" s="409" t="s">
        <v>295</v>
      </c>
      <c r="R348" s="92">
        <v>2024</v>
      </c>
      <c r="S348" s="507"/>
      <c r="T348" s="507"/>
      <c r="U348" s="507"/>
      <c r="V348" s="507"/>
      <c r="W348" s="507"/>
      <c r="X348" s="507"/>
      <c r="Y348" s="507"/>
      <c r="Z348" s="507"/>
      <c r="AA348" s="507"/>
      <c r="AB348" s="507"/>
    </row>
    <row r="349" spans="2:28" ht="15.75" hidden="1" x14ac:dyDescent="0.25">
      <c r="B349" s="669" t="s">
        <v>20</v>
      </c>
      <c r="C349" s="669" t="s">
        <v>28</v>
      </c>
      <c r="D349" s="669" t="s">
        <v>29</v>
      </c>
      <c r="E349" s="92">
        <f>IFERROR(VLOOKUP(EXPENSETBL45[[#This Row],[FIELD]],FFTBL[[Field]:[Acres]],2,FALSE),"-")</f>
        <v>79.2</v>
      </c>
      <c r="F349" s="92" t="s">
        <v>323</v>
      </c>
      <c r="G349" s="92" t="s">
        <v>297</v>
      </c>
      <c r="H349" s="92" t="s">
        <v>411</v>
      </c>
      <c r="I349" s="92" t="str">
        <f>IFERROR(VLOOKUP(EXPENSETBL45[[#This Row],[OPERATION]],OPERATIONCOST,2,FALSE)," ")</f>
        <v>/QTY</v>
      </c>
      <c r="J349" s="409">
        <f>IFERROR(VLOOKUP(EXPENSETBL45[[#This Row],[OPERATION]],OPERATIONCOST2024,3,FALSE)," ")</f>
        <v>-0.26</v>
      </c>
      <c r="K349" s="160">
        <v>1225.9000000000001</v>
      </c>
      <c r="L349" s="410">
        <f t="shared" si="19"/>
        <v>1</v>
      </c>
      <c r="M349" s="410">
        <f t="shared" si="20"/>
        <v>0</v>
      </c>
      <c r="N349" s="409">
        <f>IFERROR((EXPENSETBL45[[#This Row],[MCC.ENT]]*EXPENSETBL45[[#This Row],[TOTAL]])," ")</f>
        <v>-318.73400000000004</v>
      </c>
      <c r="O349" s="409">
        <f>IFERROR((EXPENSETBL45[[#This Row],[L.L.]]*EXPENSETBL45[[#This Row],[TOTAL]])," ")</f>
        <v>0</v>
      </c>
      <c r="P349" s="409">
        <f>IFERROR((EXPENSETBL45[[#This Row],[QTY]]*EXPENSETBL45[[#This Row],[$/UOM]])," ")</f>
        <v>-318.73400000000004</v>
      </c>
      <c r="Q349" s="409" t="s">
        <v>295</v>
      </c>
      <c r="R349" s="92">
        <v>2024</v>
      </c>
      <c r="S349" s="507"/>
      <c r="T349" s="507"/>
      <c r="U349" s="507"/>
      <c r="V349" s="507"/>
      <c r="W349" s="507"/>
      <c r="X349" s="507"/>
      <c r="Y349" s="507"/>
      <c r="Z349" s="507"/>
      <c r="AA349" s="507"/>
      <c r="AB349" s="507"/>
    </row>
    <row r="350" spans="2:28" ht="15.75" hidden="1" x14ac:dyDescent="0.25">
      <c r="B350" s="669" t="s">
        <v>20</v>
      </c>
      <c r="C350" s="669" t="s">
        <v>28</v>
      </c>
      <c r="D350" s="669" t="s">
        <v>30</v>
      </c>
      <c r="E350" s="92">
        <f>IFERROR(VLOOKUP(EXPENSETBL45[[#This Row],[FIELD]],FFTBL[[Field]:[Acres]],2,FALSE),"-")</f>
        <v>101.9</v>
      </c>
      <c r="F350" s="92" t="s">
        <v>323</v>
      </c>
      <c r="G350" s="92" t="s">
        <v>297</v>
      </c>
      <c r="H350" s="92" t="s">
        <v>411</v>
      </c>
      <c r="I350" s="92" t="str">
        <f>IFERROR(VLOOKUP(EXPENSETBL45[[#This Row],[OPERATION]],OPERATIONCOST,2,FALSE)," ")</f>
        <v>/QTY</v>
      </c>
      <c r="J350" s="409">
        <f>IFERROR(VLOOKUP(EXPENSETBL45[[#This Row],[OPERATION]],OPERATIONCOST2024,3,FALSE)," ")</f>
        <v>-0.26</v>
      </c>
      <c r="K350" s="160">
        <v>4115.2439999999997</v>
      </c>
      <c r="L350" s="410">
        <f t="shared" si="19"/>
        <v>1</v>
      </c>
      <c r="M350" s="410">
        <f t="shared" si="20"/>
        <v>0</v>
      </c>
      <c r="N350" s="409">
        <f>IFERROR((EXPENSETBL45[[#This Row],[MCC.ENT]]*EXPENSETBL45[[#This Row],[TOTAL]])," ")</f>
        <v>-1069.96344</v>
      </c>
      <c r="O350" s="409">
        <f>IFERROR((EXPENSETBL45[[#This Row],[L.L.]]*EXPENSETBL45[[#This Row],[TOTAL]])," ")</f>
        <v>0</v>
      </c>
      <c r="P350" s="409">
        <f>IFERROR((EXPENSETBL45[[#This Row],[QTY]]*EXPENSETBL45[[#This Row],[$/UOM]])," ")</f>
        <v>-1069.96344</v>
      </c>
      <c r="Q350" s="409" t="s">
        <v>295</v>
      </c>
      <c r="R350" s="92">
        <v>2024</v>
      </c>
      <c r="S350" s="507"/>
      <c r="T350" s="507"/>
      <c r="U350" s="507"/>
      <c r="V350" s="507"/>
      <c r="W350" s="507"/>
      <c r="X350" s="507"/>
      <c r="Y350" s="507"/>
      <c r="Z350" s="507"/>
      <c r="AA350" s="507"/>
      <c r="AB350" s="507"/>
    </row>
    <row r="351" spans="2:28" ht="15.75" hidden="1" x14ac:dyDescent="0.25">
      <c r="B351" s="669" t="s">
        <v>20</v>
      </c>
      <c r="C351" s="669" t="s">
        <v>28</v>
      </c>
      <c r="D351" s="669" t="s">
        <v>31</v>
      </c>
      <c r="E351" s="92">
        <f>IFERROR(VLOOKUP(EXPENSETBL45[[#This Row],[FIELD]],FFTBL[[Field]:[Acres]],2,FALSE),"-")</f>
        <v>157.5</v>
      </c>
      <c r="F351" s="92" t="s">
        <v>323</v>
      </c>
      <c r="G351" s="92" t="s">
        <v>297</v>
      </c>
      <c r="H351" s="92" t="s">
        <v>411</v>
      </c>
      <c r="I351" s="92" t="str">
        <f>IFERROR(VLOOKUP(EXPENSETBL45[[#This Row],[OPERATION]],OPERATIONCOST,2,FALSE)," ")</f>
        <v>/QTY</v>
      </c>
      <c r="J351" s="409">
        <f>IFERROR(VLOOKUP(EXPENSETBL45[[#This Row],[OPERATION]],OPERATIONCOST2024,3,FALSE)," ")</f>
        <v>-0.26</v>
      </c>
      <c r="K351" s="160">
        <v>4591.583333333333</v>
      </c>
      <c r="L351" s="410">
        <f t="shared" si="19"/>
        <v>1</v>
      </c>
      <c r="M351" s="410">
        <f t="shared" si="20"/>
        <v>0</v>
      </c>
      <c r="N351" s="409">
        <f>IFERROR((EXPENSETBL45[[#This Row],[MCC.ENT]]*EXPENSETBL45[[#This Row],[TOTAL]])," ")</f>
        <v>-1193.8116666666667</v>
      </c>
      <c r="O351" s="409">
        <f>IFERROR((EXPENSETBL45[[#This Row],[L.L.]]*EXPENSETBL45[[#This Row],[TOTAL]])," ")</f>
        <v>0</v>
      </c>
      <c r="P351" s="409">
        <f>IFERROR((EXPENSETBL45[[#This Row],[QTY]]*EXPENSETBL45[[#This Row],[$/UOM]])," ")</f>
        <v>-1193.8116666666667</v>
      </c>
      <c r="Q351" s="409" t="s">
        <v>295</v>
      </c>
      <c r="R351" s="92">
        <v>2024</v>
      </c>
      <c r="S351" s="507"/>
      <c r="T351" s="507"/>
      <c r="U351" s="507"/>
      <c r="V351" s="507"/>
      <c r="W351" s="507"/>
      <c r="X351" s="507"/>
      <c r="Y351" s="507"/>
      <c r="Z351" s="507"/>
      <c r="AA351" s="507"/>
      <c r="AB351" s="507"/>
    </row>
    <row r="352" spans="2:28" ht="15.75" hidden="1" x14ac:dyDescent="0.25">
      <c r="B352" s="669" t="s">
        <v>20</v>
      </c>
      <c r="C352" s="669" t="s">
        <v>32</v>
      </c>
      <c r="D352" s="669" t="s">
        <v>33</v>
      </c>
      <c r="E352" s="92">
        <f>IFERROR(VLOOKUP(EXPENSETBL45[[#This Row],[FIELD]],FFTBL[[Field]:[Acres]],2,FALSE),"-")</f>
        <v>79.099999999999994</v>
      </c>
      <c r="F352" s="92" t="s">
        <v>323</v>
      </c>
      <c r="G352" s="92" t="s">
        <v>297</v>
      </c>
      <c r="H352" s="92" t="s">
        <v>411</v>
      </c>
      <c r="I352" s="92" t="str">
        <f>IFERROR(VLOOKUP(EXPENSETBL45[[#This Row],[OPERATION]],OPERATIONCOST,2,FALSE)," ")</f>
        <v>/QTY</v>
      </c>
      <c r="J352" s="409">
        <f>IFERROR(VLOOKUP(EXPENSETBL45[[#This Row],[OPERATION]],OPERATIONCOST2024,3,FALSE)," ")</f>
        <v>-0.26</v>
      </c>
      <c r="K352" s="160">
        <v>1509.3</v>
      </c>
      <c r="L352" s="410">
        <f t="shared" si="19"/>
        <v>1</v>
      </c>
      <c r="M352" s="410">
        <f t="shared" si="20"/>
        <v>0</v>
      </c>
      <c r="N352" s="409">
        <f>IFERROR((EXPENSETBL45[[#This Row],[MCC.ENT]]*EXPENSETBL45[[#This Row],[TOTAL]])," ")</f>
        <v>-392.41800000000001</v>
      </c>
      <c r="O352" s="409">
        <f>IFERROR((EXPENSETBL45[[#This Row],[L.L.]]*EXPENSETBL45[[#This Row],[TOTAL]])," ")</f>
        <v>0</v>
      </c>
      <c r="P352" s="409">
        <f>IFERROR((EXPENSETBL45[[#This Row],[QTY]]*EXPENSETBL45[[#This Row],[$/UOM]])," ")</f>
        <v>-392.41800000000001</v>
      </c>
      <c r="Q352" s="409" t="s">
        <v>295</v>
      </c>
      <c r="R352" s="92">
        <v>2024</v>
      </c>
      <c r="S352" s="507"/>
      <c r="T352" s="507"/>
      <c r="U352" s="507"/>
      <c r="V352" s="507"/>
      <c r="W352" s="507"/>
      <c r="X352" s="507"/>
      <c r="Y352" s="507"/>
      <c r="Z352" s="507"/>
      <c r="AA352" s="507"/>
      <c r="AB352" s="507"/>
    </row>
    <row r="353" spans="2:28" ht="15.75" hidden="1" x14ac:dyDescent="0.25">
      <c r="B353" s="669" t="s">
        <v>20</v>
      </c>
      <c r="C353" s="669" t="s">
        <v>32</v>
      </c>
      <c r="D353" s="669" t="s">
        <v>34</v>
      </c>
      <c r="E353" s="92">
        <f>IFERROR(VLOOKUP(EXPENSETBL45[[#This Row],[FIELD]],FFTBL[[Field]:[Acres]],2,FALSE),"-")</f>
        <v>77.400000000000006</v>
      </c>
      <c r="F353" s="92" t="s">
        <v>323</v>
      </c>
      <c r="G353" s="92" t="s">
        <v>297</v>
      </c>
      <c r="H353" s="92" t="s">
        <v>411</v>
      </c>
      <c r="I353" s="92" t="str">
        <f>IFERROR(VLOOKUP(EXPENSETBL45[[#This Row],[OPERATION]],OPERATIONCOST,2,FALSE)," ")</f>
        <v>/QTY</v>
      </c>
      <c r="J353" s="409">
        <f>IFERROR(VLOOKUP(EXPENSETBL45[[#This Row],[OPERATION]],OPERATIONCOST2024,3,FALSE)," ")</f>
        <v>-0.26</v>
      </c>
      <c r="K353" s="160">
        <v>1300.1666666666667</v>
      </c>
      <c r="L353" s="410">
        <f t="shared" si="19"/>
        <v>1</v>
      </c>
      <c r="M353" s="410">
        <f t="shared" si="20"/>
        <v>0</v>
      </c>
      <c r="N353" s="409">
        <f>IFERROR((EXPENSETBL45[[#This Row],[MCC.ENT]]*EXPENSETBL45[[#This Row],[TOTAL]])," ")</f>
        <v>-338.04333333333335</v>
      </c>
      <c r="O353" s="409">
        <f>IFERROR((EXPENSETBL45[[#This Row],[L.L.]]*EXPENSETBL45[[#This Row],[TOTAL]])," ")</f>
        <v>0</v>
      </c>
      <c r="P353" s="409">
        <f>IFERROR((EXPENSETBL45[[#This Row],[QTY]]*EXPENSETBL45[[#This Row],[$/UOM]])," ")</f>
        <v>-338.04333333333335</v>
      </c>
      <c r="Q353" s="409" t="s">
        <v>295</v>
      </c>
      <c r="R353" s="92">
        <v>2024</v>
      </c>
      <c r="S353" s="507"/>
      <c r="T353" s="507"/>
      <c r="U353" s="507"/>
      <c r="V353" s="507"/>
      <c r="W353" s="507"/>
      <c r="X353" s="507"/>
      <c r="Y353" s="507"/>
      <c r="Z353" s="507"/>
      <c r="AA353" s="507"/>
      <c r="AB353" s="507"/>
    </row>
    <row r="354" spans="2:28" ht="15.75" hidden="1" x14ac:dyDescent="0.25">
      <c r="B354" s="669" t="s">
        <v>20</v>
      </c>
      <c r="C354" s="669" t="s">
        <v>35</v>
      </c>
      <c r="D354" s="669" t="s">
        <v>36</v>
      </c>
      <c r="E354" s="92">
        <f>IFERROR(VLOOKUP(EXPENSETBL45[[#This Row],[FIELD]],FFTBL[[Field]:[Acres]],2,FALSE),"-")</f>
        <v>71.5</v>
      </c>
      <c r="F354" s="92" t="s">
        <v>323</v>
      </c>
      <c r="G354" s="92" t="s">
        <v>297</v>
      </c>
      <c r="H354" s="92" t="s">
        <v>411</v>
      </c>
      <c r="I354" s="92" t="str">
        <f>IFERROR(VLOOKUP(EXPENSETBL45[[#This Row],[OPERATION]],OPERATIONCOST,2,FALSE)," ")</f>
        <v>/QTY</v>
      </c>
      <c r="J354" s="409">
        <f>IFERROR(VLOOKUP(EXPENSETBL45[[#This Row],[OPERATION]],OPERATIONCOST2024,3,FALSE)," ")</f>
        <v>-0.26</v>
      </c>
      <c r="K354" s="160">
        <v>3010.8599999999997</v>
      </c>
      <c r="L354" s="410">
        <f t="shared" si="19"/>
        <v>1</v>
      </c>
      <c r="M354" s="410">
        <f t="shared" si="20"/>
        <v>0</v>
      </c>
      <c r="N354" s="409">
        <f>IFERROR((EXPENSETBL45[[#This Row],[MCC.ENT]]*EXPENSETBL45[[#This Row],[TOTAL]])," ")</f>
        <v>-782.82359999999994</v>
      </c>
      <c r="O354" s="409">
        <f>IFERROR((EXPENSETBL45[[#This Row],[L.L.]]*EXPENSETBL45[[#This Row],[TOTAL]])," ")</f>
        <v>0</v>
      </c>
      <c r="P354" s="409">
        <f>IFERROR((EXPENSETBL45[[#This Row],[QTY]]*EXPENSETBL45[[#This Row],[$/UOM]])," ")</f>
        <v>-782.82359999999994</v>
      </c>
      <c r="Q354" s="409" t="s">
        <v>295</v>
      </c>
      <c r="R354" s="92">
        <v>2024</v>
      </c>
      <c r="S354" s="507"/>
      <c r="T354" s="507"/>
      <c r="U354" s="507"/>
      <c r="V354" s="507"/>
      <c r="W354" s="507"/>
      <c r="X354" s="507"/>
      <c r="Y354" s="507"/>
      <c r="Z354" s="507"/>
      <c r="AA354" s="507"/>
      <c r="AB354" s="507"/>
    </row>
    <row r="355" spans="2:28" ht="15.75" hidden="1" x14ac:dyDescent="0.25">
      <c r="B355" s="669" t="s">
        <v>20</v>
      </c>
      <c r="C355" s="669" t="s">
        <v>35</v>
      </c>
      <c r="D355" s="669" t="s">
        <v>37</v>
      </c>
      <c r="E355" s="92">
        <f>IFERROR(VLOOKUP(EXPENSETBL45[[#This Row],[FIELD]],FFTBL[[Field]:[Acres]],2,FALSE),"-")</f>
        <v>157.69999999999999</v>
      </c>
      <c r="F355" s="92" t="s">
        <v>323</v>
      </c>
      <c r="G355" s="92" t="s">
        <v>297</v>
      </c>
      <c r="H355" s="92" t="s">
        <v>411</v>
      </c>
      <c r="I355" s="92" t="str">
        <f>IFERROR(VLOOKUP(EXPENSETBL45[[#This Row],[OPERATION]],OPERATIONCOST,2,FALSE)," ")</f>
        <v>/QTY</v>
      </c>
      <c r="J355" s="409">
        <f>IFERROR(VLOOKUP(EXPENSETBL45[[#This Row],[OPERATION]],OPERATIONCOST2024,3,FALSE)," ")</f>
        <v>-0.26</v>
      </c>
      <c r="K355" s="160">
        <v>8749.2533333333322</v>
      </c>
      <c r="L355" s="410">
        <f t="shared" si="19"/>
        <v>1</v>
      </c>
      <c r="M355" s="410">
        <f t="shared" si="20"/>
        <v>0</v>
      </c>
      <c r="N355" s="409">
        <f>IFERROR((EXPENSETBL45[[#This Row],[MCC.ENT]]*EXPENSETBL45[[#This Row],[TOTAL]])," ")</f>
        <v>-2274.8058666666666</v>
      </c>
      <c r="O355" s="409">
        <f>IFERROR((EXPENSETBL45[[#This Row],[L.L.]]*EXPENSETBL45[[#This Row],[TOTAL]])," ")</f>
        <v>0</v>
      </c>
      <c r="P355" s="409">
        <f>IFERROR((EXPENSETBL45[[#This Row],[QTY]]*EXPENSETBL45[[#This Row],[$/UOM]])," ")</f>
        <v>-2274.8058666666666</v>
      </c>
      <c r="Q355" s="409" t="s">
        <v>295</v>
      </c>
      <c r="R355" s="92">
        <v>2024</v>
      </c>
      <c r="S355" s="507"/>
      <c r="T355" s="507"/>
      <c r="U355" s="507"/>
      <c r="V355" s="507"/>
      <c r="W355" s="507"/>
      <c r="X355" s="507"/>
      <c r="Y355" s="507"/>
      <c r="Z355" s="507"/>
      <c r="AA355" s="507"/>
      <c r="AB355" s="507"/>
    </row>
    <row r="356" spans="2:28" x14ac:dyDescent="0.25">
      <c r="B356" s="92" t="s">
        <v>74</v>
      </c>
      <c r="C356" s="92" t="s">
        <v>21</v>
      </c>
      <c r="D356" s="92" t="s">
        <v>149</v>
      </c>
      <c r="E356" s="92">
        <f>IFERROR(VLOOKUP(EXPENSETBL45[[#This Row],[FIELD]],FFTBL[[Field]:[Acres]],2,FALSE),"-")</f>
        <v>78.599999999999994</v>
      </c>
      <c r="F356" s="92" t="s">
        <v>320</v>
      </c>
      <c r="G356" s="92" t="s">
        <v>297</v>
      </c>
      <c r="H356" s="92" t="s">
        <v>371</v>
      </c>
      <c r="I356" s="92" t="str">
        <f>IFERROR(VLOOKUP(EXPENSETBL45[[#This Row],[OPERATION]],OPERATIONCOST,2,FALSE)," ")</f>
        <v>ACRE</v>
      </c>
      <c r="J356" s="409">
        <f>IFERROR(VLOOKUP(EXPENSETBL45[[#This Row],[OPERATION]],OPERATIONCOST2024,3,FALSE)," ")</f>
        <v>-25</v>
      </c>
      <c r="L356" s="410">
        <f t="shared" si="19"/>
        <v>1</v>
      </c>
      <c r="M356" s="410">
        <f t="shared" si="20"/>
        <v>0</v>
      </c>
      <c r="N356" s="409">
        <f>IFERROR((EXPENSETBL45[[#This Row],[MCC.ENT]]*EXPENSETBL45[[#This Row],[TOTAL]])," ")</f>
        <v>0</v>
      </c>
      <c r="O356" s="409">
        <f>IFERROR((EXPENSETBL45[[#This Row],[L.L.]]*EXPENSETBL45[[#This Row],[TOTAL]])," ")</f>
        <v>0</v>
      </c>
      <c r="P356" s="409">
        <f>IFERROR((EXPENSETBL45[[#This Row],[QTY]]*EXPENSETBL45[[#This Row],[$/UOM]])," ")</f>
        <v>0</v>
      </c>
      <c r="Q356" s="409"/>
      <c r="S356" s="507"/>
      <c r="T356" s="507"/>
      <c r="U356" s="507"/>
      <c r="V356" s="507"/>
      <c r="W356" s="507"/>
      <c r="X356" s="507"/>
      <c r="Y356" s="507"/>
      <c r="Z356" s="507"/>
      <c r="AA356" s="507"/>
      <c r="AB356" s="507"/>
    </row>
    <row r="357" spans="2:28" x14ac:dyDescent="0.25">
      <c r="B357" s="92" t="s">
        <v>74</v>
      </c>
      <c r="C357" s="92" t="s">
        <v>21</v>
      </c>
      <c r="D357" s="92" t="s">
        <v>163</v>
      </c>
      <c r="E357" s="92">
        <f>IFERROR(VLOOKUP(EXPENSETBL45[[#This Row],[FIELD]],FFTBL[[Field]:[Acres]],2,FALSE),"-")</f>
        <v>80.09</v>
      </c>
      <c r="F357" s="92" t="s">
        <v>320</v>
      </c>
      <c r="G357" s="92" t="s">
        <v>297</v>
      </c>
      <c r="H357" s="92" t="s">
        <v>371</v>
      </c>
      <c r="I357" s="92" t="str">
        <f>IFERROR(VLOOKUP(EXPENSETBL45[[#This Row],[OPERATION]],OPERATIONCOST,2,FALSE)," ")</f>
        <v>ACRE</v>
      </c>
      <c r="J357" s="409">
        <f>IFERROR(VLOOKUP(EXPENSETBL45[[#This Row],[OPERATION]],OPERATIONCOST2024,3,FALSE)," ")</f>
        <v>-25</v>
      </c>
      <c r="K357" s="92">
        <f>IF(EXPENSETBL45[[#This Row],[UOM]]="acre",EXPENSETBL45[[#This Row],[ACRES]]," ")</f>
        <v>80.09</v>
      </c>
      <c r="L357" s="410">
        <f t="shared" si="19"/>
        <v>1</v>
      </c>
      <c r="M357" s="410">
        <f t="shared" si="20"/>
        <v>0</v>
      </c>
      <c r="N357" s="409">
        <f>IFERROR((EXPENSETBL45[[#This Row],[MCC.ENT]]*EXPENSETBL45[[#This Row],[TOTAL]])," ")</f>
        <v>-2002.25</v>
      </c>
      <c r="O357" s="409">
        <f>IFERROR((EXPENSETBL45[[#This Row],[L.L.]]*EXPENSETBL45[[#This Row],[TOTAL]])," ")</f>
        <v>0</v>
      </c>
      <c r="P357" s="409">
        <f>IFERROR((EXPENSETBL45[[#This Row],[QTY]]*EXPENSETBL45[[#This Row],[$/UOM]])," ")</f>
        <v>-2002.25</v>
      </c>
      <c r="Q357" s="409"/>
      <c r="S357" s="507"/>
      <c r="T357" s="507"/>
      <c r="U357" s="507"/>
      <c r="V357" s="507"/>
      <c r="W357" s="507"/>
      <c r="X357" s="507"/>
      <c r="Y357" s="507"/>
      <c r="Z357" s="507"/>
      <c r="AA357" s="507"/>
      <c r="AB357" s="507"/>
    </row>
    <row r="358" spans="2:28" x14ac:dyDescent="0.25">
      <c r="B358" s="668" t="s">
        <v>20</v>
      </c>
      <c r="C358" s="668" t="s">
        <v>26</v>
      </c>
      <c r="D358" s="668" t="s">
        <v>639</v>
      </c>
      <c r="E358" s="92" t="str">
        <f>IFERROR(VLOOKUP(EXPENSETBL45[[#This Row],[FIELD]],FFTBL[[Field]:[Acres]],2,FALSE),"-")</f>
        <v>-</v>
      </c>
      <c r="F358" s="92" t="s">
        <v>320</v>
      </c>
      <c r="G358" s="92" t="s">
        <v>297</v>
      </c>
      <c r="H358" s="92" t="s">
        <v>371</v>
      </c>
      <c r="I358" s="92" t="str">
        <f>IFERROR(VLOOKUP(EXPENSETBL45[[#This Row],[OPERATION]],OPERATIONCOST,2,FALSE)," ")</f>
        <v>ACRE</v>
      </c>
      <c r="J358" s="409">
        <f>IFERROR(VLOOKUP(EXPENSETBL45[[#This Row],[OPERATION]],OPERATIONCOST2024,3,FALSE)," ")</f>
        <v>-25</v>
      </c>
      <c r="K358" s="92" t="str">
        <f>IF(EXPENSETBL45[[#This Row],[UOM]]="acre",EXPENSETBL45[[#This Row],[ACRES]]," ")</f>
        <v>-</v>
      </c>
      <c r="L358" s="410">
        <f t="shared" si="19"/>
        <v>1</v>
      </c>
      <c r="M358" s="410">
        <f t="shared" si="20"/>
        <v>0</v>
      </c>
      <c r="N358" s="409" t="str">
        <f>IFERROR((EXPENSETBL45[[#This Row],[MCC.ENT]]*EXPENSETBL45[[#This Row],[TOTAL]])," ")</f>
        <v xml:space="preserve"> </v>
      </c>
      <c r="O358" s="409" t="str">
        <f>IFERROR((EXPENSETBL45[[#This Row],[L.L.]]*EXPENSETBL45[[#This Row],[TOTAL]])," ")</f>
        <v xml:space="preserve"> </v>
      </c>
      <c r="P358" s="409" t="str">
        <f>IFERROR((EXPENSETBL45[[#This Row],[QTY]]*EXPENSETBL45[[#This Row],[$/UOM]])," ")</f>
        <v xml:space="preserve"> </v>
      </c>
      <c r="Q358" s="409"/>
      <c r="S358" s="507"/>
      <c r="T358" s="507"/>
      <c r="U358" s="507"/>
      <c r="V358" s="507"/>
      <c r="W358" s="507"/>
      <c r="X358" s="507"/>
      <c r="Y358" s="507"/>
      <c r="Z358" s="507"/>
      <c r="AA358" s="507"/>
      <c r="AB358" s="507"/>
    </row>
    <row r="359" spans="2:28" x14ac:dyDescent="0.25">
      <c r="B359" s="414" t="s">
        <v>20</v>
      </c>
      <c r="C359" s="414" t="s">
        <v>26</v>
      </c>
      <c r="D359" s="414" t="s">
        <v>640</v>
      </c>
      <c r="E359" s="92" t="str">
        <f>IFERROR(VLOOKUP(EXPENSETBL45[[#This Row],[FIELD]],FFTBL[[Field]:[Acres]],2,FALSE),"-")</f>
        <v>-</v>
      </c>
      <c r="F359" s="92" t="s">
        <v>320</v>
      </c>
      <c r="G359" s="92" t="s">
        <v>297</v>
      </c>
      <c r="H359" s="92" t="s">
        <v>371</v>
      </c>
      <c r="I359" s="92" t="str">
        <f>IFERROR(VLOOKUP(EXPENSETBL45[[#This Row],[OPERATION]],OPERATIONCOST,2,FALSE)," ")</f>
        <v>ACRE</v>
      </c>
      <c r="J359" s="409">
        <f>IFERROR(VLOOKUP(EXPENSETBL45[[#This Row],[OPERATION]],OPERATIONCOST2024,3,FALSE)," ")</f>
        <v>-25</v>
      </c>
      <c r="K359" s="92" t="str">
        <f>IF(EXPENSETBL45[[#This Row],[UOM]]="acre",EXPENSETBL45[[#This Row],[ACRES]]," ")</f>
        <v>-</v>
      </c>
      <c r="L359" s="410">
        <f t="shared" ref="L359:L362" si="21">IF(G359="SPLIT",0.65,1)</f>
        <v>1</v>
      </c>
      <c r="M359" s="410">
        <f t="shared" ref="M359:M362" si="22">IF(G359="SPLIT",0.35,0)</f>
        <v>0</v>
      </c>
      <c r="N359" s="409" t="str">
        <f>IFERROR((EXPENSETBL45[[#This Row],[MCC.ENT]]*EXPENSETBL45[[#This Row],[TOTAL]])," ")</f>
        <v xml:space="preserve"> </v>
      </c>
      <c r="O359" s="409" t="str">
        <f>IFERROR((EXPENSETBL45[[#This Row],[L.L.]]*EXPENSETBL45[[#This Row],[TOTAL]])," ")</f>
        <v xml:space="preserve"> </v>
      </c>
      <c r="P359" s="409" t="str">
        <f>IFERROR((EXPENSETBL45[[#This Row],[QTY]]*EXPENSETBL45[[#This Row],[$/UOM]])," ")</f>
        <v xml:space="preserve"> </v>
      </c>
      <c r="Q359" s="409"/>
      <c r="S359" s="507"/>
      <c r="T359" s="507"/>
      <c r="U359" s="507"/>
      <c r="V359" s="507"/>
      <c r="W359" s="507"/>
      <c r="X359" s="507"/>
      <c r="Y359" s="507"/>
      <c r="Z359" s="507"/>
      <c r="AA359" s="507"/>
      <c r="AB359" s="507"/>
    </row>
    <row r="360" spans="2:28" x14ac:dyDescent="0.25">
      <c r="B360" s="92" t="s">
        <v>20</v>
      </c>
      <c r="C360" s="92" t="s">
        <v>28</v>
      </c>
      <c r="D360" s="92" t="s">
        <v>218</v>
      </c>
      <c r="E360" s="92">
        <f>IFERROR(VLOOKUP(EXPENSETBL45[[#This Row],[FIELD]],FFTBL[[Field]:[Acres]],2,FALSE),"-")</f>
        <v>79.3</v>
      </c>
      <c r="F360" s="92" t="s">
        <v>320</v>
      </c>
      <c r="G360" s="92" t="s">
        <v>297</v>
      </c>
      <c r="H360" s="92" t="s">
        <v>371</v>
      </c>
      <c r="I360" s="92" t="str">
        <f>IFERROR(VLOOKUP(EXPENSETBL45[[#This Row],[OPERATION]],OPERATIONCOST,2,FALSE)," ")</f>
        <v>ACRE</v>
      </c>
      <c r="J360" s="409">
        <f>IFERROR(VLOOKUP(EXPENSETBL45[[#This Row],[OPERATION]],OPERATIONCOST2024,3,FALSE)," ")</f>
        <v>-25</v>
      </c>
      <c r="K360" s="92">
        <f>IF(EXPENSETBL45[[#This Row],[UOM]]="acre",EXPENSETBL45[[#This Row],[ACRES]]," ")</f>
        <v>79.3</v>
      </c>
      <c r="L360" s="410">
        <f t="shared" si="21"/>
        <v>1</v>
      </c>
      <c r="M360" s="410">
        <f t="shared" si="22"/>
        <v>0</v>
      </c>
      <c r="N360" s="409">
        <f>IFERROR((EXPENSETBL45[[#This Row],[MCC.ENT]]*EXPENSETBL45[[#This Row],[TOTAL]])," ")</f>
        <v>-1982.5</v>
      </c>
      <c r="O360" s="409">
        <f>IFERROR((EXPENSETBL45[[#This Row],[L.L.]]*EXPENSETBL45[[#This Row],[TOTAL]])," ")</f>
        <v>0</v>
      </c>
      <c r="P360" s="409">
        <f>IFERROR((EXPENSETBL45[[#This Row],[QTY]]*EXPENSETBL45[[#This Row],[$/UOM]])," ")</f>
        <v>-1982.5</v>
      </c>
      <c r="Q360" s="409"/>
      <c r="S360" s="507"/>
      <c r="T360" s="507"/>
      <c r="U360" s="507"/>
      <c r="V360" s="507"/>
      <c r="W360" s="507"/>
      <c r="X360" s="507"/>
      <c r="Y360" s="507"/>
      <c r="Z360" s="507"/>
      <c r="AA360" s="507"/>
      <c r="AB360" s="507"/>
    </row>
    <row r="361" spans="2:28" x14ac:dyDescent="0.25">
      <c r="B361" s="92" t="s">
        <v>20</v>
      </c>
      <c r="C361" s="92" t="s">
        <v>32</v>
      </c>
      <c r="D361" s="92" t="s">
        <v>239</v>
      </c>
      <c r="E361" s="92">
        <f>IFERROR(VLOOKUP(EXPENSETBL45[[#This Row],[FIELD]],FFTBL[[Field]:[Acres]],2,FALSE),"-")</f>
        <v>79.099999999999994</v>
      </c>
      <c r="F361" s="92" t="s">
        <v>320</v>
      </c>
      <c r="G361" s="92" t="s">
        <v>297</v>
      </c>
      <c r="H361" s="92" t="s">
        <v>371</v>
      </c>
      <c r="I361" s="92" t="str">
        <f>IFERROR(VLOOKUP(EXPENSETBL45[[#This Row],[OPERATION]],OPERATIONCOST,2,FALSE)," ")</f>
        <v>ACRE</v>
      </c>
      <c r="J361" s="409">
        <f>IFERROR(VLOOKUP(EXPENSETBL45[[#This Row],[OPERATION]],OPERATIONCOST2024,3,FALSE)," ")</f>
        <v>-25</v>
      </c>
      <c r="K361" s="92">
        <f>IF(EXPENSETBL45[[#This Row],[UOM]]="acre",EXPENSETBL45[[#This Row],[ACRES]]," ")</f>
        <v>79.099999999999994</v>
      </c>
      <c r="L361" s="410">
        <f t="shared" si="21"/>
        <v>1</v>
      </c>
      <c r="M361" s="410">
        <f t="shared" si="22"/>
        <v>0</v>
      </c>
      <c r="N361" s="409">
        <f>IFERROR((EXPENSETBL45[[#This Row],[MCC.ENT]]*EXPENSETBL45[[#This Row],[TOTAL]])," ")</f>
        <v>-1977.4999999999998</v>
      </c>
      <c r="O361" s="409">
        <f>IFERROR((EXPENSETBL45[[#This Row],[L.L.]]*EXPENSETBL45[[#This Row],[TOTAL]])," ")</f>
        <v>0</v>
      </c>
      <c r="P361" s="409">
        <f>IFERROR((EXPENSETBL45[[#This Row],[QTY]]*EXPENSETBL45[[#This Row],[$/UOM]])," ")</f>
        <v>-1977.4999999999998</v>
      </c>
      <c r="Q361" s="409"/>
      <c r="R361" s="409"/>
      <c r="S361" s="507"/>
      <c r="T361" s="507"/>
      <c r="U361" s="507"/>
      <c r="V361" s="507"/>
      <c r="W361" s="507"/>
      <c r="X361" s="507"/>
      <c r="Y361" s="507"/>
      <c r="Z361" s="507"/>
      <c r="AA361" s="507"/>
      <c r="AB361" s="507"/>
    </row>
    <row r="362" spans="2:28" x14ac:dyDescent="0.25">
      <c r="B362" s="92" t="s">
        <v>20</v>
      </c>
      <c r="C362" s="92" t="s">
        <v>32</v>
      </c>
      <c r="D362" s="92" t="s">
        <v>247</v>
      </c>
      <c r="E362" s="92">
        <f>IFERROR(VLOOKUP(EXPENSETBL45[[#This Row],[FIELD]],FFTBL[[Field]:[Acres]],2,FALSE),"-")</f>
        <v>77.5</v>
      </c>
      <c r="F362" s="92" t="s">
        <v>320</v>
      </c>
      <c r="G362" s="92" t="s">
        <v>297</v>
      </c>
      <c r="H362" s="92" t="s">
        <v>371</v>
      </c>
      <c r="I362" s="92" t="str">
        <f>IFERROR(VLOOKUP(EXPENSETBL45[[#This Row],[OPERATION]],OPERATIONCOST,2,FALSE)," ")</f>
        <v>ACRE</v>
      </c>
      <c r="J362" s="409">
        <f>IFERROR(VLOOKUP(EXPENSETBL45[[#This Row],[OPERATION]],OPERATIONCOST2024,3,FALSE)," ")</f>
        <v>-25</v>
      </c>
      <c r="K362" s="92">
        <f>IF(EXPENSETBL45[[#This Row],[UOM]]="acre",EXPENSETBL45[[#This Row],[ACRES]]," ")</f>
        <v>77.5</v>
      </c>
      <c r="L362" s="410">
        <f t="shared" si="21"/>
        <v>1</v>
      </c>
      <c r="M362" s="410">
        <f t="shared" si="22"/>
        <v>0</v>
      </c>
      <c r="N362" s="409">
        <f>IFERROR((EXPENSETBL45[[#This Row],[MCC.ENT]]*EXPENSETBL45[[#This Row],[TOTAL]])," ")</f>
        <v>-1937.5</v>
      </c>
      <c r="O362" s="409">
        <f>IFERROR((EXPENSETBL45[[#This Row],[L.L.]]*EXPENSETBL45[[#This Row],[TOTAL]])," ")</f>
        <v>0</v>
      </c>
      <c r="P362" s="409">
        <f>IFERROR((EXPENSETBL45[[#This Row],[QTY]]*EXPENSETBL45[[#This Row],[$/UOM]])," ")</f>
        <v>-1937.5</v>
      </c>
      <c r="Q362" s="409"/>
      <c r="R362" s="409"/>
      <c r="S362" s="507"/>
      <c r="T362" s="507"/>
      <c r="U362" s="507"/>
      <c r="V362" s="507"/>
      <c r="W362" s="507"/>
      <c r="X362" s="507"/>
      <c r="Y362" s="507"/>
      <c r="Z362" s="507"/>
      <c r="AA362" s="507"/>
      <c r="AB362" s="507"/>
    </row>
    <row r="363" spans="2:28" x14ac:dyDescent="0.25">
      <c r="B363" s="92" t="s">
        <v>20</v>
      </c>
      <c r="C363" s="92" t="s">
        <v>32</v>
      </c>
      <c r="D363" s="92" t="s">
        <v>96</v>
      </c>
      <c r="E363" s="92">
        <f>IFERROR(VLOOKUP(EXPENSETBL45[[#This Row],[FIELD]],FFTBL[[Field]:[Acres]],2,FALSE),"-")</f>
        <v>117.25</v>
      </c>
      <c r="F363" s="92" t="s">
        <v>320</v>
      </c>
      <c r="G363" s="92" t="s">
        <v>297</v>
      </c>
      <c r="H363" s="92" t="s">
        <v>371</v>
      </c>
      <c r="I363" s="92" t="str">
        <f>IFERROR(VLOOKUP(EXPENSETBL45[[#This Row],[OPERATION]],OPERATIONCOST,2,FALSE)," ")</f>
        <v>ACRE</v>
      </c>
      <c r="J363" s="409">
        <f>IFERROR(VLOOKUP(EXPENSETBL45[[#This Row],[OPERATION]],OPERATIONCOST2024,3,FALSE)," ")</f>
        <v>-25</v>
      </c>
      <c r="K363" s="92">
        <f>IF(EXPENSETBL45[[#This Row],[UOM]]="acre",EXPENSETBL45[[#This Row],[ACRES]]," ")</f>
        <v>117.25</v>
      </c>
      <c r="L363" s="410">
        <f t="shared" ref="L363:L373" si="23">IF(G363="SPLIT",0.65,1)</f>
        <v>1</v>
      </c>
      <c r="M363" s="410">
        <f t="shared" ref="M363:M373" si="24">IF(G363="SPLIT",0.35,0)</f>
        <v>0</v>
      </c>
      <c r="N363" s="409">
        <f>IFERROR((EXPENSETBL45[[#This Row],[MCC.ENT]]*EXPENSETBL45[[#This Row],[TOTAL]])," ")</f>
        <v>-2931.25</v>
      </c>
      <c r="O363" s="409">
        <f>IFERROR((EXPENSETBL45[[#This Row],[L.L.]]*EXPENSETBL45[[#This Row],[TOTAL]])," ")</f>
        <v>0</v>
      </c>
      <c r="P363" s="409">
        <f>IFERROR((EXPENSETBL45[[#This Row],[QTY]]*EXPENSETBL45[[#This Row],[$/UOM]])," ")</f>
        <v>-2931.25</v>
      </c>
      <c r="Q363" s="409"/>
      <c r="R363" s="409"/>
      <c r="S363" s="507"/>
      <c r="T363" s="507"/>
      <c r="U363" s="507"/>
      <c r="V363" s="507"/>
      <c r="W363" s="507"/>
      <c r="X363" s="507"/>
      <c r="Y363" s="507"/>
      <c r="Z363" s="507"/>
      <c r="AA363" s="507"/>
      <c r="AB363" s="507"/>
    </row>
    <row r="364" spans="2:28" x14ac:dyDescent="0.25">
      <c r="B364" s="92" t="s">
        <v>20</v>
      </c>
      <c r="C364" s="92" t="s">
        <v>32</v>
      </c>
      <c r="D364" s="92" t="s">
        <v>250</v>
      </c>
      <c r="E364" s="92">
        <f>IFERROR(VLOOKUP(EXPENSETBL45[[#This Row],[FIELD]],FFTBL[[Field]:[Acres]],2,FALSE),"-")</f>
        <v>68.260000000000005</v>
      </c>
      <c r="F364" s="92" t="s">
        <v>320</v>
      </c>
      <c r="G364" s="92" t="s">
        <v>297</v>
      </c>
      <c r="H364" s="92" t="s">
        <v>371</v>
      </c>
      <c r="I364" s="92" t="str">
        <f>IFERROR(VLOOKUP(EXPENSETBL45[[#This Row],[OPERATION]],OPERATIONCOST,2,FALSE)," ")</f>
        <v>ACRE</v>
      </c>
      <c r="J364" s="409">
        <f>IFERROR(VLOOKUP(EXPENSETBL45[[#This Row],[OPERATION]],OPERATIONCOST2024,3,FALSE)," ")</f>
        <v>-25</v>
      </c>
      <c r="K364" s="92">
        <f>IF(EXPENSETBL45[[#This Row],[UOM]]="acre",EXPENSETBL45[[#This Row],[ACRES]]," ")</f>
        <v>68.260000000000005</v>
      </c>
      <c r="L364" s="410">
        <f t="shared" si="23"/>
        <v>1</v>
      </c>
      <c r="M364" s="410">
        <f t="shared" si="24"/>
        <v>0</v>
      </c>
      <c r="N364" s="409">
        <f>IFERROR((EXPENSETBL45[[#This Row],[MCC.ENT]]*EXPENSETBL45[[#This Row],[TOTAL]])," ")</f>
        <v>-1706.5000000000002</v>
      </c>
      <c r="O364" s="409">
        <f>IFERROR((EXPENSETBL45[[#This Row],[L.L.]]*EXPENSETBL45[[#This Row],[TOTAL]])," ")</f>
        <v>0</v>
      </c>
      <c r="P364" s="409">
        <f>IFERROR((EXPENSETBL45[[#This Row],[QTY]]*EXPENSETBL45[[#This Row],[$/UOM]])," ")</f>
        <v>-1706.5000000000002</v>
      </c>
      <c r="Q364" s="409"/>
      <c r="R364" s="409"/>
      <c r="S364" s="507"/>
      <c r="T364" s="507"/>
      <c r="U364" s="507"/>
      <c r="V364" s="507"/>
      <c r="W364" s="507"/>
      <c r="X364" s="507"/>
      <c r="Y364" s="507"/>
      <c r="Z364" s="507"/>
      <c r="AA364" s="507"/>
      <c r="AB364" s="507"/>
    </row>
    <row r="365" spans="2:28" x14ac:dyDescent="0.25">
      <c r="B365" s="92" t="s">
        <v>20</v>
      </c>
      <c r="C365" s="92" t="s">
        <v>35</v>
      </c>
      <c r="D365" s="92" t="s">
        <v>258</v>
      </c>
      <c r="E365" s="92">
        <f>IFERROR(VLOOKUP(EXPENSETBL45[[#This Row],[FIELD]],FFTBL[[Field]:[Acres]],2,FALSE),"-")</f>
        <v>25.67</v>
      </c>
      <c r="F365" s="92" t="s">
        <v>320</v>
      </c>
      <c r="G365" s="92" t="s">
        <v>297</v>
      </c>
      <c r="H365" s="92" t="s">
        <v>371</v>
      </c>
      <c r="I365" s="92" t="str">
        <f>IFERROR(VLOOKUP(EXPENSETBL45[[#This Row],[OPERATION]],OPERATIONCOST,2,FALSE)," ")</f>
        <v>ACRE</v>
      </c>
      <c r="J365" s="409">
        <f>IFERROR(VLOOKUP(EXPENSETBL45[[#This Row],[OPERATION]],OPERATIONCOST2024,3,FALSE)," ")</f>
        <v>-25</v>
      </c>
      <c r="K365" s="92">
        <f>IF(EXPENSETBL45[[#This Row],[UOM]]="acre",EXPENSETBL45[[#This Row],[ACRES]]," ")</f>
        <v>25.67</v>
      </c>
      <c r="L365" s="410">
        <f t="shared" si="23"/>
        <v>1</v>
      </c>
      <c r="M365" s="410">
        <f t="shared" si="24"/>
        <v>0</v>
      </c>
      <c r="N365" s="409">
        <f>IFERROR((EXPENSETBL45[[#This Row],[MCC.ENT]]*EXPENSETBL45[[#This Row],[TOTAL]])," ")</f>
        <v>-641.75</v>
      </c>
      <c r="O365" s="409">
        <f>IFERROR((EXPENSETBL45[[#This Row],[L.L.]]*EXPENSETBL45[[#This Row],[TOTAL]])," ")</f>
        <v>0</v>
      </c>
      <c r="P365" s="409">
        <f>IFERROR((EXPENSETBL45[[#This Row],[QTY]]*EXPENSETBL45[[#This Row],[$/UOM]])," ")</f>
        <v>-641.75</v>
      </c>
      <c r="Q365" s="409"/>
      <c r="R365" s="409"/>
      <c r="S365" s="507"/>
      <c r="T365" s="507"/>
      <c r="U365" s="507"/>
      <c r="V365" s="507"/>
      <c r="W365" s="507"/>
      <c r="X365" s="507"/>
      <c r="Y365" s="507"/>
      <c r="Z365" s="507"/>
      <c r="AA365" s="507"/>
      <c r="AB365" s="507"/>
    </row>
    <row r="366" spans="2:28" x14ac:dyDescent="0.25">
      <c r="B366" s="92" t="s">
        <v>20</v>
      </c>
      <c r="C366" s="92" t="s">
        <v>35</v>
      </c>
      <c r="D366" s="92" t="s">
        <v>259</v>
      </c>
      <c r="E366" s="92">
        <f>IFERROR(VLOOKUP(EXPENSETBL45[[#This Row],[FIELD]],FFTBL[[Field]:[Acres]],2,FALSE),"-")</f>
        <v>49.63</v>
      </c>
      <c r="F366" s="92" t="s">
        <v>320</v>
      </c>
      <c r="G366" s="92" t="s">
        <v>297</v>
      </c>
      <c r="H366" s="92" t="s">
        <v>371</v>
      </c>
      <c r="I366" s="92" t="str">
        <f>IFERROR(VLOOKUP(EXPENSETBL45[[#This Row],[OPERATION]],OPERATIONCOST,2,FALSE)," ")</f>
        <v>ACRE</v>
      </c>
      <c r="J366" s="409">
        <f>IFERROR(VLOOKUP(EXPENSETBL45[[#This Row],[OPERATION]],OPERATIONCOST,3,FALSE)," ")</f>
        <v>-25</v>
      </c>
      <c r="K366" s="92">
        <f>IF(EXPENSETBL45[[#This Row],[UOM]]="acre",EXPENSETBL45[[#This Row],[ACRES]]," ")</f>
        <v>49.63</v>
      </c>
      <c r="L366" s="410">
        <f t="shared" si="23"/>
        <v>1</v>
      </c>
      <c r="M366" s="410">
        <f t="shared" si="24"/>
        <v>0</v>
      </c>
      <c r="N366" s="409">
        <f>IFERROR((EXPENSETBL45[[#This Row],[MCC.ENT]]*EXPENSETBL45[[#This Row],[TOTAL]])," ")</f>
        <v>-1240.75</v>
      </c>
      <c r="O366" s="409">
        <f>IFERROR((EXPENSETBL45[[#This Row],[L.L.]]*EXPENSETBL45[[#This Row],[TOTAL]])," ")</f>
        <v>0</v>
      </c>
      <c r="P366" s="409">
        <f>IFERROR((EXPENSETBL45[[#This Row],[QTY]]*EXPENSETBL45[[#This Row],[$/UOM]])," ")</f>
        <v>-1240.75</v>
      </c>
      <c r="Q366" s="409"/>
      <c r="R366" s="409"/>
      <c r="S366" s="507"/>
      <c r="T366" s="507"/>
      <c r="U366" s="507"/>
      <c r="V366" s="507"/>
      <c r="W366" s="507"/>
      <c r="X366" s="507"/>
      <c r="Y366" s="507"/>
      <c r="Z366" s="507"/>
      <c r="AA366" s="507"/>
      <c r="AB366" s="507"/>
    </row>
    <row r="367" spans="2:28" x14ac:dyDescent="0.25">
      <c r="B367" s="92" t="s">
        <v>20</v>
      </c>
      <c r="C367" s="92" t="s">
        <v>35</v>
      </c>
      <c r="D367" s="92" t="s">
        <v>263</v>
      </c>
      <c r="E367" s="92">
        <f>IFERROR(VLOOKUP(EXPENSETBL45[[#This Row],[FIELD]],FFTBL[[Field]:[Acres]],2,FALSE),"-")</f>
        <v>78.39</v>
      </c>
      <c r="F367" s="92" t="s">
        <v>320</v>
      </c>
      <c r="G367" s="92" t="s">
        <v>297</v>
      </c>
      <c r="H367" s="92" t="s">
        <v>371</v>
      </c>
      <c r="I367" s="92" t="str">
        <f>IFERROR(VLOOKUP(EXPENSETBL45[[#This Row],[OPERATION]],OPERATIONCOST,2,FALSE)," ")</f>
        <v>ACRE</v>
      </c>
      <c r="J367" s="409">
        <f>IFERROR(VLOOKUP(EXPENSETBL45[[#This Row],[OPERATION]],OPERATIONCOST,3,FALSE)," ")</f>
        <v>-25</v>
      </c>
      <c r="K367" s="92">
        <f>IF(EXPENSETBL45[[#This Row],[UOM]]="acre",EXPENSETBL45[[#This Row],[ACRES]]," ")</f>
        <v>78.39</v>
      </c>
      <c r="L367" s="410">
        <f t="shared" si="23"/>
        <v>1</v>
      </c>
      <c r="M367" s="410">
        <f t="shared" si="24"/>
        <v>0</v>
      </c>
      <c r="N367" s="409">
        <f>IFERROR((EXPENSETBL45[[#This Row],[MCC.ENT]]*EXPENSETBL45[[#This Row],[TOTAL]])," ")</f>
        <v>-1959.75</v>
      </c>
      <c r="O367" s="409">
        <f>IFERROR((EXPENSETBL45[[#This Row],[L.L.]]*EXPENSETBL45[[#This Row],[TOTAL]])," ")</f>
        <v>0</v>
      </c>
      <c r="P367" s="409">
        <f>IFERROR((EXPENSETBL45[[#This Row],[QTY]]*EXPENSETBL45[[#This Row],[$/UOM]])," ")</f>
        <v>-1959.75</v>
      </c>
      <c r="Q367" s="409"/>
      <c r="R367" s="409"/>
      <c r="S367" s="507"/>
      <c r="T367" s="507"/>
      <c r="U367" s="507"/>
      <c r="V367" s="507"/>
      <c r="W367" s="507"/>
      <c r="X367" s="507"/>
      <c r="Y367" s="507"/>
      <c r="Z367" s="507"/>
      <c r="AA367" s="507"/>
      <c r="AB367" s="507"/>
    </row>
    <row r="368" spans="2:28" x14ac:dyDescent="0.25">
      <c r="B368" s="92" t="s">
        <v>20</v>
      </c>
      <c r="C368" s="92" t="s">
        <v>80</v>
      </c>
      <c r="D368" s="92" t="s">
        <v>280</v>
      </c>
      <c r="E368" s="92">
        <f>IFERROR(VLOOKUP(EXPENSETBL45[[#This Row],[FIELD]],FFTBL[[Field]:[Acres]],2,FALSE),"-")</f>
        <v>78.900000000000006</v>
      </c>
      <c r="F368" s="92" t="s">
        <v>320</v>
      </c>
      <c r="G368" s="92" t="s">
        <v>297</v>
      </c>
      <c r="H368" s="92" t="s">
        <v>371</v>
      </c>
      <c r="I368" s="92" t="str">
        <f>IFERROR(VLOOKUP(EXPENSETBL45[[#This Row],[OPERATION]],OPERATIONCOST,2,FALSE)," ")</f>
        <v>ACRE</v>
      </c>
      <c r="J368" s="409">
        <f>IFERROR(VLOOKUP(EXPENSETBL45[[#This Row],[OPERATION]],OPERATIONCOST,3,FALSE)," ")</f>
        <v>-25</v>
      </c>
      <c r="K368" s="92">
        <f>IF(EXPENSETBL45[[#This Row],[UOM]]="acre",EXPENSETBL45[[#This Row],[ACRES]]," ")</f>
        <v>78.900000000000006</v>
      </c>
      <c r="L368" s="410">
        <f t="shared" si="23"/>
        <v>1</v>
      </c>
      <c r="M368" s="410">
        <f t="shared" si="24"/>
        <v>0</v>
      </c>
      <c r="N368" s="409">
        <f>IFERROR((EXPENSETBL45[[#This Row],[MCC.ENT]]*EXPENSETBL45[[#This Row],[TOTAL]])," ")</f>
        <v>-1972.5000000000002</v>
      </c>
      <c r="O368" s="409">
        <f>IFERROR((EXPENSETBL45[[#This Row],[L.L.]]*EXPENSETBL45[[#This Row],[TOTAL]])," ")</f>
        <v>0</v>
      </c>
      <c r="P368" s="409">
        <f>IFERROR((EXPENSETBL45[[#This Row],[QTY]]*EXPENSETBL45[[#This Row],[$/UOM]])," ")</f>
        <v>-1972.5000000000002</v>
      </c>
      <c r="Q368" s="409"/>
      <c r="R368" s="409"/>
      <c r="S368" s="507"/>
      <c r="T368" s="507"/>
      <c r="U368" s="507"/>
      <c r="V368" s="507"/>
      <c r="W368" s="507"/>
      <c r="X368" s="507"/>
      <c r="Y368" s="507"/>
      <c r="Z368" s="507"/>
      <c r="AA368" s="507"/>
      <c r="AB368" s="507"/>
    </row>
    <row r="369" spans="2:28" x14ac:dyDescent="0.25">
      <c r="B369" s="92" t="s">
        <v>74</v>
      </c>
      <c r="C369" s="92" t="s">
        <v>21</v>
      </c>
      <c r="D369" s="92" t="s">
        <v>149</v>
      </c>
      <c r="E369" s="92">
        <f>IFERROR(VLOOKUP(EXPENSETBL45[[#This Row],[FIELD]],FFTBL[[Field]:[Acres]],2,FALSE),"-")</f>
        <v>78.599999999999994</v>
      </c>
      <c r="F369" s="92" t="s">
        <v>320</v>
      </c>
      <c r="G369" s="92" t="s">
        <v>297</v>
      </c>
      <c r="H369" s="92" t="s">
        <v>379</v>
      </c>
      <c r="I369" s="92" t="str">
        <f>IFERROR(VLOOKUP(EXPENSETBL45[[#This Row],[OPERATION]],OPERATIONCOST,2,FALSE)," ")</f>
        <v>ACRE</v>
      </c>
      <c r="J369" s="409">
        <f>IFERROR(VLOOKUP(EXPENSETBL45[[#This Row],[OPERATION]],OPERATIONCOST,3,FALSE)," ")</f>
        <v>-45</v>
      </c>
      <c r="K369" s="92">
        <f>IF(EXPENSETBL45[[#This Row],[UOM]]="acre",EXPENSETBL45[[#This Row],[ACRES]]," ")</f>
        <v>78.599999999999994</v>
      </c>
      <c r="L369" s="410">
        <f t="shared" si="23"/>
        <v>1</v>
      </c>
      <c r="M369" s="410">
        <f t="shared" si="24"/>
        <v>0</v>
      </c>
      <c r="N369" s="409">
        <f>IFERROR((EXPENSETBL45[[#This Row],[MCC.ENT]]*EXPENSETBL45[[#This Row],[TOTAL]])," ")</f>
        <v>-3536.9999999999995</v>
      </c>
      <c r="O369" s="409">
        <f>IFERROR((EXPENSETBL45[[#This Row],[L.L.]]*EXPENSETBL45[[#This Row],[TOTAL]])," ")</f>
        <v>0</v>
      </c>
      <c r="P369" s="409">
        <f>IFERROR((EXPENSETBL45[[#This Row],[QTY]]*EXPENSETBL45[[#This Row],[$/UOM]])," ")</f>
        <v>-3536.9999999999995</v>
      </c>
      <c r="Q369" s="409"/>
      <c r="R369" s="409"/>
      <c r="S369" s="507"/>
      <c r="T369" s="507"/>
      <c r="U369" s="507"/>
      <c r="V369" s="507"/>
      <c r="W369" s="507"/>
      <c r="X369" s="507"/>
      <c r="Y369" s="507"/>
      <c r="Z369" s="507"/>
      <c r="AA369" s="507"/>
      <c r="AB369" s="507"/>
    </row>
    <row r="370" spans="2:28" x14ac:dyDescent="0.25">
      <c r="B370" s="92" t="s">
        <v>74</v>
      </c>
      <c r="C370" s="92" t="s">
        <v>21</v>
      </c>
      <c r="D370" s="92" t="s">
        <v>163</v>
      </c>
      <c r="E370" s="92">
        <f>IFERROR(VLOOKUP(EXPENSETBL45[[#This Row],[FIELD]],FFTBL[[Field]:[Acres]],2,FALSE),"-")</f>
        <v>80.09</v>
      </c>
      <c r="F370" s="92" t="s">
        <v>320</v>
      </c>
      <c r="G370" s="92" t="s">
        <v>297</v>
      </c>
      <c r="H370" s="92" t="s">
        <v>379</v>
      </c>
      <c r="I370" s="92" t="str">
        <f>IFERROR(VLOOKUP(EXPENSETBL45[[#This Row],[OPERATION]],OPERATIONCOST,2,FALSE)," ")</f>
        <v>ACRE</v>
      </c>
      <c r="J370" s="409">
        <f>IFERROR(VLOOKUP(EXPENSETBL45[[#This Row],[OPERATION]],OPERATIONCOST,3,FALSE)," ")</f>
        <v>-45</v>
      </c>
      <c r="K370" s="92">
        <f>IF(EXPENSETBL45[[#This Row],[UOM]]="acre",EXPENSETBL45[[#This Row],[ACRES]]," ")</f>
        <v>80.09</v>
      </c>
      <c r="L370" s="410">
        <f t="shared" si="23"/>
        <v>1</v>
      </c>
      <c r="M370" s="410">
        <f t="shared" si="24"/>
        <v>0</v>
      </c>
      <c r="N370" s="409">
        <f>IFERROR((EXPENSETBL45[[#This Row],[MCC.ENT]]*EXPENSETBL45[[#This Row],[TOTAL]])," ")</f>
        <v>-3604.05</v>
      </c>
      <c r="O370" s="409">
        <f>IFERROR((EXPENSETBL45[[#This Row],[L.L.]]*EXPENSETBL45[[#This Row],[TOTAL]])," ")</f>
        <v>0</v>
      </c>
      <c r="P370" s="409">
        <f>IFERROR((EXPENSETBL45[[#This Row],[QTY]]*EXPENSETBL45[[#This Row],[$/UOM]])," ")</f>
        <v>-3604.05</v>
      </c>
      <c r="Q370" s="409"/>
      <c r="R370" s="409"/>
      <c r="S370" s="507"/>
      <c r="T370" s="507"/>
      <c r="U370" s="507"/>
      <c r="V370" s="507"/>
      <c r="W370" s="507"/>
      <c r="X370" s="507"/>
      <c r="Y370" s="507"/>
      <c r="Z370" s="507"/>
      <c r="AA370" s="507"/>
      <c r="AB370" s="507"/>
    </row>
    <row r="371" spans="2:28" x14ac:dyDescent="0.25">
      <c r="B371" s="668" t="s">
        <v>20</v>
      </c>
      <c r="C371" s="668" t="s">
        <v>26</v>
      </c>
      <c r="D371" s="668" t="s">
        <v>639</v>
      </c>
      <c r="E371" s="92" t="str">
        <f>IFERROR(VLOOKUP(EXPENSETBL45[[#This Row],[FIELD]],FFTBL[[Field]:[Acres]],2,FALSE),"-")</f>
        <v>-</v>
      </c>
      <c r="F371" s="92" t="s">
        <v>320</v>
      </c>
      <c r="G371" s="92" t="s">
        <v>297</v>
      </c>
      <c r="H371" s="92" t="s">
        <v>379</v>
      </c>
      <c r="I371" s="92" t="str">
        <f>IFERROR(VLOOKUP(EXPENSETBL45[[#This Row],[OPERATION]],OPERATIONCOST,2,FALSE)," ")</f>
        <v>ACRE</v>
      </c>
      <c r="J371" s="409">
        <f>IFERROR(VLOOKUP(EXPENSETBL45[[#This Row],[OPERATION]],OPERATIONCOST,3,FALSE)," ")</f>
        <v>-45</v>
      </c>
      <c r="K371" s="92" t="str">
        <f>IF(EXPENSETBL45[[#This Row],[UOM]]="acre",EXPENSETBL45[[#This Row],[ACRES]]," ")</f>
        <v>-</v>
      </c>
      <c r="L371" s="410">
        <f t="shared" si="23"/>
        <v>1</v>
      </c>
      <c r="M371" s="410">
        <f t="shared" si="24"/>
        <v>0</v>
      </c>
      <c r="N371" s="409" t="str">
        <f>IFERROR((EXPENSETBL45[[#This Row],[MCC.ENT]]*EXPENSETBL45[[#This Row],[TOTAL]])," ")</f>
        <v xml:space="preserve"> </v>
      </c>
      <c r="O371" s="409" t="str">
        <f>IFERROR((EXPENSETBL45[[#This Row],[L.L.]]*EXPENSETBL45[[#This Row],[TOTAL]])," ")</f>
        <v xml:space="preserve"> </v>
      </c>
      <c r="P371" s="409" t="str">
        <f>IFERROR((EXPENSETBL45[[#This Row],[QTY]]*EXPENSETBL45[[#This Row],[$/UOM]])," ")</f>
        <v xml:space="preserve"> </v>
      </c>
      <c r="Q371" s="409"/>
      <c r="R371" s="409"/>
      <c r="S371" s="507"/>
      <c r="T371" s="507"/>
      <c r="U371" s="507"/>
      <c r="V371" s="507"/>
      <c r="W371" s="507"/>
      <c r="X371" s="507"/>
      <c r="Y371" s="507"/>
      <c r="Z371" s="507"/>
      <c r="AA371" s="507"/>
      <c r="AB371" s="507"/>
    </row>
    <row r="372" spans="2:28" x14ac:dyDescent="0.25">
      <c r="B372" s="414" t="s">
        <v>20</v>
      </c>
      <c r="C372" s="414" t="s">
        <v>26</v>
      </c>
      <c r="D372" s="414" t="s">
        <v>640</v>
      </c>
      <c r="E372" s="92" t="str">
        <f>IFERROR(VLOOKUP(EXPENSETBL45[[#This Row],[FIELD]],FFTBL[[Field]:[Acres]],2,FALSE),"-")</f>
        <v>-</v>
      </c>
      <c r="F372" s="92" t="s">
        <v>320</v>
      </c>
      <c r="G372" s="92" t="s">
        <v>297</v>
      </c>
      <c r="H372" s="92" t="s">
        <v>379</v>
      </c>
      <c r="I372" s="92" t="str">
        <f>IFERROR(VLOOKUP(EXPENSETBL45[[#This Row],[OPERATION]],OPERATIONCOST,2,FALSE)," ")</f>
        <v>ACRE</v>
      </c>
      <c r="J372" s="409">
        <f>IFERROR(VLOOKUP(EXPENSETBL45[[#This Row],[OPERATION]],OPERATIONCOST,3,FALSE)," ")</f>
        <v>-45</v>
      </c>
      <c r="K372" s="92" t="str">
        <f>IF(EXPENSETBL45[[#This Row],[UOM]]="acre",EXPENSETBL45[[#This Row],[ACRES]]," ")</f>
        <v>-</v>
      </c>
      <c r="L372" s="410">
        <f t="shared" si="23"/>
        <v>1</v>
      </c>
      <c r="M372" s="410">
        <f t="shared" si="24"/>
        <v>0</v>
      </c>
      <c r="N372" s="409" t="str">
        <f>IFERROR((EXPENSETBL45[[#This Row],[MCC.ENT]]*EXPENSETBL45[[#This Row],[TOTAL]])," ")</f>
        <v xml:space="preserve"> </v>
      </c>
      <c r="O372" s="409" t="str">
        <f>IFERROR((EXPENSETBL45[[#This Row],[L.L.]]*EXPENSETBL45[[#This Row],[TOTAL]])," ")</f>
        <v xml:space="preserve"> </v>
      </c>
      <c r="P372" s="409" t="str">
        <f>IFERROR((EXPENSETBL45[[#This Row],[QTY]]*EXPENSETBL45[[#This Row],[$/UOM]])," ")</f>
        <v xml:space="preserve"> </v>
      </c>
      <c r="Q372" s="409"/>
      <c r="R372" s="409"/>
      <c r="S372" s="507"/>
      <c r="T372" s="507"/>
      <c r="U372" s="507"/>
      <c r="V372" s="507"/>
      <c r="W372" s="507"/>
      <c r="X372" s="507"/>
      <c r="Y372" s="507"/>
      <c r="Z372" s="507"/>
      <c r="AA372" s="507"/>
      <c r="AB372" s="507"/>
    </row>
    <row r="373" spans="2:28" x14ac:dyDescent="0.25">
      <c r="B373" s="92" t="s">
        <v>20</v>
      </c>
      <c r="C373" s="92" t="s">
        <v>28</v>
      </c>
      <c r="D373" s="92" t="s">
        <v>218</v>
      </c>
      <c r="E373" s="92">
        <f>IFERROR(VLOOKUP(EXPENSETBL45[[#This Row],[FIELD]],FFTBL[[Field]:[Acres]],2,FALSE),"-")</f>
        <v>79.3</v>
      </c>
      <c r="F373" s="92" t="s">
        <v>320</v>
      </c>
      <c r="G373" s="92" t="s">
        <v>297</v>
      </c>
      <c r="H373" s="92" t="s">
        <v>379</v>
      </c>
      <c r="I373" s="92" t="str">
        <f>IFERROR(VLOOKUP(EXPENSETBL45[[#This Row],[OPERATION]],OPERATIONCOST,2,FALSE)," ")</f>
        <v>ACRE</v>
      </c>
      <c r="J373" s="409">
        <f>IFERROR(VLOOKUP(EXPENSETBL45[[#This Row],[OPERATION]],OPERATIONCOST,3,FALSE)," ")</f>
        <v>-45</v>
      </c>
      <c r="K373" s="92">
        <f>IF(EXPENSETBL45[[#This Row],[UOM]]="acre",EXPENSETBL45[[#This Row],[ACRES]]," ")</f>
        <v>79.3</v>
      </c>
      <c r="L373" s="410">
        <f t="shared" si="23"/>
        <v>1</v>
      </c>
      <c r="M373" s="410">
        <f t="shared" si="24"/>
        <v>0</v>
      </c>
      <c r="N373" s="409">
        <f>IFERROR((EXPENSETBL45[[#This Row],[MCC.ENT]]*EXPENSETBL45[[#This Row],[TOTAL]])," ")</f>
        <v>-3568.5</v>
      </c>
      <c r="O373" s="409">
        <f>IFERROR((EXPENSETBL45[[#This Row],[L.L.]]*EXPENSETBL45[[#This Row],[TOTAL]])," ")</f>
        <v>0</v>
      </c>
      <c r="P373" s="409">
        <f>IFERROR((EXPENSETBL45[[#This Row],[QTY]]*EXPENSETBL45[[#This Row],[$/UOM]])," ")</f>
        <v>-3568.5</v>
      </c>
      <c r="Q373" s="409"/>
      <c r="R373" s="409"/>
      <c r="S373" s="507"/>
      <c r="T373" s="507"/>
      <c r="U373" s="507"/>
      <c r="V373" s="507"/>
      <c r="W373" s="507"/>
      <c r="X373" s="507"/>
      <c r="Y373" s="507"/>
      <c r="Z373" s="507"/>
      <c r="AA373" s="507"/>
      <c r="AB373" s="507"/>
    </row>
    <row r="374" spans="2:28" x14ac:dyDescent="0.25">
      <c r="B374" s="92" t="s">
        <v>20</v>
      </c>
      <c r="C374" s="92" t="s">
        <v>32</v>
      </c>
      <c r="D374" s="92" t="s">
        <v>239</v>
      </c>
      <c r="E374" s="92">
        <f>IFERROR(VLOOKUP(EXPENSETBL45[[#This Row],[FIELD]],FFTBL[[Field]:[Acres]],2,FALSE),"-")</f>
        <v>79.099999999999994</v>
      </c>
      <c r="F374" s="92" t="s">
        <v>320</v>
      </c>
      <c r="G374" s="92" t="s">
        <v>297</v>
      </c>
      <c r="H374" s="92" t="s">
        <v>379</v>
      </c>
      <c r="I374" s="92" t="str">
        <f>IFERROR(VLOOKUP(EXPENSETBL45[[#This Row],[OPERATION]],OPERATIONCOST,2,FALSE)," ")</f>
        <v>ACRE</v>
      </c>
      <c r="J374" s="409">
        <f>IFERROR(VLOOKUP(EXPENSETBL45[[#This Row],[OPERATION]],OPERATIONCOST,3,FALSE)," ")</f>
        <v>-45</v>
      </c>
      <c r="K374" s="92">
        <f>IF(EXPENSETBL45[[#This Row],[UOM]]="acre",EXPENSETBL45[[#This Row],[ACRES]]," ")</f>
        <v>79.099999999999994</v>
      </c>
      <c r="L374" s="410">
        <f t="shared" ref="L374:L384" si="25">IF(G374="SPLIT",0.65,1)</f>
        <v>1</v>
      </c>
      <c r="M374" s="410">
        <f t="shared" ref="M374:M384" si="26">IF(G374="SPLIT",0.35,0)</f>
        <v>0</v>
      </c>
      <c r="N374" s="409">
        <f>IFERROR((EXPENSETBL45[[#This Row],[MCC.ENT]]*EXPENSETBL45[[#This Row],[TOTAL]])," ")</f>
        <v>-3559.4999999999995</v>
      </c>
      <c r="O374" s="409">
        <f>IFERROR((EXPENSETBL45[[#This Row],[L.L.]]*EXPENSETBL45[[#This Row],[TOTAL]])," ")</f>
        <v>0</v>
      </c>
      <c r="P374" s="409">
        <f>IFERROR((EXPENSETBL45[[#This Row],[QTY]]*EXPENSETBL45[[#This Row],[$/UOM]])," ")</f>
        <v>-3559.4999999999995</v>
      </c>
      <c r="Q374" s="409"/>
      <c r="R374" s="409"/>
      <c r="S374" s="507"/>
      <c r="T374" s="507"/>
      <c r="U374" s="507"/>
      <c r="V374" s="507"/>
      <c r="W374" s="507"/>
      <c r="X374" s="507"/>
      <c r="Y374" s="507"/>
      <c r="Z374" s="507"/>
      <c r="AA374" s="507"/>
      <c r="AB374" s="507"/>
    </row>
    <row r="375" spans="2:28" x14ac:dyDescent="0.25">
      <c r="B375" s="92" t="s">
        <v>20</v>
      </c>
      <c r="C375" s="92" t="s">
        <v>32</v>
      </c>
      <c r="D375" s="92" t="s">
        <v>247</v>
      </c>
      <c r="E375" s="92">
        <f>IFERROR(VLOOKUP(EXPENSETBL45[[#This Row],[FIELD]],FFTBL[[Field]:[Acres]],2,FALSE),"-")</f>
        <v>77.5</v>
      </c>
      <c r="F375" s="92" t="s">
        <v>320</v>
      </c>
      <c r="G375" s="92" t="s">
        <v>297</v>
      </c>
      <c r="H375" s="92" t="s">
        <v>379</v>
      </c>
      <c r="I375" s="92" t="str">
        <f>IFERROR(VLOOKUP(EXPENSETBL45[[#This Row],[OPERATION]],OPERATIONCOST,2,FALSE)," ")</f>
        <v>ACRE</v>
      </c>
      <c r="J375" s="409">
        <f>IFERROR(VLOOKUP(EXPENSETBL45[[#This Row],[OPERATION]],OPERATIONCOST,3,FALSE)," ")</f>
        <v>-45</v>
      </c>
      <c r="K375" s="92">
        <f>IF(EXPENSETBL45[[#This Row],[UOM]]="acre",EXPENSETBL45[[#This Row],[ACRES]]," ")</f>
        <v>77.5</v>
      </c>
      <c r="L375" s="410">
        <f t="shared" si="25"/>
        <v>1</v>
      </c>
      <c r="M375" s="410">
        <f t="shared" si="26"/>
        <v>0</v>
      </c>
      <c r="N375" s="409">
        <f>IFERROR((EXPENSETBL45[[#This Row],[MCC.ENT]]*EXPENSETBL45[[#This Row],[TOTAL]])," ")</f>
        <v>-3487.5</v>
      </c>
      <c r="O375" s="409">
        <f>IFERROR((EXPENSETBL45[[#This Row],[L.L.]]*EXPENSETBL45[[#This Row],[TOTAL]])," ")</f>
        <v>0</v>
      </c>
      <c r="P375" s="409">
        <f>IFERROR((EXPENSETBL45[[#This Row],[QTY]]*EXPENSETBL45[[#This Row],[$/UOM]])," ")</f>
        <v>-3487.5</v>
      </c>
      <c r="Q375" s="409"/>
      <c r="R375" s="409"/>
      <c r="S375" s="507"/>
      <c r="T375" s="507"/>
      <c r="U375" s="507"/>
      <c r="V375" s="507"/>
      <c r="W375" s="507"/>
      <c r="X375" s="507"/>
      <c r="Y375" s="507"/>
      <c r="Z375" s="507"/>
      <c r="AA375" s="507"/>
      <c r="AB375" s="507"/>
    </row>
    <row r="376" spans="2:28" x14ac:dyDescent="0.25">
      <c r="B376" s="92" t="s">
        <v>20</v>
      </c>
      <c r="C376" s="92" t="s">
        <v>32</v>
      </c>
      <c r="D376" s="92" t="s">
        <v>96</v>
      </c>
      <c r="E376" s="92">
        <f>IFERROR(VLOOKUP(EXPENSETBL45[[#This Row],[FIELD]],FFTBL[[Field]:[Acres]],2,FALSE),"-")</f>
        <v>117.25</v>
      </c>
      <c r="F376" s="92" t="s">
        <v>320</v>
      </c>
      <c r="G376" s="92" t="s">
        <v>297</v>
      </c>
      <c r="H376" s="92" t="s">
        <v>379</v>
      </c>
      <c r="I376" s="92" t="str">
        <f>IFERROR(VLOOKUP(EXPENSETBL45[[#This Row],[OPERATION]],OPERATIONCOST,2,FALSE)," ")</f>
        <v>ACRE</v>
      </c>
      <c r="J376" s="409">
        <f>IFERROR(VLOOKUP(EXPENSETBL45[[#This Row],[OPERATION]],OPERATIONCOST,3,FALSE)," ")</f>
        <v>-45</v>
      </c>
      <c r="K376" s="92">
        <f>IF(EXPENSETBL45[[#This Row],[UOM]]="acre",EXPENSETBL45[[#This Row],[ACRES]]," ")</f>
        <v>117.25</v>
      </c>
      <c r="L376" s="410">
        <f t="shared" si="25"/>
        <v>1</v>
      </c>
      <c r="M376" s="410">
        <f t="shared" si="26"/>
        <v>0</v>
      </c>
      <c r="N376" s="409">
        <f>IFERROR((EXPENSETBL45[[#This Row],[MCC.ENT]]*EXPENSETBL45[[#This Row],[TOTAL]])," ")</f>
        <v>-5276.25</v>
      </c>
      <c r="O376" s="409">
        <f>IFERROR((EXPENSETBL45[[#This Row],[L.L.]]*EXPENSETBL45[[#This Row],[TOTAL]])," ")</f>
        <v>0</v>
      </c>
      <c r="P376" s="409">
        <f>IFERROR((EXPENSETBL45[[#This Row],[QTY]]*EXPENSETBL45[[#This Row],[$/UOM]])," ")</f>
        <v>-5276.25</v>
      </c>
      <c r="Q376" s="409"/>
      <c r="R376" s="409"/>
      <c r="S376" s="507"/>
      <c r="T376" s="507"/>
      <c r="U376" s="507"/>
      <c r="V376" s="507"/>
      <c r="W376" s="507"/>
      <c r="X376" s="507"/>
      <c r="Y376" s="507"/>
      <c r="Z376" s="507"/>
      <c r="AA376" s="507"/>
      <c r="AB376" s="507"/>
    </row>
    <row r="377" spans="2:28" x14ac:dyDescent="0.25">
      <c r="B377" s="92" t="s">
        <v>20</v>
      </c>
      <c r="C377" s="92" t="s">
        <v>32</v>
      </c>
      <c r="D377" s="92" t="s">
        <v>250</v>
      </c>
      <c r="E377" s="92">
        <f>IFERROR(VLOOKUP(EXPENSETBL45[[#This Row],[FIELD]],FFTBL[[Field]:[Acres]],2,FALSE),"-")</f>
        <v>68.260000000000005</v>
      </c>
      <c r="F377" s="92" t="s">
        <v>320</v>
      </c>
      <c r="G377" s="92" t="s">
        <v>297</v>
      </c>
      <c r="H377" s="92" t="s">
        <v>379</v>
      </c>
      <c r="I377" s="92" t="str">
        <f>IFERROR(VLOOKUP(EXPENSETBL45[[#This Row],[OPERATION]],OPERATIONCOST,2,FALSE)," ")</f>
        <v>ACRE</v>
      </c>
      <c r="J377" s="409">
        <f>IFERROR(VLOOKUP(EXPENSETBL45[[#This Row],[OPERATION]],OPERATIONCOST,3,FALSE)," ")</f>
        <v>-45</v>
      </c>
      <c r="K377" s="92">
        <f>IF(EXPENSETBL45[[#This Row],[UOM]]="acre",EXPENSETBL45[[#This Row],[ACRES]]," ")</f>
        <v>68.260000000000005</v>
      </c>
      <c r="L377" s="410">
        <f t="shared" si="25"/>
        <v>1</v>
      </c>
      <c r="M377" s="410">
        <f t="shared" si="26"/>
        <v>0</v>
      </c>
      <c r="N377" s="409">
        <f>IFERROR((EXPENSETBL45[[#This Row],[MCC.ENT]]*EXPENSETBL45[[#This Row],[TOTAL]])," ")</f>
        <v>-3071.7000000000003</v>
      </c>
      <c r="O377" s="409">
        <f>IFERROR((EXPENSETBL45[[#This Row],[L.L.]]*EXPENSETBL45[[#This Row],[TOTAL]])," ")</f>
        <v>0</v>
      </c>
      <c r="P377" s="409">
        <f>IFERROR((EXPENSETBL45[[#This Row],[QTY]]*EXPENSETBL45[[#This Row],[$/UOM]])," ")</f>
        <v>-3071.7000000000003</v>
      </c>
      <c r="Q377" s="409"/>
      <c r="R377" s="409"/>
      <c r="S377" s="507"/>
      <c r="T377" s="507"/>
      <c r="U377" s="507"/>
      <c r="V377" s="507"/>
      <c r="W377" s="507"/>
      <c r="X377" s="507"/>
      <c r="Y377" s="507"/>
      <c r="Z377" s="507"/>
      <c r="AA377" s="507"/>
      <c r="AB377" s="507"/>
    </row>
    <row r="378" spans="2:28" x14ac:dyDescent="0.25">
      <c r="B378" s="92" t="s">
        <v>20</v>
      </c>
      <c r="C378" s="92" t="s">
        <v>35</v>
      </c>
      <c r="D378" s="92" t="s">
        <v>258</v>
      </c>
      <c r="E378" s="92">
        <f>IFERROR(VLOOKUP(EXPENSETBL45[[#This Row],[FIELD]],FFTBL[[Field]:[Acres]],2,FALSE),"-")</f>
        <v>25.67</v>
      </c>
      <c r="F378" s="92" t="s">
        <v>320</v>
      </c>
      <c r="G378" s="92" t="s">
        <v>297</v>
      </c>
      <c r="H378" s="92" t="s">
        <v>379</v>
      </c>
      <c r="I378" s="92" t="str">
        <f>IFERROR(VLOOKUP(EXPENSETBL45[[#This Row],[OPERATION]],OPERATIONCOST,2,FALSE)," ")</f>
        <v>ACRE</v>
      </c>
      <c r="J378" s="409">
        <f>IFERROR(VLOOKUP(EXPENSETBL45[[#This Row],[OPERATION]],OPERATIONCOST,3,FALSE)," ")</f>
        <v>-45</v>
      </c>
      <c r="K378" s="92">
        <f>IF(EXPENSETBL45[[#This Row],[UOM]]="acre",EXPENSETBL45[[#This Row],[ACRES]]," ")</f>
        <v>25.67</v>
      </c>
      <c r="L378" s="410">
        <f t="shared" si="25"/>
        <v>1</v>
      </c>
      <c r="M378" s="410">
        <f t="shared" si="26"/>
        <v>0</v>
      </c>
      <c r="N378" s="409">
        <f>IFERROR((EXPENSETBL45[[#This Row],[MCC.ENT]]*EXPENSETBL45[[#This Row],[TOTAL]])," ")</f>
        <v>-1155.1500000000001</v>
      </c>
      <c r="O378" s="409">
        <f>IFERROR((EXPENSETBL45[[#This Row],[L.L.]]*EXPENSETBL45[[#This Row],[TOTAL]])," ")</f>
        <v>0</v>
      </c>
      <c r="P378" s="409">
        <f>IFERROR((EXPENSETBL45[[#This Row],[QTY]]*EXPENSETBL45[[#This Row],[$/UOM]])," ")</f>
        <v>-1155.1500000000001</v>
      </c>
      <c r="Q378" s="409"/>
      <c r="R378" s="409"/>
      <c r="S378" s="507"/>
      <c r="T378" s="507"/>
      <c r="U378" s="507"/>
      <c r="V378" s="507"/>
      <c r="W378" s="507"/>
      <c r="X378" s="507"/>
      <c r="Y378" s="507"/>
      <c r="Z378" s="507"/>
      <c r="AA378" s="507"/>
      <c r="AB378" s="507"/>
    </row>
    <row r="379" spans="2:28" x14ac:dyDescent="0.25">
      <c r="B379" s="92" t="s">
        <v>20</v>
      </c>
      <c r="C379" s="92" t="s">
        <v>35</v>
      </c>
      <c r="D379" s="92" t="s">
        <v>259</v>
      </c>
      <c r="E379" s="92">
        <f>IFERROR(VLOOKUP(EXPENSETBL45[[#This Row],[FIELD]],FFTBL[[Field]:[Acres]],2,FALSE),"-")</f>
        <v>49.63</v>
      </c>
      <c r="F379" s="92" t="s">
        <v>320</v>
      </c>
      <c r="G379" s="92" t="s">
        <v>297</v>
      </c>
      <c r="H379" s="92" t="s">
        <v>379</v>
      </c>
      <c r="I379" s="92" t="str">
        <f>IFERROR(VLOOKUP(EXPENSETBL45[[#This Row],[OPERATION]],OPERATIONCOST,2,FALSE)," ")</f>
        <v>ACRE</v>
      </c>
      <c r="J379" s="409">
        <f>IFERROR(VLOOKUP(EXPENSETBL45[[#This Row],[OPERATION]],OPERATIONCOST,3,FALSE)," ")</f>
        <v>-45</v>
      </c>
      <c r="K379" s="92">
        <f>IF(EXPENSETBL45[[#This Row],[UOM]]="acre",EXPENSETBL45[[#This Row],[ACRES]]," ")</f>
        <v>49.63</v>
      </c>
      <c r="L379" s="410">
        <f t="shared" si="25"/>
        <v>1</v>
      </c>
      <c r="M379" s="410">
        <f t="shared" si="26"/>
        <v>0</v>
      </c>
      <c r="N379" s="409">
        <f>IFERROR((EXPENSETBL45[[#This Row],[MCC.ENT]]*EXPENSETBL45[[#This Row],[TOTAL]])," ")</f>
        <v>-2233.35</v>
      </c>
      <c r="O379" s="409">
        <f>IFERROR((EXPENSETBL45[[#This Row],[L.L.]]*EXPENSETBL45[[#This Row],[TOTAL]])," ")</f>
        <v>0</v>
      </c>
      <c r="P379" s="409">
        <f>IFERROR((EXPENSETBL45[[#This Row],[QTY]]*EXPENSETBL45[[#This Row],[$/UOM]])," ")</f>
        <v>-2233.35</v>
      </c>
      <c r="Q379" s="409"/>
      <c r="R379" s="409"/>
      <c r="S379" s="507"/>
      <c r="T379" s="507"/>
      <c r="U379" s="507"/>
      <c r="V379" s="507"/>
      <c r="W379" s="507"/>
      <c r="X379" s="507"/>
      <c r="Y379" s="507"/>
      <c r="Z379" s="507"/>
      <c r="AA379" s="507"/>
      <c r="AB379" s="507"/>
    </row>
    <row r="380" spans="2:28" x14ac:dyDescent="0.25">
      <c r="B380" s="92" t="s">
        <v>20</v>
      </c>
      <c r="C380" s="92" t="s">
        <v>35</v>
      </c>
      <c r="D380" s="92" t="s">
        <v>263</v>
      </c>
      <c r="E380" s="92">
        <f>IFERROR(VLOOKUP(EXPENSETBL45[[#This Row],[FIELD]],FFTBL[[Field]:[Acres]],2,FALSE),"-")</f>
        <v>78.39</v>
      </c>
      <c r="F380" s="92" t="s">
        <v>320</v>
      </c>
      <c r="G380" s="92" t="s">
        <v>297</v>
      </c>
      <c r="H380" s="92" t="s">
        <v>379</v>
      </c>
      <c r="I380" s="92" t="str">
        <f>IFERROR(VLOOKUP(EXPENSETBL45[[#This Row],[OPERATION]],OPERATIONCOST,2,FALSE)," ")</f>
        <v>ACRE</v>
      </c>
      <c r="J380" s="409">
        <f>IFERROR(VLOOKUP(EXPENSETBL45[[#This Row],[OPERATION]],OPERATIONCOST,3,FALSE)," ")</f>
        <v>-45</v>
      </c>
      <c r="K380" s="92">
        <f>IF(EXPENSETBL45[[#This Row],[UOM]]="acre",EXPENSETBL45[[#This Row],[ACRES]]," ")</f>
        <v>78.39</v>
      </c>
      <c r="L380" s="410">
        <f t="shared" si="25"/>
        <v>1</v>
      </c>
      <c r="M380" s="410">
        <f t="shared" si="26"/>
        <v>0</v>
      </c>
      <c r="N380" s="409">
        <f>IFERROR((EXPENSETBL45[[#This Row],[MCC.ENT]]*EXPENSETBL45[[#This Row],[TOTAL]])," ")</f>
        <v>-3527.55</v>
      </c>
      <c r="O380" s="409">
        <f>IFERROR((EXPENSETBL45[[#This Row],[L.L.]]*EXPENSETBL45[[#This Row],[TOTAL]])," ")</f>
        <v>0</v>
      </c>
      <c r="P380" s="409">
        <f>IFERROR((EXPENSETBL45[[#This Row],[QTY]]*EXPENSETBL45[[#This Row],[$/UOM]])," ")</f>
        <v>-3527.55</v>
      </c>
      <c r="Q380" s="409"/>
      <c r="R380" s="409"/>
      <c r="S380" s="507"/>
      <c r="T380" s="507"/>
      <c r="U380" s="507"/>
      <c r="V380" s="507"/>
      <c r="W380" s="507"/>
      <c r="X380" s="507"/>
      <c r="Y380" s="507"/>
      <c r="Z380" s="507"/>
      <c r="AA380" s="507"/>
      <c r="AB380" s="507"/>
    </row>
    <row r="381" spans="2:28" x14ac:dyDescent="0.25">
      <c r="B381" s="92" t="s">
        <v>20</v>
      </c>
      <c r="C381" s="92" t="s">
        <v>80</v>
      </c>
      <c r="D381" s="92" t="s">
        <v>280</v>
      </c>
      <c r="E381" s="92">
        <f>IFERROR(VLOOKUP(EXPENSETBL45[[#This Row],[FIELD]],FFTBL[[Field]:[Acres]],2,FALSE),"-")</f>
        <v>78.900000000000006</v>
      </c>
      <c r="F381" s="92" t="s">
        <v>320</v>
      </c>
      <c r="G381" s="92" t="s">
        <v>297</v>
      </c>
      <c r="H381" s="92" t="s">
        <v>382</v>
      </c>
      <c r="I381" s="92" t="str">
        <f>IFERROR(VLOOKUP(EXPENSETBL45[[#This Row],[OPERATION]],OPERATIONCOST,2,FALSE)," ")</f>
        <v>ACRE</v>
      </c>
      <c r="J381" s="409">
        <f>IFERROR(VLOOKUP(EXPENSETBL45[[#This Row],[OPERATION]],OPERATIONCOST,3,FALSE)," ")</f>
        <v>-44.34</v>
      </c>
      <c r="K381" s="92">
        <f>IF(EXPENSETBL45[[#This Row],[UOM]]="acre",EXPENSETBL45[[#This Row],[ACRES]]," ")</f>
        <v>78.900000000000006</v>
      </c>
      <c r="L381" s="410">
        <f t="shared" si="25"/>
        <v>1</v>
      </c>
      <c r="M381" s="410">
        <f t="shared" si="26"/>
        <v>0</v>
      </c>
      <c r="N381" s="409">
        <f>IFERROR((EXPENSETBL45[[#This Row],[MCC.ENT]]*EXPENSETBL45[[#This Row],[TOTAL]])," ")</f>
        <v>-3498.4260000000004</v>
      </c>
      <c r="O381" s="409">
        <f>IFERROR((EXPENSETBL45[[#This Row],[L.L.]]*EXPENSETBL45[[#This Row],[TOTAL]])," ")</f>
        <v>0</v>
      </c>
      <c r="P381" s="409">
        <f>IFERROR((EXPENSETBL45[[#This Row],[QTY]]*EXPENSETBL45[[#This Row],[$/UOM]])," ")</f>
        <v>-3498.4260000000004</v>
      </c>
      <c r="Q381" s="409"/>
      <c r="R381" s="409"/>
      <c r="S381" s="507"/>
      <c r="T381" s="507"/>
      <c r="U381" s="507"/>
      <c r="V381" s="507"/>
      <c r="W381" s="507"/>
      <c r="X381" s="507"/>
      <c r="Y381" s="507"/>
      <c r="Z381" s="507"/>
      <c r="AA381" s="507"/>
      <c r="AB381" s="507"/>
    </row>
    <row r="382" spans="2:28" x14ac:dyDescent="0.25">
      <c r="B382" s="92" t="s">
        <v>74</v>
      </c>
      <c r="C382" s="92" t="s">
        <v>21</v>
      </c>
      <c r="D382" s="92" t="s">
        <v>149</v>
      </c>
      <c r="E382" s="92">
        <f>IFERROR(VLOOKUP(EXPENSETBL45[[#This Row],[FIELD]],FFTBL[[Field]:[Acres]],2,FALSE),"-")</f>
        <v>78.599999999999994</v>
      </c>
      <c r="F382" s="92" t="s">
        <v>320</v>
      </c>
      <c r="G382" s="92" t="s">
        <v>297</v>
      </c>
      <c r="H382" s="92" t="s">
        <v>382</v>
      </c>
      <c r="I382" s="92" t="str">
        <f>IFERROR(VLOOKUP(EXPENSETBL45[[#This Row],[OPERATION]],OPERATIONCOST,2,FALSE)," ")</f>
        <v>ACRE</v>
      </c>
      <c r="J382" s="409">
        <f>IFERROR(VLOOKUP(EXPENSETBL45[[#This Row],[OPERATION]],OPERATIONCOST,3,FALSE)," ")</f>
        <v>-44.34</v>
      </c>
      <c r="K382" s="92">
        <f>IF(EXPENSETBL45[[#This Row],[UOM]]="acre",EXPENSETBL45[[#This Row],[ACRES]]," ")</f>
        <v>78.599999999999994</v>
      </c>
      <c r="L382" s="410">
        <f t="shared" si="25"/>
        <v>1</v>
      </c>
      <c r="M382" s="410">
        <f t="shared" si="26"/>
        <v>0</v>
      </c>
      <c r="N382" s="409">
        <f>IFERROR((EXPENSETBL45[[#This Row],[MCC.ENT]]*EXPENSETBL45[[#This Row],[TOTAL]])," ")</f>
        <v>-3485.1239999999998</v>
      </c>
      <c r="O382" s="409">
        <f>IFERROR((EXPENSETBL45[[#This Row],[L.L.]]*EXPENSETBL45[[#This Row],[TOTAL]])," ")</f>
        <v>0</v>
      </c>
      <c r="P382" s="409">
        <f>IFERROR((EXPENSETBL45[[#This Row],[QTY]]*EXPENSETBL45[[#This Row],[$/UOM]])," ")</f>
        <v>-3485.1239999999998</v>
      </c>
      <c r="Q382" s="409"/>
      <c r="R382" s="409"/>
      <c r="S382" s="507"/>
      <c r="T382" s="507"/>
      <c r="U382" s="507"/>
      <c r="V382" s="507"/>
      <c r="W382" s="507"/>
      <c r="X382" s="507"/>
      <c r="Y382" s="507"/>
      <c r="Z382" s="507"/>
      <c r="AA382" s="507"/>
      <c r="AB382" s="507"/>
    </row>
    <row r="383" spans="2:28" x14ac:dyDescent="0.25">
      <c r="B383" s="92" t="s">
        <v>74</v>
      </c>
      <c r="C383" s="92" t="s">
        <v>21</v>
      </c>
      <c r="D383" s="92" t="s">
        <v>163</v>
      </c>
      <c r="E383" s="92">
        <f>IFERROR(VLOOKUP(EXPENSETBL45[[#This Row],[FIELD]],FFTBL[[Field]:[Acres]],2,FALSE),"-")</f>
        <v>80.09</v>
      </c>
      <c r="F383" s="92" t="s">
        <v>320</v>
      </c>
      <c r="G383" s="92" t="s">
        <v>297</v>
      </c>
      <c r="H383" s="92" t="s">
        <v>382</v>
      </c>
      <c r="I383" s="92" t="str">
        <f>IFERROR(VLOOKUP(EXPENSETBL45[[#This Row],[OPERATION]],OPERATIONCOST,2,FALSE)," ")</f>
        <v>ACRE</v>
      </c>
      <c r="J383" s="409">
        <f>IFERROR(VLOOKUP(EXPENSETBL45[[#This Row],[OPERATION]],OPERATIONCOST,3,FALSE)," ")</f>
        <v>-44.34</v>
      </c>
      <c r="K383" s="92">
        <f>IF(EXPENSETBL45[[#This Row],[UOM]]="acre",EXPENSETBL45[[#This Row],[ACRES]]," ")</f>
        <v>80.09</v>
      </c>
      <c r="L383" s="410">
        <f t="shared" si="25"/>
        <v>1</v>
      </c>
      <c r="M383" s="410">
        <f t="shared" si="26"/>
        <v>0</v>
      </c>
      <c r="N383" s="409">
        <f>IFERROR((EXPENSETBL45[[#This Row],[MCC.ENT]]*EXPENSETBL45[[#This Row],[TOTAL]])," ")</f>
        <v>-3551.1906000000004</v>
      </c>
      <c r="O383" s="409">
        <f>IFERROR((EXPENSETBL45[[#This Row],[L.L.]]*EXPENSETBL45[[#This Row],[TOTAL]])," ")</f>
        <v>0</v>
      </c>
      <c r="P383" s="409">
        <f>IFERROR((EXPENSETBL45[[#This Row],[QTY]]*EXPENSETBL45[[#This Row],[$/UOM]])," ")</f>
        <v>-3551.1906000000004</v>
      </c>
      <c r="Q383" s="409"/>
      <c r="R383" s="409"/>
      <c r="S383" s="507"/>
      <c r="T383" s="507"/>
      <c r="U383" s="507"/>
      <c r="V383" s="507"/>
      <c r="W383" s="507"/>
      <c r="X383" s="507"/>
      <c r="Y383" s="507"/>
      <c r="Z383" s="507"/>
      <c r="AA383" s="507"/>
      <c r="AB383" s="507"/>
    </row>
    <row r="384" spans="2:28" x14ac:dyDescent="0.25">
      <c r="B384" s="668" t="s">
        <v>20</v>
      </c>
      <c r="C384" s="668" t="s">
        <v>26</v>
      </c>
      <c r="D384" s="668" t="s">
        <v>639</v>
      </c>
      <c r="E384" s="92" t="str">
        <f>IFERROR(VLOOKUP(EXPENSETBL45[[#This Row],[FIELD]],FFTBL[[Field]:[Acres]],2,FALSE),"-")</f>
        <v>-</v>
      </c>
      <c r="F384" s="92" t="s">
        <v>320</v>
      </c>
      <c r="G384" s="92" t="s">
        <v>297</v>
      </c>
      <c r="H384" s="92" t="s">
        <v>382</v>
      </c>
      <c r="I384" s="92" t="str">
        <f>IFERROR(VLOOKUP(EXPENSETBL45[[#This Row],[OPERATION]],OPERATIONCOST,2,FALSE)," ")</f>
        <v>ACRE</v>
      </c>
      <c r="J384" s="409">
        <f>IFERROR(VLOOKUP(EXPENSETBL45[[#This Row],[OPERATION]],OPERATIONCOST,3,FALSE)," ")</f>
        <v>-44.34</v>
      </c>
      <c r="K384" s="92" t="str">
        <f>IF(EXPENSETBL45[[#This Row],[UOM]]="acre",EXPENSETBL45[[#This Row],[ACRES]]," ")</f>
        <v>-</v>
      </c>
      <c r="L384" s="410">
        <f t="shared" si="25"/>
        <v>1</v>
      </c>
      <c r="M384" s="410">
        <f t="shared" si="26"/>
        <v>0</v>
      </c>
      <c r="N384" s="409" t="str">
        <f>IFERROR((EXPENSETBL45[[#This Row],[MCC.ENT]]*EXPENSETBL45[[#This Row],[TOTAL]])," ")</f>
        <v xml:space="preserve"> </v>
      </c>
      <c r="O384" s="409" t="str">
        <f>IFERROR((EXPENSETBL45[[#This Row],[L.L.]]*EXPENSETBL45[[#This Row],[TOTAL]])," ")</f>
        <v xml:space="preserve"> </v>
      </c>
      <c r="P384" s="409" t="str">
        <f>IFERROR((EXPENSETBL45[[#This Row],[QTY]]*EXPENSETBL45[[#This Row],[$/UOM]])," ")</f>
        <v xml:space="preserve"> </v>
      </c>
      <c r="Q384" s="409"/>
      <c r="R384" s="409"/>
      <c r="S384" s="507"/>
      <c r="T384" s="507"/>
      <c r="U384" s="507"/>
      <c r="V384" s="507"/>
      <c r="W384" s="507"/>
      <c r="X384" s="507"/>
      <c r="Y384" s="507"/>
      <c r="Z384" s="507"/>
      <c r="AA384" s="507"/>
      <c r="AB384" s="507"/>
    </row>
    <row r="385" spans="2:28" x14ac:dyDescent="0.25">
      <c r="B385" s="414" t="s">
        <v>20</v>
      </c>
      <c r="C385" s="414" t="s">
        <v>26</v>
      </c>
      <c r="D385" s="414" t="s">
        <v>640</v>
      </c>
      <c r="E385" s="92" t="str">
        <f>IFERROR(VLOOKUP(EXPENSETBL45[[#This Row],[FIELD]],FFTBL[[Field]:[Acres]],2,FALSE),"-")</f>
        <v>-</v>
      </c>
      <c r="F385" s="92" t="s">
        <v>320</v>
      </c>
      <c r="G385" s="92" t="s">
        <v>297</v>
      </c>
      <c r="H385" s="92" t="s">
        <v>382</v>
      </c>
      <c r="I385" s="92" t="str">
        <f>IFERROR(VLOOKUP(EXPENSETBL45[[#This Row],[OPERATION]],OPERATIONCOST,2,FALSE)," ")</f>
        <v>ACRE</v>
      </c>
      <c r="J385" s="409">
        <f>IFERROR(VLOOKUP(EXPENSETBL45[[#This Row],[OPERATION]],OPERATIONCOST,3,FALSE)," ")</f>
        <v>-44.34</v>
      </c>
      <c r="K385" s="92" t="str">
        <f>IF(EXPENSETBL45[[#This Row],[UOM]]="acre",EXPENSETBL45[[#This Row],[ACRES]]," ")</f>
        <v>-</v>
      </c>
      <c r="L385" s="410">
        <f t="shared" ref="L385:L395" si="27">IF(G385="SPLIT",0.65,1)</f>
        <v>1</v>
      </c>
      <c r="M385" s="410">
        <f t="shared" ref="M385:M395" si="28">IF(G385="SPLIT",0.35,0)</f>
        <v>0</v>
      </c>
      <c r="N385" s="409" t="str">
        <f>IFERROR((EXPENSETBL45[[#This Row],[MCC.ENT]]*EXPENSETBL45[[#This Row],[TOTAL]])," ")</f>
        <v xml:space="preserve"> </v>
      </c>
      <c r="O385" s="409" t="str">
        <f>IFERROR((EXPENSETBL45[[#This Row],[L.L.]]*EXPENSETBL45[[#This Row],[TOTAL]])," ")</f>
        <v xml:space="preserve"> </v>
      </c>
      <c r="P385" s="409" t="str">
        <f>IFERROR((EXPENSETBL45[[#This Row],[QTY]]*EXPENSETBL45[[#This Row],[$/UOM]])," ")</f>
        <v xml:space="preserve"> </v>
      </c>
      <c r="Q385" s="409"/>
      <c r="R385" s="409"/>
      <c r="S385" s="507"/>
      <c r="T385" s="507"/>
      <c r="U385" s="507"/>
      <c r="V385" s="507"/>
      <c r="W385" s="507"/>
      <c r="X385" s="507"/>
      <c r="Y385" s="507"/>
      <c r="Z385" s="507"/>
      <c r="AA385" s="507"/>
      <c r="AB385" s="507"/>
    </row>
    <row r="386" spans="2:28" x14ac:dyDescent="0.25">
      <c r="B386" s="92" t="s">
        <v>20</v>
      </c>
      <c r="C386" s="92" t="s">
        <v>28</v>
      </c>
      <c r="D386" s="92" t="s">
        <v>218</v>
      </c>
      <c r="E386" s="92">
        <f>IFERROR(VLOOKUP(EXPENSETBL45[[#This Row],[FIELD]],FFTBL[[Field]:[Acres]],2,FALSE),"-")</f>
        <v>79.3</v>
      </c>
      <c r="F386" s="92" t="s">
        <v>320</v>
      </c>
      <c r="G386" s="92" t="s">
        <v>297</v>
      </c>
      <c r="H386" s="92" t="s">
        <v>382</v>
      </c>
      <c r="I386" s="92" t="str">
        <f>IFERROR(VLOOKUP(EXPENSETBL45[[#This Row],[OPERATION]],OPERATIONCOST,2,FALSE)," ")</f>
        <v>ACRE</v>
      </c>
      <c r="J386" s="409">
        <f>IFERROR(VLOOKUP(EXPENSETBL45[[#This Row],[OPERATION]],OPERATIONCOST,3,FALSE)," ")</f>
        <v>-44.34</v>
      </c>
      <c r="K386" s="92">
        <f>IF(EXPENSETBL45[[#This Row],[UOM]]="acre",EXPENSETBL45[[#This Row],[ACRES]]," ")</f>
        <v>79.3</v>
      </c>
      <c r="L386" s="410">
        <f t="shared" si="27"/>
        <v>1</v>
      </c>
      <c r="M386" s="410">
        <f t="shared" si="28"/>
        <v>0</v>
      </c>
      <c r="N386" s="409">
        <f>IFERROR((EXPENSETBL45[[#This Row],[MCC.ENT]]*EXPENSETBL45[[#This Row],[TOTAL]])," ")</f>
        <v>-3516.1620000000003</v>
      </c>
      <c r="O386" s="409">
        <f>IFERROR((EXPENSETBL45[[#This Row],[L.L.]]*EXPENSETBL45[[#This Row],[TOTAL]])," ")</f>
        <v>0</v>
      </c>
      <c r="P386" s="409">
        <f>IFERROR((EXPENSETBL45[[#This Row],[QTY]]*EXPENSETBL45[[#This Row],[$/UOM]])," ")</f>
        <v>-3516.1620000000003</v>
      </c>
      <c r="Q386" s="409"/>
      <c r="R386" s="409"/>
      <c r="S386" s="507"/>
      <c r="T386" s="507"/>
      <c r="U386" s="507"/>
      <c r="V386" s="507"/>
      <c r="W386" s="507"/>
      <c r="X386" s="507"/>
      <c r="Y386" s="507"/>
      <c r="Z386" s="507"/>
      <c r="AA386" s="507"/>
      <c r="AB386" s="507"/>
    </row>
    <row r="387" spans="2:28" x14ac:dyDescent="0.25">
      <c r="B387" s="92" t="s">
        <v>20</v>
      </c>
      <c r="C387" s="92" t="s">
        <v>32</v>
      </c>
      <c r="D387" s="92" t="s">
        <v>239</v>
      </c>
      <c r="E387" s="92">
        <f>IFERROR(VLOOKUP(EXPENSETBL45[[#This Row],[FIELD]],FFTBL[[Field]:[Acres]],2,FALSE),"-")</f>
        <v>79.099999999999994</v>
      </c>
      <c r="F387" s="92" t="s">
        <v>320</v>
      </c>
      <c r="G387" s="92" t="s">
        <v>297</v>
      </c>
      <c r="H387" s="92" t="s">
        <v>382</v>
      </c>
      <c r="I387" s="92" t="str">
        <f>IFERROR(VLOOKUP(EXPENSETBL45[[#This Row],[OPERATION]],OPERATIONCOST,2,FALSE)," ")</f>
        <v>ACRE</v>
      </c>
      <c r="J387" s="409">
        <f>IFERROR(VLOOKUP(EXPENSETBL45[[#This Row],[OPERATION]],OPERATIONCOST,3,FALSE)," ")</f>
        <v>-44.34</v>
      </c>
      <c r="K387" s="92">
        <f>IF(EXPENSETBL45[[#This Row],[UOM]]="acre",EXPENSETBL45[[#This Row],[ACRES]]," ")</f>
        <v>79.099999999999994</v>
      </c>
      <c r="L387" s="410">
        <f t="shared" si="27"/>
        <v>1</v>
      </c>
      <c r="M387" s="410">
        <f t="shared" si="28"/>
        <v>0</v>
      </c>
      <c r="N387" s="409">
        <f>IFERROR((EXPENSETBL45[[#This Row],[MCC.ENT]]*EXPENSETBL45[[#This Row],[TOTAL]])," ")</f>
        <v>-3507.2939999999999</v>
      </c>
      <c r="O387" s="409">
        <f>IFERROR((EXPENSETBL45[[#This Row],[L.L.]]*EXPENSETBL45[[#This Row],[TOTAL]])," ")</f>
        <v>0</v>
      </c>
      <c r="P387" s="409">
        <f>IFERROR((EXPENSETBL45[[#This Row],[QTY]]*EXPENSETBL45[[#This Row],[$/UOM]])," ")</f>
        <v>-3507.2939999999999</v>
      </c>
      <c r="Q387" s="409"/>
      <c r="R387" s="409"/>
      <c r="S387" s="507"/>
      <c r="T387" s="507"/>
      <c r="U387" s="507"/>
      <c r="V387" s="507"/>
      <c r="W387" s="507"/>
      <c r="X387" s="507"/>
      <c r="Y387" s="507"/>
      <c r="Z387" s="507"/>
      <c r="AA387" s="507"/>
      <c r="AB387" s="507"/>
    </row>
    <row r="388" spans="2:28" x14ac:dyDescent="0.25">
      <c r="B388" s="92" t="s">
        <v>20</v>
      </c>
      <c r="C388" s="92" t="s">
        <v>32</v>
      </c>
      <c r="D388" s="92" t="s">
        <v>247</v>
      </c>
      <c r="E388" s="92">
        <f>IFERROR(VLOOKUP(EXPENSETBL45[[#This Row],[FIELD]],FFTBL[[Field]:[Acres]],2,FALSE),"-")</f>
        <v>77.5</v>
      </c>
      <c r="F388" s="92" t="s">
        <v>320</v>
      </c>
      <c r="G388" s="92" t="s">
        <v>297</v>
      </c>
      <c r="H388" s="92" t="s">
        <v>382</v>
      </c>
      <c r="I388" s="92" t="str">
        <f>IFERROR(VLOOKUP(EXPENSETBL45[[#This Row],[OPERATION]],OPERATIONCOST,2,FALSE)," ")</f>
        <v>ACRE</v>
      </c>
      <c r="J388" s="409">
        <f>IFERROR(VLOOKUP(EXPENSETBL45[[#This Row],[OPERATION]],OPERATIONCOST,3,FALSE)," ")</f>
        <v>-44.34</v>
      </c>
      <c r="K388" s="92">
        <f>IF(EXPENSETBL45[[#This Row],[UOM]]="acre",EXPENSETBL45[[#This Row],[ACRES]]," ")</f>
        <v>77.5</v>
      </c>
      <c r="L388" s="410">
        <f t="shared" si="27"/>
        <v>1</v>
      </c>
      <c r="M388" s="410">
        <f t="shared" si="28"/>
        <v>0</v>
      </c>
      <c r="N388" s="409">
        <f>IFERROR((EXPENSETBL45[[#This Row],[MCC.ENT]]*EXPENSETBL45[[#This Row],[TOTAL]])," ")</f>
        <v>-3436.3500000000004</v>
      </c>
      <c r="O388" s="409">
        <f>IFERROR((EXPENSETBL45[[#This Row],[L.L.]]*EXPENSETBL45[[#This Row],[TOTAL]])," ")</f>
        <v>0</v>
      </c>
      <c r="P388" s="409">
        <f>IFERROR((EXPENSETBL45[[#This Row],[QTY]]*EXPENSETBL45[[#This Row],[$/UOM]])," ")</f>
        <v>-3436.3500000000004</v>
      </c>
      <c r="Q388" s="409"/>
      <c r="R388" s="409"/>
      <c r="S388" s="507"/>
      <c r="T388" s="507"/>
      <c r="U388" s="507"/>
      <c r="V388" s="507"/>
      <c r="W388" s="507"/>
      <c r="X388" s="507"/>
      <c r="Y388" s="507"/>
      <c r="Z388" s="507"/>
      <c r="AA388" s="507"/>
      <c r="AB388" s="507"/>
    </row>
    <row r="389" spans="2:28" x14ac:dyDescent="0.25">
      <c r="B389" s="92" t="s">
        <v>20</v>
      </c>
      <c r="C389" s="92" t="s">
        <v>32</v>
      </c>
      <c r="D389" s="92" t="s">
        <v>96</v>
      </c>
      <c r="E389" s="92">
        <f>IFERROR(VLOOKUP(EXPENSETBL45[[#This Row],[FIELD]],FFTBL[[Field]:[Acres]],2,FALSE),"-")</f>
        <v>117.25</v>
      </c>
      <c r="F389" s="92" t="s">
        <v>320</v>
      </c>
      <c r="G389" s="92" t="s">
        <v>297</v>
      </c>
      <c r="H389" s="92" t="s">
        <v>382</v>
      </c>
      <c r="I389" s="92" t="str">
        <f>IFERROR(VLOOKUP(EXPENSETBL45[[#This Row],[OPERATION]],OPERATIONCOST,2,FALSE)," ")</f>
        <v>ACRE</v>
      </c>
      <c r="J389" s="409">
        <f>IFERROR(VLOOKUP(EXPENSETBL45[[#This Row],[OPERATION]],OPERATIONCOST,3,FALSE)," ")</f>
        <v>-44.34</v>
      </c>
      <c r="K389" s="92">
        <f>IF(EXPENSETBL45[[#This Row],[UOM]]="acre",EXPENSETBL45[[#This Row],[ACRES]]," ")</f>
        <v>117.25</v>
      </c>
      <c r="L389" s="410">
        <f t="shared" si="27"/>
        <v>1</v>
      </c>
      <c r="M389" s="410">
        <f t="shared" si="28"/>
        <v>0</v>
      </c>
      <c r="N389" s="409">
        <f>IFERROR((EXPENSETBL45[[#This Row],[MCC.ENT]]*EXPENSETBL45[[#This Row],[TOTAL]])," ")</f>
        <v>-5198.8650000000007</v>
      </c>
      <c r="O389" s="409">
        <f>IFERROR((EXPENSETBL45[[#This Row],[L.L.]]*EXPENSETBL45[[#This Row],[TOTAL]])," ")</f>
        <v>0</v>
      </c>
      <c r="P389" s="409">
        <f>IFERROR((EXPENSETBL45[[#This Row],[QTY]]*EXPENSETBL45[[#This Row],[$/UOM]])," ")</f>
        <v>-5198.8650000000007</v>
      </c>
      <c r="Q389" s="409"/>
      <c r="R389" s="409"/>
      <c r="S389" s="507"/>
      <c r="T389" s="507"/>
      <c r="U389" s="507"/>
      <c r="V389" s="507"/>
      <c r="W389" s="507"/>
      <c r="X389" s="507"/>
      <c r="Y389" s="507"/>
      <c r="Z389" s="507"/>
      <c r="AA389" s="507"/>
      <c r="AB389" s="507"/>
    </row>
    <row r="390" spans="2:28" x14ac:dyDescent="0.25">
      <c r="B390" s="92" t="s">
        <v>20</v>
      </c>
      <c r="C390" s="92" t="s">
        <v>32</v>
      </c>
      <c r="D390" s="92" t="s">
        <v>250</v>
      </c>
      <c r="E390" s="92">
        <f>IFERROR(VLOOKUP(EXPENSETBL45[[#This Row],[FIELD]],FFTBL[[Field]:[Acres]],2,FALSE),"-")</f>
        <v>68.260000000000005</v>
      </c>
      <c r="F390" s="92" t="s">
        <v>320</v>
      </c>
      <c r="G390" s="92" t="s">
        <v>297</v>
      </c>
      <c r="H390" s="92" t="s">
        <v>382</v>
      </c>
      <c r="I390" s="92" t="str">
        <f>IFERROR(VLOOKUP(EXPENSETBL45[[#This Row],[OPERATION]],OPERATIONCOST,2,FALSE)," ")</f>
        <v>ACRE</v>
      </c>
      <c r="J390" s="409">
        <f>IFERROR(VLOOKUP(EXPENSETBL45[[#This Row],[OPERATION]],OPERATIONCOST,3,FALSE)," ")</f>
        <v>-44.34</v>
      </c>
      <c r="K390" s="92">
        <f>IF(EXPENSETBL45[[#This Row],[UOM]]="acre",EXPENSETBL45[[#This Row],[ACRES]]," ")</f>
        <v>68.260000000000005</v>
      </c>
      <c r="L390" s="410">
        <f t="shared" si="27"/>
        <v>1</v>
      </c>
      <c r="M390" s="410">
        <f t="shared" si="28"/>
        <v>0</v>
      </c>
      <c r="N390" s="409">
        <f>IFERROR((EXPENSETBL45[[#This Row],[MCC.ENT]]*EXPENSETBL45[[#This Row],[TOTAL]])," ")</f>
        <v>-3026.6484000000005</v>
      </c>
      <c r="O390" s="409">
        <f>IFERROR((EXPENSETBL45[[#This Row],[L.L.]]*EXPENSETBL45[[#This Row],[TOTAL]])," ")</f>
        <v>0</v>
      </c>
      <c r="P390" s="409">
        <f>IFERROR((EXPENSETBL45[[#This Row],[QTY]]*EXPENSETBL45[[#This Row],[$/UOM]])," ")</f>
        <v>-3026.6484000000005</v>
      </c>
      <c r="Q390" s="409"/>
      <c r="R390" s="409"/>
      <c r="S390" s="507"/>
      <c r="T390" s="507"/>
      <c r="U390" s="507"/>
      <c r="V390" s="507"/>
      <c r="W390" s="507"/>
      <c r="X390" s="507"/>
      <c r="Y390" s="507"/>
      <c r="Z390" s="507"/>
      <c r="AA390" s="507"/>
      <c r="AB390" s="507"/>
    </row>
    <row r="391" spans="2:28" x14ac:dyDescent="0.25">
      <c r="B391" s="92" t="s">
        <v>20</v>
      </c>
      <c r="C391" s="92" t="s">
        <v>35</v>
      </c>
      <c r="D391" s="92" t="s">
        <v>258</v>
      </c>
      <c r="E391" s="92">
        <f>IFERROR(VLOOKUP(EXPENSETBL45[[#This Row],[FIELD]],FFTBL[[Field]:[Acres]],2,FALSE),"-")</f>
        <v>25.67</v>
      </c>
      <c r="F391" s="92" t="s">
        <v>320</v>
      </c>
      <c r="G391" s="92" t="s">
        <v>297</v>
      </c>
      <c r="H391" s="92" t="s">
        <v>382</v>
      </c>
      <c r="I391" s="92" t="str">
        <f>IFERROR(VLOOKUP(EXPENSETBL45[[#This Row],[OPERATION]],OPERATIONCOST,2,FALSE)," ")</f>
        <v>ACRE</v>
      </c>
      <c r="J391" s="409">
        <f>IFERROR(VLOOKUP(EXPENSETBL45[[#This Row],[OPERATION]],OPERATIONCOST,3,FALSE)," ")</f>
        <v>-44.34</v>
      </c>
      <c r="K391" s="92">
        <f>IF(EXPENSETBL45[[#This Row],[UOM]]="acre",EXPENSETBL45[[#This Row],[ACRES]]," ")</f>
        <v>25.67</v>
      </c>
      <c r="L391" s="410">
        <f t="shared" si="27"/>
        <v>1</v>
      </c>
      <c r="M391" s="410">
        <f t="shared" si="28"/>
        <v>0</v>
      </c>
      <c r="N391" s="409">
        <f>IFERROR((EXPENSETBL45[[#This Row],[MCC.ENT]]*EXPENSETBL45[[#This Row],[TOTAL]])," ")</f>
        <v>-1138.2078000000001</v>
      </c>
      <c r="O391" s="409">
        <f>IFERROR((EXPENSETBL45[[#This Row],[L.L.]]*EXPENSETBL45[[#This Row],[TOTAL]])," ")</f>
        <v>0</v>
      </c>
      <c r="P391" s="409">
        <f>IFERROR((EXPENSETBL45[[#This Row],[QTY]]*EXPENSETBL45[[#This Row],[$/UOM]])," ")</f>
        <v>-1138.2078000000001</v>
      </c>
      <c r="Q391" s="409"/>
      <c r="R391" s="409"/>
      <c r="S391" s="507"/>
      <c r="T391" s="507"/>
      <c r="U391" s="507"/>
      <c r="V391" s="507"/>
      <c r="W391" s="507"/>
      <c r="X391" s="507"/>
      <c r="Y391" s="507"/>
      <c r="Z391" s="507"/>
      <c r="AA391" s="507"/>
      <c r="AB391" s="507"/>
    </row>
    <row r="392" spans="2:28" x14ac:dyDescent="0.25">
      <c r="B392" s="92" t="s">
        <v>20</v>
      </c>
      <c r="C392" s="92" t="s">
        <v>35</v>
      </c>
      <c r="D392" s="92" t="s">
        <v>259</v>
      </c>
      <c r="E392" s="92">
        <f>IFERROR(VLOOKUP(EXPENSETBL45[[#This Row],[FIELD]],FFTBL[[Field]:[Acres]],2,FALSE),"-")</f>
        <v>49.63</v>
      </c>
      <c r="F392" s="92" t="s">
        <v>320</v>
      </c>
      <c r="G392" s="92" t="s">
        <v>297</v>
      </c>
      <c r="H392" s="92" t="s">
        <v>382</v>
      </c>
      <c r="I392" s="92" t="str">
        <f>IFERROR(VLOOKUP(EXPENSETBL45[[#This Row],[OPERATION]],OPERATIONCOST,2,FALSE)," ")</f>
        <v>ACRE</v>
      </c>
      <c r="J392" s="409">
        <f>IFERROR(VLOOKUP(EXPENSETBL45[[#This Row],[OPERATION]],OPERATIONCOST,3,FALSE)," ")</f>
        <v>-44.34</v>
      </c>
      <c r="K392" s="92">
        <f>IF(EXPENSETBL45[[#This Row],[UOM]]="acre",EXPENSETBL45[[#This Row],[ACRES]]," ")</f>
        <v>49.63</v>
      </c>
      <c r="L392" s="410">
        <f t="shared" si="27"/>
        <v>1</v>
      </c>
      <c r="M392" s="410">
        <f t="shared" si="28"/>
        <v>0</v>
      </c>
      <c r="N392" s="409">
        <f>IFERROR((EXPENSETBL45[[#This Row],[MCC.ENT]]*EXPENSETBL45[[#This Row],[TOTAL]])," ")</f>
        <v>-2200.5942000000005</v>
      </c>
      <c r="O392" s="409">
        <f>IFERROR((EXPENSETBL45[[#This Row],[L.L.]]*EXPENSETBL45[[#This Row],[TOTAL]])," ")</f>
        <v>0</v>
      </c>
      <c r="P392" s="409">
        <f>IFERROR((EXPENSETBL45[[#This Row],[QTY]]*EXPENSETBL45[[#This Row],[$/UOM]])," ")</f>
        <v>-2200.5942000000005</v>
      </c>
      <c r="Q392" s="409"/>
      <c r="R392" s="409"/>
      <c r="S392" s="507"/>
      <c r="T392" s="507"/>
      <c r="U392" s="507"/>
      <c r="V392" s="507"/>
      <c r="W392" s="507"/>
      <c r="X392" s="507"/>
      <c r="Y392" s="507"/>
      <c r="Z392" s="507"/>
      <c r="AA392" s="507"/>
      <c r="AB392" s="507"/>
    </row>
    <row r="393" spans="2:28" x14ac:dyDescent="0.25">
      <c r="B393" s="92" t="s">
        <v>20</v>
      </c>
      <c r="C393" s="92" t="s">
        <v>35</v>
      </c>
      <c r="D393" s="92" t="s">
        <v>263</v>
      </c>
      <c r="E393" s="92">
        <f>IFERROR(VLOOKUP(EXPENSETBL45[[#This Row],[FIELD]],FFTBL[[Field]:[Acres]],2,FALSE),"-")</f>
        <v>78.39</v>
      </c>
      <c r="F393" s="92" t="s">
        <v>320</v>
      </c>
      <c r="G393" s="92" t="s">
        <v>297</v>
      </c>
      <c r="H393" s="92" t="s">
        <v>382</v>
      </c>
      <c r="I393" s="92" t="str">
        <f>IFERROR(VLOOKUP(EXPENSETBL45[[#This Row],[OPERATION]],OPERATIONCOST,2,FALSE)," ")</f>
        <v>ACRE</v>
      </c>
      <c r="J393" s="409">
        <f>IFERROR(VLOOKUP(EXPENSETBL45[[#This Row],[OPERATION]],OPERATIONCOST,3,FALSE)," ")</f>
        <v>-44.34</v>
      </c>
      <c r="K393" s="92">
        <f>IF(EXPENSETBL45[[#This Row],[UOM]]="acre",EXPENSETBL45[[#This Row],[ACRES]]," ")</f>
        <v>78.39</v>
      </c>
      <c r="L393" s="410">
        <f t="shared" si="27"/>
        <v>1</v>
      </c>
      <c r="M393" s="410">
        <f t="shared" si="28"/>
        <v>0</v>
      </c>
      <c r="N393" s="409">
        <f>IFERROR((EXPENSETBL45[[#This Row],[MCC.ENT]]*EXPENSETBL45[[#This Row],[TOTAL]])," ")</f>
        <v>-3475.8126000000002</v>
      </c>
      <c r="O393" s="409">
        <f>IFERROR((EXPENSETBL45[[#This Row],[L.L.]]*EXPENSETBL45[[#This Row],[TOTAL]])," ")</f>
        <v>0</v>
      </c>
      <c r="P393" s="409">
        <f>IFERROR((EXPENSETBL45[[#This Row],[QTY]]*EXPENSETBL45[[#This Row],[$/UOM]])," ")</f>
        <v>-3475.8126000000002</v>
      </c>
      <c r="Q393" s="409"/>
      <c r="R393" s="409"/>
      <c r="S393" s="507"/>
      <c r="T393" s="507"/>
      <c r="U393" s="507"/>
      <c r="V393" s="507"/>
      <c r="W393" s="507"/>
      <c r="X393" s="507"/>
      <c r="Y393" s="507"/>
      <c r="Z393" s="507"/>
      <c r="AA393" s="507"/>
      <c r="AB393" s="507"/>
    </row>
    <row r="394" spans="2:28" x14ac:dyDescent="0.25">
      <c r="B394" s="92" t="s">
        <v>20</v>
      </c>
      <c r="C394" s="92" t="s">
        <v>80</v>
      </c>
      <c r="D394" s="92" t="s">
        <v>280</v>
      </c>
      <c r="E394" s="92">
        <f>IFERROR(VLOOKUP(EXPENSETBL45[[#This Row],[FIELD]],FFTBL[[Field]:[Acres]],2,FALSE),"-")</f>
        <v>78.900000000000006</v>
      </c>
      <c r="F394" s="92" t="s">
        <v>320</v>
      </c>
      <c r="G394" s="92" t="s">
        <v>297</v>
      </c>
      <c r="H394" s="92" t="s">
        <v>382</v>
      </c>
      <c r="I394" s="92" t="str">
        <f>IFERROR(VLOOKUP(EXPENSETBL45[[#This Row],[OPERATION]],OPERATIONCOST,2,FALSE)," ")</f>
        <v>ACRE</v>
      </c>
      <c r="J394" s="409">
        <f>IFERROR(VLOOKUP(EXPENSETBL45[[#This Row],[OPERATION]],OPERATIONCOST,3,FALSE)," ")</f>
        <v>-44.34</v>
      </c>
      <c r="K394" s="92">
        <f>IF(EXPENSETBL45[[#This Row],[UOM]]="acre",EXPENSETBL45[[#This Row],[ACRES]]," ")</f>
        <v>78.900000000000006</v>
      </c>
      <c r="L394" s="410">
        <f t="shared" si="27"/>
        <v>1</v>
      </c>
      <c r="M394" s="410">
        <f t="shared" si="28"/>
        <v>0</v>
      </c>
      <c r="N394" s="409">
        <f>IFERROR((EXPENSETBL45[[#This Row],[MCC.ENT]]*EXPENSETBL45[[#This Row],[TOTAL]])," ")</f>
        <v>-3498.4260000000004</v>
      </c>
      <c r="O394" s="409">
        <f>IFERROR((EXPENSETBL45[[#This Row],[L.L.]]*EXPENSETBL45[[#This Row],[TOTAL]])," ")</f>
        <v>0</v>
      </c>
      <c r="P394" s="409">
        <f>IFERROR((EXPENSETBL45[[#This Row],[QTY]]*EXPENSETBL45[[#This Row],[$/UOM]])," ")</f>
        <v>-3498.4260000000004</v>
      </c>
      <c r="Q394" s="409"/>
      <c r="R394" s="409"/>
      <c r="S394" s="507"/>
      <c r="T394" s="507"/>
      <c r="U394" s="507"/>
      <c r="V394" s="507"/>
      <c r="W394" s="507"/>
      <c r="X394" s="507"/>
      <c r="Y394" s="507"/>
      <c r="Z394" s="507"/>
      <c r="AA394" s="507"/>
      <c r="AB394" s="507"/>
    </row>
    <row r="395" spans="2:28" x14ac:dyDescent="0.25">
      <c r="E395" s="92" t="str">
        <f>IFERROR(VLOOKUP(EXPENSETBL45[[#This Row],[FIELD]],FFTBL[[Field]:[Acres]],2,FALSE),"-")</f>
        <v>-</v>
      </c>
      <c r="I395" s="92" t="str">
        <f>IFERROR(VLOOKUP(EXPENSETBL45[[#This Row],[OPERATION]],OPERATIONCOST,2,FALSE)," ")</f>
        <v xml:space="preserve"> </v>
      </c>
      <c r="J395" s="409" t="str">
        <f>IFERROR(VLOOKUP(EXPENSETBL45[[#This Row],[OPERATION]],OPERATIONCOST,3,FALSE)," ")</f>
        <v xml:space="preserve"> </v>
      </c>
      <c r="K395" s="92" t="str">
        <f>IF(EXPENSETBL45[[#This Row],[UOM]]="acre",EXPENSETBL45[[#This Row],[ACRES]]," ")</f>
        <v xml:space="preserve"> </v>
      </c>
      <c r="L395" s="410">
        <f t="shared" si="27"/>
        <v>1</v>
      </c>
      <c r="M395" s="410">
        <f t="shared" si="28"/>
        <v>0</v>
      </c>
      <c r="N395" s="409" t="str">
        <f>IFERROR((EXPENSETBL45[[#This Row],[MCC.ENT]]*EXPENSETBL45[[#This Row],[TOTAL]])," ")</f>
        <v xml:space="preserve"> </v>
      </c>
      <c r="O395" s="409" t="str">
        <f>IFERROR((EXPENSETBL45[[#This Row],[L.L.]]*EXPENSETBL45[[#This Row],[TOTAL]])," ")</f>
        <v xml:space="preserve"> </v>
      </c>
      <c r="P395" s="409" t="str">
        <f>IFERROR((EXPENSETBL45[[#This Row],[QTY]]*EXPENSETBL45[[#This Row],[$/UOM]])," ")</f>
        <v xml:space="preserve"> </v>
      </c>
      <c r="Q395" s="409"/>
      <c r="R395" s="409"/>
      <c r="S395" s="507"/>
      <c r="T395" s="507"/>
      <c r="U395" s="507"/>
      <c r="V395" s="507"/>
      <c r="W395" s="507"/>
      <c r="X395" s="507"/>
      <c r="Y395" s="507"/>
      <c r="Z395" s="507"/>
      <c r="AA395" s="507"/>
      <c r="AB395" s="507"/>
    </row>
    <row r="396" spans="2:28" x14ac:dyDescent="0.25">
      <c r="E396" s="92" t="str">
        <f>IFERROR(VLOOKUP(EXPENSETBL45[[#This Row],[FIELD]],FFTBL[[Field]:[Acres]],2,FALSE),"-")</f>
        <v>-</v>
      </c>
      <c r="I396" s="92" t="str">
        <f>IFERROR(VLOOKUP(EXPENSETBL45[[#This Row],[OPERATION]],OPERATIONCOST,2,FALSE)," ")</f>
        <v xml:space="preserve"> </v>
      </c>
      <c r="J396" s="409" t="str">
        <f>IFERROR(VLOOKUP(EXPENSETBL45[[#This Row],[OPERATION]],OPERATIONCOST,3,FALSE)," ")</f>
        <v xml:space="preserve"> </v>
      </c>
      <c r="K396" s="92" t="str">
        <f>IF(EXPENSETBL45[[#This Row],[UOM]]="acre",EXPENSETBL45[[#This Row],[ACRES]]," ")</f>
        <v xml:space="preserve"> </v>
      </c>
      <c r="L396" s="410">
        <f t="shared" ref="L396:L406" si="29">IF(G396="SPLIT",0.65,1)</f>
        <v>1</v>
      </c>
      <c r="M396" s="410">
        <f t="shared" ref="M396:M406" si="30">IF(G396="SPLIT",0.35,0)</f>
        <v>0</v>
      </c>
      <c r="N396" s="409" t="str">
        <f>IFERROR((EXPENSETBL45[[#This Row],[MCC.ENT]]*EXPENSETBL45[[#This Row],[TOTAL]])," ")</f>
        <v xml:space="preserve"> </v>
      </c>
      <c r="O396" s="409" t="str">
        <f>IFERROR((EXPENSETBL45[[#This Row],[L.L.]]*EXPENSETBL45[[#This Row],[TOTAL]])," ")</f>
        <v xml:space="preserve"> </v>
      </c>
      <c r="P396" s="409" t="str">
        <f>IFERROR((EXPENSETBL45[[#This Row],[QTY]]*EXPENSETBL45[[#This Row],[$/UOM]])," ")</f>
        <v xml:space="preserve"> </v>
      </c>
      <c r="Q396" s="409"/>
      <c r="R396" s="409"/>
      <c r="S396" s="507"/>
      <c r="T396" s="507"/>
      <c r="U396" s="507"/>
      <c r="V396" s="507"/>
      <c r="W396" s="507"/>
      <c r="X396" s="507"/>
      <c r="Y396" s="507"/>
      <c r="Z396" s="507"/>
      <c r="AA396" s="507"/>
      <c r="AB396" s="507"/>
    </row>
    <row r="397" spans="2:28" x14ac:dyDescent="0.25">
      <c r="E397" s="92" t="str">
        <f>IFERROR(VLOOKUP(EXPENSETBL45[[#This Row],[FIELD]],FFTBL[[Field]:[Acres]],2,FALSE),"-")</f>
        <v>-</v>
      </c>
      <c r="I397" s="92" t="str">
        <f>IFERROR(VLOOKUP(EXPENSETBL45[[#This Row],[OPERATION]],OPERATIONCOST,2,FALSE)," ")</f>
        <v xml:space="preserve"> </v>
      </c>
      <c r="J397" s="409" t="str">
        <f>IFERROR(VLOOKUP(EXPENSETBL45[[#This Row],[OPERATION]],OPERATIONCOST,3,FALSE)," ")</f>
        <v xml:space="preserve"> </v>
      </c>
      <c r="K397" s="92" t="str">
        <f>IF(EXPENSETBL45[[#This Row],[UOM]]="acre",EXPENSETBL45[[#This Row],[ACRES]]," ")</f>
        <v xml:space="preserve"> </v>
      </c>
      <c r="L397" s="410">
        <f t="shared" si="29"/>
        <v>1</v>
      </c>
      <c r="M397" s="410">
        <f t="shared" si="30"/>
        <v>0</v>
      </c>
      <c r="N397" s="409" t="str">
        <f>IFERROR((EXPENSETBL45[[#This Row],[MCC.ENT]]*EXPENSETBL45[[#This Row],[TOTAL]])," ")</f>
        <v xml:space="preserve"> </v>
      </c>
      <c r="O397" s="409" t="str">
        <f>IFERROR((EXPENSETBL45[[#This Row],[L.L.]]*EXPENSETBL45[[#This Row],[TOTAL]])," ")</f>
        <v xml:space="preserve"> </v>
      </c>
      <c r="P397" s="409" t="str">
        <f>IFERROR((EXPENSETBL45[[#This Row],[QTY]]*EXPENSETBL45[[#This Row],[$/UOM]])," ")</f>
        <v xml:space="preserve"> </v>
      </c>
      <c r="Q397" s="409"/>
      <c r="R397" s="409"/>
      <c r="S397" s="507"/>
      <c r="T397" s="507"/>
      <c r="U397" s="507"/>
      <c r="V397" s="507"/>
      <c r="W397" s="507"/>
      <c r="X397" s="507"/>
      <c r="Y397" s="507"/>
      <c r="Z397" s="507"/>
      <c r="AA397" s="507"/>
      <c r="AB397" s="507"/>
    </row>
    <row r="398" spans="2:28" x14ac:dyDescent="0.25">
      <c r="E398" s="92" t="str">
        <f>IFERROR(VLOOKUP(EXPENSETBL45[[#This Row],[FIELD]],FFTBL[[Field]:[Acres]],2,FALSE),"-")</f>
        <v>-</v>
      </c>
      <c r="I398" s="92" t="str">
        <f>IFERROR(VLOOKUP(EXPENSETBL45[[#This Row],[OPERATION]],OPERATIONCOST,2,FALSE)," ")</f>
        <v xml:space="preserve"> </v>
      </c>
      <c r="J398" s="409" t="str">
        <f>IFERROR(VLOOKUP(EXPENSETBL45[[#This Row],[OPERATION]],OPERATIONCOST,3,FALSE)," ")</f>
        <v xml:space="preserve"> </v>
      </c>
      <c r="K398" s="92" t="str">
        <f>IF(EXPENSETBL45[[#This Row],[UOM]]="acre",EXPENSETBL45[[#This Row],[ACRES]]," ")</f>
        <v xml:space="preserve"> </v>
      </c>
      <c r="L398" s="410">
        <f t="shared" si="29"/>
        <v>1</v>
      </c>
      <c r="M398" s="410">
        <f t="shared" si="30"/>
        <v>0</v>
      </c>
      <c r="N398" s="409" t="str">
        <f>IFERROR((EXPENSETBL45[[#This Row],[MCC.ENT]]*EXPENSETBL45[[#This Row],[TOTAL]])," ")</f>
        <v xml:space="preserve"> </v>
      </c>
      <c r="O398" s="409" t="str">
        <f>IFERROR((EXPENSETBL45[[#This Row],[L.L.]]*EXPENSETBL45[[#This Row],[TOTAL]])," ")</f>
        <v xml:space="preserve"> </v>
      </c>
      <c r="P398" s="409" t="str">
        <f>IFERROR((EXPENSETBL45[[#This Row],[QTY]]*EXPENSETBL45[[#This Row],[$/UOM]])," ")</f>
        <v xml:space="preserve"> </v>
      </c>
      <c r="Q398" s="409"/>
      <c r="R398" s="409"/>
      <c r="S398" s="507"/>
      <c r="T398" s="507"/>
      <c r="U398" s="507"/>
      <c r="V398" s="507"/>
      <c r="W398" s="507"/>
      <c r="X398" s="507"/>
      <c r="Y398" s="507"/>
      <c r="Z398" s="507"/>
      <c r="AA398" s="507"/>
      <c r="AB398" s="507"/>
    </row>
    <row r="399" spans="2:28" x14ac:dyDescent="0.25">
      <c r="E399" s="92" t="str">
        <f>IFERROR(VLOOKUP(EXPENSETBL45[[#This Row],[FIELD]],FFTBL[[Field]:[Acres]],2,FALSE),"-")</f>
        <v>-</v>
      </c>
      <c r="I399" s="92" t="str">
        <f>IFERROR(VLOOKUP(EXPENSETBL45[[#This Row],[OPERATION]],OPERATIONCOST,2,FALSE)," ")</f>
        <v xml:space="preserve"> </v>
      </c>
      <c r="J399" s="409" t="str">
        <f>IFERROR(VLOOKUP(EXPENSETBL45[[#This Row],[OPERATION]],OPERATIONCOST,3,FALSE)," ")</f>
        <v xml:space="preserve"> </v>
      </c>
      <c r="K399" s="92" t="str">
        <f>IF(EXPENSETBL45[[#This Row],[UOM]]="acre",EXPENSETBL45[[#This Row],[ACRES]]," ")</f>
        <v xml:space="preserve"> </v>
      </c>
      <c r="L399" s="410">
        <f t="shared" si="29"/>
        <v>1</v>
      </c>
      <c r="M399" s="410">
        <f t="shared" si="30"/>
        <v>0</v>
      </c>
      <c r="N399" s="409" t="str">
        <f>IFERROR((EXPENSETBL45[[#This Row],[MCC.ENT]]*EXPENSETBL45[[#This Row],[TOTAL]])," ")</f>
        <v xml:space="preserve"> </v>
      </c>
      <c r="O399" s="409" t="str">
        <f>IFERROR((EXPENSETBL45[[#This Row],[L.L.]]*EXPENSETBL45[[#This Row],[TOTAL]])," ")</f>
        <v xml:space="preserve"> </v>
      </c>
      <c r="P399" s="409" t="str">
        <f>IFERROR((EXPENSETBL45[[#This Row],[QTY]]*EXPENSETBL45[[#This Row],[$/UOM]])," ")</f>
        <v xml:space="preserve"> </v>
      </c>
      <c r="Q399" s="409"/>
      <c r="R399" s="409"/>
      <c r="S399" s="507"/>
      <c r="T399" s="507"/>
      <c r="U399" s="507"/>
      <c r="V399" s="507"/>
      <c r="W399" s="507"/>
      <c r="X399" s="507"/>
      <c r="Y399" s="507"/>
      <c r="Z399" s="507"/>
      <c r="AA399" s="507"/>
      <c r="AB399" s="507"/>
    </row>
    <row r="400" spans="2:28" x14ac:dyDescent="0.25">
      <c r="E400" s="92" t="str">
        <f>IFERROR(VLOOKUP(EXPENSETBL45[[#This Row],[FIELD]],FFTBL[[Field]:[Acres]],2,FALSE),"-")</f>
        <v>-</v>
      </c>
      <c r="I400" s="92" t="str">
        <f>IFERROR(VLOOKUP(EXPENSETBL45[[#This Row],[OPERATION]],OPERATIONCOST,2,FALSE)," ")</f>
        <v xml:space="preserve"> </v>
      </c>
      <c r="J400" s="409" t="str">
        <f>IFERROR(VLOOKUP(EXPENSETBL45[[#This Row],[OPERATION]],OPERATIONCOST,3,FALSE)," ")</f>
        <v xml:space="preserve"> </v>
      </c>
      <c r="K400" s="92" t="str">
        <f>IF(EXPENSETBL45[[#This Row],[UOM]]="acre",EXPENSETBL45[[#This Row],[ACRES]]," ")</f>
        <v xml:space="preserve"> </v>
      </c>
      <c r="L400" s="410">
        <f t="shared" si="29"/>
        <v>1</v>
      </c>
      <c r="M400" s="410">
        <f t="shared" si="30"/>
        <v>0</v>
      </c>
      <c r="N400" s="409" t="str">
        <f>IFERROR((EXPENSETBL45[[#This Row],[MCC.ENT]]*EXPENSETBL45[[#This Row],[TOTAL]])," ")</f>
        <v xml:space="preserve"> </v>
      </c>
      <c r="O400" s="409" t="str">
        <f>IFERROR((EXPENSETBL45[[#This Row],[L.L.]]*EXPENSETBL45[[#This Row],[TOTAL]])," ")</f>
        <v xml:space="preserve"> </v>
      </c>
      <c r="P400" s="409" t="str">
        <f>IFERROR((EXPENSETBL45[[#This Row],[QTY]]*EXPENSETBL45[[#This Row],[$/UOM]])," ")</f>
        <v xml:space="preserve"> </v>
      </c>
      <c r="Q400" s="409"/>
      <c r="R400" s="409"/>
      <c r="S400" s="507"/>
      <c r="T400" s="507"/>
      <c r="U400" s="507"/>
      <c r="V400" s="507"/>
      <c r="W400" s="507"/>
      <c r="X400" s="507"/>
      <c r="Y400" s="507"/>
      <c r="Z400" s="507"/>
      <c r="AA400" s="507"/>
      <c r="AB400" s="507"/>
    </row>
    <row r="401" spans="5:28" x14ac:dyDescent="0.25">
      <c r="E401" s="92" t="str">
        <f>IFERROR(VLOOKUP(EXPENSETBL45[[#This Row],[FIELD]],FFTBL[[Field]:[Acres]],2,FALSE),"-")</f>
        <v>-</v>
      </c>
      <c r="I401" s="92" t="str">
        <f>IFERROR(VLOOKUP(EXPENSETBL45[[#This Row],[OPERATION]],OPERATIONCOST,2,FALSE)," ")</f>
        <v xml:space="preserve"> </v>
      </c>
      <c r="J401" s="409" t="str">
        <f>IFERROR(VLOOKUP(EXPENSETBL45[[#This Row],[OPERATION]],OPERATIONCOST,3,FALSE)," ")</f>
        <v xml:space="preserve"> </v>
      </c>
      <c r="K401" s="92" t="str">
        <f>IF(EXPENSETBL45[[#This Row],[UOM]]="acre",EXPENSETBL45[[#This Row],[ACRES]]," ")</f>
        <v xml:space="preserve"> </v>
      </c>
      <c r="L401" s="410">
        <f t="shared" si="29"/>
        <v>1</v>
      </c>
      <c r="M401" s="410">
        <f t="shared" si="30"/>
        <v>0</v>
      </c>
      <c r="N401" s="409" t="str">
        <f>IFERROR((EXPENSETBL45[[#This Row],[MCC.ENT]]*EXPENSETBL45[[#This Row],[TOTAL]])," ")</f>
        <v xml:space="preserve"> </v>
      </c>
      <c r="O401" s="409" t="str">
        <f>IFERROR((EXPENSETBL45[[#This Row],[L.L.]]*EXPENSETBL45[[#This Row],[TOTAL]])," ")</f>
        <v xml:space="preserve"> </v>
      </c>
      <c r="P401" s="409" t="str">
        <f>IFERROR((EXPENSETBL45[[#This Row],[QTY]]*EXPENSETBL45[[#This Row],[$/UOM]])," ")</f>
        <v xml:space="preserve"> </v>
      </c>
      <c r="Q401" s="409"/>
      <c r="R401" s="409"/>
      <c r="S401" s="507"/>
      <c r="T401" s="507"/>
      <c r="U401" s="507"/>
      <c r="V401" s="507"/>
      <c r="W401" s="507"/>
      <c r="X401" s="507"/>
      <c r="Y401" s="507"/>
      <c r="Z401" s="507"/>
      <c r="AA401" s="507"/>
      <c r="AB401" s="507"/>
    </row>
    <row r="402" spans="5:28" x14ac:dyDescent="0.25">
      <c r="E402" s="92" t="str">
        <f>IFERROR(VLOOKUP(EXPENSETBL45[[#This Row],[FIELD]],FFTBL[[Field]:[Acres]],2,FALSE),"-")</f>
        <v>-</v>
      </c>
      <c r="I402" s="92" t="str">
        <f>IFERROR(VLOOKUP(EXPENSETBL45[[#This Row],[OPERATION]],OPERATIONCOST,2,FALSE)," ")</f>
        <v xml:space="preserve"> </v>
      </c>
      <c r="J402" s="409" t="str">
        <f>IFERROR(VLOOKUP(EXPENSETBL45[[#This Row],[OPERATION]],OPERATIONCOST,3,FALSE)," ")</f>
        <v xml:space="preserve"> </v>
      </c>
      <c r="K402" s="92" t="str">
        <f>IF(EXPENSETBL45[[#This Row],[UOM]]="acre",EXPENSETBL45[[#This Row],[ACRES]]," ")</f>
        <v xml:space="preserve"> </v>
      </c>
      <c r="L402" s="410">
        <f t="shared" si="29"/>
        <v>1</v>
      </c>
      <c r="M402" s="410">
        <f t="shared" si="30"/>
        <v>0</v>
      </c>
      <c r="N402" s="409" t="str">
        <f>IFERROR((EXPENSETBL45[[#This Row],[MCC.ENT]]*EXPENSETBL45[[#This Row],[TOTAL]])," ")</f>
        <v xml:space="preserve"> </v>
      </c>
      <c r="O402" s="409" t="str">
        <f>IFERROR((EXPENSETBL45[[#This Row],[L.L.]]*EXPENSETBL45[[#This Row],[TOTAL]])," ")</f>
        <v xml:space="preserve"> </v>
      </c>
      <c r="P402" s="409" t="str">
        <f>IFERROR((EXPENSETBL45[[#This Row],[QTY]]*EXPENSETBL45[[#This Row],[$/UOM]])," ")</f>
        <v xml:space="preserve"> </v>
      </c>
      <c r="Q402" s="409"/>
      <c r="R402" s="409"/>
      <c r="S402" s="507"/>
      <c r="T402" s="507"/>
      <c r="U402" s="507"/>
      <c r="V402" s="507"/>
      <c r="W402" s="507"/>
      <c r="X402" s="507"/>
      <c r="Y402" s="507"/>
      <c r="Z402" s="507"/>
      <c r="AA402" s="507"/>
      <c r="AB402" s="507"/>
    </row>
    <row r="403" spans="5:28" x14ac:dyDescent="0.25">
      <c r="E403" s="92" t="str">
        <f>IFERROR(VLOOKUP(EXPENSETBL45[[#This Row],[FIELD]],FFTBL[[Field]:[Acres]],2,FALSE),"-")</f>
        <v>-</v>
      </c>
      <c r="I403" s="92" t="str">
        <f>IFERROR(VLOOKUP(EXPENSETBL45[[#This Row],[OPERATION]],OPERATIONCOST,2,FALSE)," ")</f>
        <v xml:space="preserve"> </v>
      </c>
      <c r="J403" s="409" t="str">
        <f>IFERROR(VLOOKUP(EXPENSETBL45[[#This Row],[OPERATION]],OPERATIONCOST,3,FALSE)," ")</f>
        <v xml:space="preserve"> </v>
      </c>
      <c r="K403" s="92" t="str">
        <f>IF(EXPENSETBL45[[#This Row],[UOM]]="acre",EXPENSETBL45[[#This Row],[ACRES]]," ")</f>
        <v xml:space="preserve"> </v>
      </c>
      <c r="L403" s="410">
        <f t="shared" si="29"/>
        <v>1</v>
      </c>
      <c r="M403" s="410">
        <f t="shared" si="30"/>
        <v>0</v>
      </c>
      <c r="N403" s="409" t="str">
        <f>IFERROR((EXPENSETBL45[[#This Row],[MCC.ENT]]*EXPENSETBL45[[#This Row],[TOTAL]])," ")</f>
        <v xml:space="preserve"> </v>
      </c>
      <c r="O403" s="409" t="str">
        <f>IFERROR((EXPENSETBL45[[#This Row],[L.L.]]*EXPENSETBL45[[#This Row],[TOTAL]])," ")</f>
        <v xml:space="preserve"> </v>
      </c>
      <c r="P403" s="409" t="str">
        <f>IFERROR((EXPENSETBL45[[#This Row],[QTY]]*EXPENSETBL45[[#This Row],[$/UOM]])," ")</f>
        <v xml:space="preserve"> </v>
      </c>
      <c r="Q403" s="409"/>
      <c r="R403" s="409"/>
      <c r="S403" s="507"/>
      <c r="T403" s="507"/>
      <c r="U403" s="507"/>
      <c r="V403" s="507"/>
      <c r="W403" s="507"/>
      <c r="X403" s="507"/>
      <c r="Y403" s="507"/>
      <c r="Z403" s="507"/>
      <c r="AA403" s="507"/>
      <c r="AB403" s="507"/>
    </row>
    <row r="404" spans="5:28" x14ac:dyDescent="0.25">
      <c r="E404" s="92" t="str">
        <f>IFERROR(VLOOKUP(EXPENSETBL45[[#This Row],[FIELD]],FFTBL[[Field]:[Acres]],2,FALSE),"-")</f>
        <v>-</v>
      </c>
      <c r="I404" s="92" t="str">
        <f>IFERROR(VLOOKUP(EXPENSETBL45[[#This Row],[OPERATION]],OPERATIONCOST,2,FALSE)," ")</f>
        <v xml:space="preserve"> </v>
      </c>
      <c r="J404" s="409" t="str">
        <f>IFERROR(VLOOKUP(EXPENSETBL45[[#This Row],[OPERATION]],OPERATIONCOST,3,FALSE)," ")</f>
        <v xml:space="preserve"> </v>
      </c>
      <c r="K404" s="92" t="str">
        <f>IF(EXPENSETBL45[[#This Row],[UOM]]="acre",EXPENSETBL45[[#This Row],[ACRES]]," ")</f>
        <v xml:space="preserve"> </v>
      </c>
      <c r="L404" s="410">
        <f t="shared" si="29"/>
        <v>1</v>
      </c>
      <c r="M404" s="410">
        <f t="shared" si="30"/>
        <v>0</v>
      </c>
      <c r="N404" s="409" t="str">
        <f>IFERROR((EXPENSETBL45[[#This Row],[MCC.ENT]]*EXPENSETBL45[[#This Row],[TOTAL]])," ")</f>
        <v xml:space="preserve"> </v>
      </c>
      <c r="O404" s="409" t="str">
        <f>IFERROR((EXPENSETBL45[[#This Row],[L.L.]]*EXPENSETBL45[[#This Row],[TOTAL]])," ")</f>
        <v xml:space="preserve"> </v>
      </c>
      <c r="P404" s="409" t="str">
        <f>IFERROR((EXPENSETBL45[[#This Row],[QTY]]*EXPENSETBL45[[#This Row],[$/UOM]])," ")</f>
        <v xml:space="preserve"> </v>
      </c>
      <c r="Q404" s="409"/>
      <c r="R404" s="409"/>
      <c r="S404" s="507"/>
      <c r="T404" s="507"/>
      <c r="U404" s="507"/>
      <c r="V404" s="507"/>
      <c r="W404" s="507"/>
      <c r="X404" s="507"/>
      <c r="Y404" s="507"/>
      <c r="Z404" s="507"/>
      <c r="AA404" s="507"/>
      <c r="AB404" s="507"/>
    </row>
    <row r="405" spans="5:28" x14ac:dyDescent="0.25">
      <c r="E405" s="92" t="str">
        <f>IFERROR(VLOOKUP(EXPENSETBL45[[#This Row],[FIELD]],FFTBL[[Field]:[Acres]],2,FALSE),"-")</f>
        <v>-</v>
      </c>
      <c r="I405" s="92" t="str">
        <f>IFERROR(VLOOKUP(EXPENSETBL45[[#This Row],[OPERATION]],OPERATIONCOST,2,FALSE)," ")</f>
        <v xml:space="preserve"> </v>
      </c>
      <c r="J405" s="409" t="str">
        <f>IFERROR(VLOOKUP(EXPENSETBL45[[#This Row],[OPERATION]],OPERATIONCOST,3,FALSE)," ")</f>
        <v xml:space="preserve"> </v>
      </c>
      <c r="K405" s="92" t="str">
        <f>IF(EXPENSETBL45[[#This Row],[UOM]]="acre",EXPENSETBL45[[#This Row],[ACRES]]," ")</f>
        <v xml:space="preserve"> </v>
      </c>
      <c r="L405" s="410">
        <f t="shared" si="29"/>
        <v>1</v>
      </c>
      <c r="M405" s="410">
        <f t="shared" si="30"/>
        <v>0</v>
      </c>
      <c r="N405" s="409" t="str">
        <f>IFERROR((EXPENSETBL45[[#This Row],[MCC.ENT]]*EXPENSETBL45[[#This Row],[TOTAL]])," ")</f>
        <v xml:space="preserve"> </v>
      </c>
      <c r="O405" s="409" t="str">
        <f>IFERROR((EXPENSETBL45[[#This Row],[L.L.]]*EXPENSETBL45[[#This Row],[TOTAL]])," ")</f>
        <v xml:space="preserve"> </v>
      </c>
      <c r="P405" s="409" t="str">
        <f>IFERROR((EXPENSETBL45[[#This Row],[QTY]]*EXPENSETBL45[[#This Row],[$/UOM]])," ")</f>
        <v xml:space="preserve"> </v>
      </c>
      <c r="Q405" s="409"/>
      <c r="R405" s="409"/>
      <c r="S405" s="507"/>
      <c r="T405" s="507"/>
      <c r="U405" s="507"/>
      <c r="V405" s="507"/>
      <c r="W405" s="507"/>
      <c r="X405" s="507"/>
      <c r="Y405" s="507"/>
      <c r="Z405" s="507"/>
      <c r="AA405" s="507"/>
      <c r="AB405" s="507"/>
    </row>
    <row r="406" spans="5:28" x14ac:dyDescent="0.25">
      <c r="E406" s="92" t="str">
        <f>IFERROR(VLOOKUP(EXPENSETBL45[[#This Row],[FIELD]],FFTBL[[Field]:[Acres]],2,FALSE),"-")</f>
        <v>-</v>
      </c>
      <c r="I406" s="92" t="str">
        <f>IFERROR(VLOOKUP(EXPENSETBL45[[#This Row],[OPERATION]],OPERATIONCOST,2,FALSE)," ")</f>
        <v xml:space="preserve"> </v>
      </c>
      <c r="J406" s="409" t="str">
        <f>IFERROR(VLOOKUP(EXPENSETBL45[[#This Row],[OPERATION]],OPERATIONCOST,3,FALSE)," ")</f>
        <v xml:space="preserve"> </v>
      </c>
      <c r="K406" s="92" t="str">
        <f>IF(EXPENSETBL45[[#This Row],[UOM]]="acre",EXPENSETBL45[[#This Row],[ACRES]]," ")</f>
        <v xml:space="preserve"> </v>
      </c>
      <c r="L406" s="410">
        <f t="shared" si="29"/>
        <v>1</v>
      </c>
      <c r="M406" s="410">
        <f t="shared" si="30"/>
        <v>0</v>
      </c>
      <c r="N406" s="409" t="str">
        <f>IFERROR((EXPENSETBL45[[#This Row],[MCC.ENT]]*EXPENSETBL45[[#This Row],[TOTAL]])," ")</f>
        <v xml:space="preserve"> </v>
      </c>
      <c r="O406" s="409" t="str">
        <f>IFERROR((EXPENSETBL45[[#This Row],[L.L.]]*EXPENSETBL45[[#This Row],[TOTAL]])," ")</f>
        <v xml:space="preserve"> </v>
      </c>
      <c r="P406" s="409" t="str">
        <f>IFERROR((EXPENSETBL45[[#This Row],[QTY]]*EXPENSETBL45[[#This Row],[$/UOM]])," ")</f>
        <v xml:space="preserve"> </v>
      </c>
      <c r="Q406" s="409"/>
      <c r="R406" s="409"/>
      <c r="S406" s="507"/>
      <c r="T406" s="507"/>
      <c r="U406" s="507"/>
      <c r="V406" s="507"/>
      <c r="W406" s="507"/>
      <c r="X406" s="507"/>
      <c r="Y406" s="507"/>
      <c r="Z406" s="507"/>
      <c r="AA406" s="507"/>
      <c r="AB406" s="507"/>
    </row>
    <row r="407" spans="5:28" x14ac:dyDescent="0.25">
      <c r="E407" s="92" t="str">
        <f>IFERROR(VLOOKUP(EXPENSETBL45[[#This Row],[FIELD]],FFTBL[[Field]:[Acres]],2,FALSE),"-")</f>
        <v>-</v>
      </c>
      <c r="I407" s="92" t="str">
        <f>IFERROR(VLOOKUP(EXPENSETBL45[[#This Row],[OPERATION]],OPERATIONCOST,2,FALSE)," ")</f>
        <v xml:space="preserve"> </v>
      </c>
      <c r="J407" s="409" t="str">
        <f>IFERROR(VLOOKUP(EXPENSETBL45[[#This Row],[OPERATION]],OPERATIONCOST,3,FALSE)," ")</f>
        <v xml:space="preserve"> </v>
      </c>
      <c r="K407" s="92" t="str">
        <f>IF(EXPENSETBL45[[#This Row],[UOM]]="acre",EXPENSETBL45[[#This Row],[ACRES]]," ")</f>
        <v xml:space="preserve"> </v>
      </c>
      <c r="L407" s="410">
        <f t="shared" ref="L407:L413" si="31">IF(G407="SPLIT",0.65,1)</f>
        <v>1</v>
      </c>
      <c r="M407" s="410">
        <f t="shared" ref="M407:M413" si="32">IF(G407="SPLIT",0.35,0)</f>
        <v>0</v>
      </c>
      <c r="N407" s="409" t="str">
        <f>IFERROR((EXPENSETBL45[[#This Row],[MCC.ENT]]*EXPENSETBL45[[#This Row],[TOTAL]])," ")</f>
        <v xml:space="preserve"> </v>
      </c>
      <c r="O407" s="409" t="str">
        <f>IFERROR((EXPENSETBL45[[#This Row],[L.L.]]*EXPENSETBL45[[#This Row],[TOTAL]])," ")</f>
        <v xml:space="preserve"> </v>
      </c>
      <c r="P407" s="409" t="str">
        <f>IFERROR((EXPENSETBL45[[#This Row],[QTY]]*EXPENSETBL45[[#This Row],[$/UOM]])," ")</f>
        <v xml:space="preserve"> </v>
      </c>
      <c r="Q407" s="409"/>
      <c r="S407" s="507"/>
      <c r="T407" s="507"/>
      <c r="U407" s="507"/>
      <c r="V407" s="507"/>
      <c r="W407" s="507"/>
      <c r="X407" s="507"/>
      <c r="Y407" s="507"/>
      <c r="Z407" s="507"/>
      <c r="AA407" s="507"/>
      <c r="AB407" s="507"/>
    </row>
    <row r="408" spans="5:28" x14ac:dyDescent="0.25">
      <c r="E408" s="92" t="str">
        <f>IFERROR(VLOOKUP(EXPENSETBL45[[#This Row],[FIELD]],FFTBL[[Field]:[Acres]],2,FALSE),"-")</f>
        <v>-</v>
      </c>
      <c r="I408" s="92" t="str">
        <f>IFERROR(VLOOKUP(EXPENSETBL45[[#This Row],[OPERATION]],OPERATIONCOST,2,FALSE)," ")</f>
        <v xml:space="preserve"> </v>
      </c>
      <c r="J408" s="409" t="str">
        <f>IFERROR(VLOOKUP(EXPENSETBL45[[#This Row],[OPERATION]],OPERATIONCOST,3,FALSE)," ")</f>
        <v xml:space="preserve"> </v>
      </c>
      <c r="K408" s="92" t="str">
        <f>IF(EXPENSETBL45[[#This Row],[UOM]]="acre",EXPENSETBL45[[#This Row],[ACRES]]," ")</f>
        <v xml:space="preserve"> </v>
      </c>
      <c r="L408" s="410">
        <f t="shared" si="31"/>
        <v>1</v>
      </c>
      <c r="M408" s="410">
        <f t="shared" si="32"/>
        <v>0</v>
      </c>
      <c r="N408" s="409" t="str">
        <f>IFERROR((EXPENSETBL45[[#This Row],[MCC.ENT]]*EXPENSETBL45[[#This Row],[TOTAL]])," ")</f>
        <v xml:space="preserve"> </v>
      </c>
      <c r="O408" s="409" t="str">
        <f>IFERROR((EXPENSETBL45[[#This Row],[L.L.]]*EXPENSETBL45[[#This Row],[TOTAL]])," ")</f>
        <v xml:space="preserve"> </v>
      </c>
      <c r="P408" s="409" t="str">
        <f>IFERROR((EXPENSETBL45[[#This Row],[QTY]]*EXPENSETBL45[[#This Row],[$/UOM]])," ")</f>
        <v xml:space="preserve"> </v>
      </c>
      <c r="Q408" s="409"/>
      <c r="S408" s="507"/>
      <c r="T408" s="507"/>
      <c r="U408" s="507"/>
      <c r="V408" s="507"/>
      <c r="W408" s="507"/>
      <c r="X408" s="507"/>
      <c r="Y408" s="507"/>
      <c r="Z408" s="507"/>
      <c r="AA408" s="507"/>
      <c r="AB408" s="507"/>
    </row>
    <row r="409" spans="5:28" x14ac:dyDescent="0.25">
      <c r="E409" s="92" t="str">
        <f>IFERROR(VLOOKUP(EXPENSETBL45[[#This Row],[FIELD]],FFTBL[[Field]:[Acres]],2,FALSE),"-")</f>
        <v>-</v>
      </c>
      <c r="I409" s="92" t="str">
        <f>IFERROR(VLOOKUP(EXPENSETBL45[[#This Row],[OPERATION]],OPERATIONCOST,2,FALSE)," ")</f>
        <v xml:space="preserve"> </v>
      </c>
      <c r="J409" s="409" t="str">
        <f>IFERROR(VLOOKUP(EXPENSETBL45[[#This Row],[OPERATION]],OPERATIONCOST,3,FALSE)," ")</f>
        <v xml:space="preserve"> </v>
      </c>
      <c r="K409" s="92" t="str">
        <f>IF(EXPENSETBL45[[#This Row],[UOM]]="acre",EXPENSETBL45[[#This Row],[ACRES]]," ")</f>
        <v xml:space="preserve"> </v>
      </c>
      <c r="L409" s="410">
        <f t="shared" si="31"/>
        <v>1</v>
      </c>
      <c r="M409" s="410">
        <f t="shared" si="32"/>
        <v>0</v>
      </c>
      <c r="N409" s="409" t="str">
        <f>IFERROR((EXPENSETBL45[[#This Row],[MCC.ENT]]*EXPENSETBL45[[#This Row],[TOTAL]])," ")</f>
        <v xml:space="preserve"> </v>
      </c>
      <c r="O409" s="409" t="str">
        <f>IFERROR((EXPENSETBL45[[#This Row],[L.L.]]*EXPENSETBL45[[#This Row],[TOTAL]])," ")</f>
        <v xml:space="preserve"> </v>
      </c>
      <c r="P409" s="409" t="str">
        <f>IFERROR((EXPENSETBL45[[#This Row],[QTY]]*EXPENSETBL45[[#This Row],[$/UOM]])," ")</f>
        <v xml:space="preserve"> </v>
      </c>
      <c r="Q409" s="409"/>
      <c r="S409" s="507"/>
      <c r="T409" s="507"/>
      <c r="U409" s="507"/>
      <c r="V409" s="507"/>
      <c r="W409" s="507"/>
      <c r="X409" s="507"/>
      <c r="Y409" s="507"/>
      <c r="Z409" s="507"/>
      <c r="AA409" s="507"/>
      <c r="AB409" s="507"/>
    </row>
    <row r="410" spans="5:28" x14ac:dyDescent="0.25">
      <c r="E410" s="92" t="str">
        <f>IFERROR(VLOOKUP(EXPENSETBL45[[#This Row],[FIELD]],FFTBL[[Field]:[Acres]],2,FALSE),"-")</f>
        <v>-</v>
      </c>
      <c r="I410" s="92" t="str">
        <f>IFERROR(VLOOKUP(EXPENSETBL45[[#This Row],[OPERATION]],OPERATIONCOST,2,FALSE)," ")</f>
        <v xml:space="preserve"> </v>
      </c>
      <c r="J410" s="409" t="str">
        <f>IFERROR(VLOOKUP(EXPENSETBL45[[#This Row],[OPERATION]],OPERATIONCOST,3,FALSE)," ")</f>
        <v xml:space="preserve"> </v>
      </c>
      <c r="K410" s="92" t="str">
        <f>IF(EXPENSETBL45[[#This Row],[UOM]]="acre",EXPENSETBL45[[#This Row],[ACRES]]," ")</f>
        <v xml:space="preserve"> </v>
      </c>
      <c r="L410" s="410">
        <f t="shared" si="31"/>
        <v>1</v>
      </c>
      <c r="M410" s="410">
        <f t="shared" si="32"/>
        <v>0</v>
      </c>
      <c r="N410" s="409" t="str">
        <f>IFERROR((EXPENSETBL45[[#This Row],[MCC.ENT]]*EXPENSETBL45[[#This Row],[TOTAL]])," ")</f>
        <v xml:space="preserve"> </v>
      </c>
      <c r="O410" s="409" t="str">
        <f>IFERROR((EXPENSETBL45[[#This Row],[L.L.]]*EXPENSETBL45[[#This Row],[TOTAL]])," ")</f>
        <v xml:space="preserve"> </v>
      </c>
      <c r="P410" s="409" t="str">
        <f>IFERROR((EXPENSETBL45[[#This Row],[QTY]]*EXPENSETBL45[[#This Row],[$/UOM]])," ")</f>
        <v xml:space="preserve"> </v>
      </c>
      <c r="Q410" s="409"/>
      <c r="S410" s="507"/>
      <c r="T410" s="507"/>
      <c r="U410" s="507"/>
      <c r="V410" s="507"/>
      <c r="W410" s="507"/>
      <c r="X410" s="507"/>
      <c r="Y410" s="507"/>
      <c r="Z410" s="507"/>
      <c r="AA410" s="507"/>
      <c r="AB410" s="507"/>
    </row>
    <row r="411" spans="5:28" x14ac:dyDescent="0.25">
      <c r="E411" s="92" t="str">
        <f>IFERROR(VLOOKUP(EXPENSETBL45[[#This Row],[FIELD]],FFTBL[[Field]:[Acres]],2,FALSE),"-")</f>
        <v>-</v>
      </c>
      <c r="I411" s="92" t="str">
        <f>IFERROR(VLOOKUP(EXPENSETBL45[[#This Row],[OPERATION]],OPERATIONCOST,2,FALSE)," ")</f>
        <v xml:space="preserve"> </v>
      </c>
      <c r="J411" s="409" t="str">
        <f>IFERROR(VLOOKUP(EXPENSETBL45[[#This Row],[OPERATION]],OPERATIONCOST,3,FALSE)," ")</f>
        <v xml:space="preserve"> </v>
      </c>
      <c r="K411" s="92" t="str">
        <f>IF(EXPENSETBL45[[#This Row],[UOM]]="acre",EXPENSETBL45[[#This Row],[ACRES]]," ")</f>
        <v xml:space="preserve"> </v>
      </c>
      <c r="L411" s="410">
        <f t="shared" si="31"/>
        <v>1</v>
      </c>
      <c r="M411" s="410">
        <f t="shared" si="32"/>
        <v>0</v>
      </c>
      <c r="N411" s="409" t="str">
        <f>IFERROR((EXPENSETBL45[[#This Row],[MCC.ENT]]*EXPENSETBL45[[#This Row],[TOTAL]])," ")</f>
        <v xml:space="preserve"> </v>
      </c>
      <c r="O411" s="409" t="str">
        <f>IFERROR((EXPENSETBL45[[#This Row],[L.L.]]*EXPENSETBL45[[#This Row],[TOTAL]])," ")</f>
        <v xml:space="preserve"> </v>
      </c>
      <c r="P411" s="409" t="str">
        <f>IFERROR((EXPENSETBL45[[#This Row],[QTY]]*EXPENSETBL45[[#This Row],[$/UOM]])," ")</f>
        <v xml:space="preserve"> </v>
      </c>
      <c r="Q411" s="409"/>
      <c r="S411" s="507"/>
      <c r="T411" s="507"/>
      <c r="U411" s="507"/>
      <c r="V411" s="507"/>
      <c r="W411" s="507"/>
      <c r="X411" s="507"/>
      <c r="Y411" s="507"/>
      <c r="Z411" s="507"/>
      <c r="AA411" s="507"/>
      <c r="AB411" s="507"/>
    </row>
    <row r="412" spans="5:28" x14ac:dyDescent="0.25">
      <c r="E412" s="92" t="str">
        <f>IFERROR(VLOOKUP(EXPENSETBL45[[#This Row],[FIELD]],FFTBL[[Field]:[Acres]],2,FALSE),"-")</f>
        <v>-</v>
      </c>
      <c r="I412" s="92" t="str">
        <f>IFERROR(VLOOKUP(EXPENSETBL45[[#This Row],[OPERATION]],OPERATIONCOST,2,FALSE)," ")</f>
        <v xml:space="preserve"> </v>
      </c>
      <c r="J412" s="409" t="str">
        <f>IFERROR(VLOOKUP(EXPENSETBL45[[#This Row],[OPERATION]],OPERATIONCOST,3,FALSE)," ")</f>
        <v xml:space="preserve"> </v>
      </c>
      <c r="K412" s="92" t="str">
        <f>IF(EXPENSETBL45[[#This Row],[UOM]]="acre",EXPENSETBL45[[#This Row],[ACRES]]," ")</f>
        <v xml:space="preserve"> </v>
      </c>
      <c r="L412" s="410">
        <f t="shared" si="31"/>
        <v>1</v>
      </c>
      <c r="M412" s="410">
        <f t="shared" si="32"/>
        <v>0</v>
      </c>
      <c r="N412" s="409" t="str">
        <f>IFERROR((EXPENSETBL45[[#This Row],[MCC.ENT]]*EXPENSETBL45[[#This Row],[TOTAL]])," ")</f>
        <v xml:space="preserve"> </v>
      </c>
      <c r="O412" s="409" t="str">
        <f>IFERROR((EXPENSETBL45[[#This Row],[L.L.]]*EXPENSETBL45[[#This Row],[TOTAL]])," ")</f>
        <v xml:space="preserve"> </v>
      </c>
      <c r="P412" s="409" t="str">
        <f>IFERROR((EXPENSETBL45[[#This Row],[QTY]]*EXPENSETBL45[[#This Row],[$/UOM]])," ")</f>
        <v xml:space="preserve"> </v>
      </c>
      <c r="Q412" s="409"/>
      <c r="S412" s="507"/>
      <c r="T412" s="507"/>
      <c r="U412" s="507"/>
      <c r="V412" s="507"/>
      <c r="W412" s="507"/>
      <c r="X412" s="507"/>
      <c r="Y412" s="507"/>
      <c r="Z412" s="507"/>
      <c r="AA412" s="507"/>
      <c r="AB412" s="507"/>
    </row>
    <row r="413" spans="5:28" x14ac:dyDescent="0.25">
      <c r="E413" s="92" t="str">
        <f>IFERROR(VLOOKUP(EXPENSETBL45[[#This Row],[FIELD]],FFTBL[[Field]:[Acres]],2,FALSE),"-")</f>
        <v>-</v>
      </c>
      <c r="I413" s="92" t="str">
        <f>IFERROR(VLOOKUP(EXPENSETBL45[[#This Row],[OPERATION]],OPERATIONCOST,2,FALSE)," ")</f>
        <v xml:space="preserve"> </v>
      </c>
      <c r="J413" s="409" t="str">
        <f>IFERROR(VLOOKUP(EXPENSETBL45[[#This Row],[OPERATION]],OPERATIONCOST,3,FALSE)," ")</f>
        <v xml:space="preserve"> </v>
      </c>
      <c r="K413" s="92" t="str">
        <f>IF(EXPENSETBL45[[#This Row],[UOM]]="acre",EXPENSETBL45[[#This Row],[ACRES]]," ")</f>
        <v xml:space="preserve"> </v>
      </c>
      <c r="L413" s="410">
        <f t="shared" si="31"/>
        <v>1</v>
      </c>
      <c r="M413" s="410">
        <f t="shared" si="32"/>
        <v>0</v>
      </c>
      <c r="N413" s="409" t="str">
        <f>IFERROR((EXPENSETBL45[[#This Row],[MCC.ENT]]*EXPENSETBL45[[#This Row],[TOTAL]])," ")</f>
        <v xml:space="preserve"> </v>
      </c>
      <c r="O413" s="409" t="str">
        <f>IFERROR((EXPENSETBL45[[#This Row],[L.L.]]*EXPENSETBL45[[#This Row],[TOTAL]])," ")</f>
        <v xml:space="preserve"> </v>
      </c>
      <c r="P413" s="409" t="str">
        <f>IFERROR((EXPENSETBL45[[#This Row],[QTY]]*EXPENSETBL45[[#This Row],[$/UOM]])," ")</f>
        <v xml:space="preserve"> </v>
      </c>
      <c r="Q413" s="409"/>
      <c r="S413" s="507"/>
      <c r="T413" s="507"/>
      <c r="U413" s="507"/>
      <c r="V413" s="507"/>
      <c r="W413" s="507"/>
      <c r="X413" s="507"/>
      <c r="Y413" s="507"/>
      <c r="Z413" s="507"/>
      <c r="AA413" s="507"/>
      <c r="AB413" s="507"/>
    </row>
    <row r="414" spans="5:28" x14ac:dyDescent="0.25">
      <c r="E414" s="92" t="str">
        <f>IFERROR(VLOOKUP(EXPENSETBL45[[#This Row],[FIELD]],FFTBL[[Field]:[Acres]],2,FALSE),"-")</f>
        <v>-</v>
      </c>
      <c r="I414" s="92" t="str">
        <f>IFERROR(VLOOKUP(EXPENSETBL45[[#This Row],[OPERATION]],OPERATIONCOST,2,FALSE)," ")</f>
        <v xml:space="preserve"> </v>
      </c>
      <c r="J414" s="409" t="str">
        <f>IFERROR(VLOOKUP(EXPENSETBL45[[#This Row],[OPERATION]],OPERATIONCOST,3,FALSE)," ")</f>
        <v xml:space="preserve"> </v>
      </c>
      <c r="K414" s="92" t="str">
        <f>IF(EXPENSETBL45[[#This Row],[UOM]]="acre",EXPENSETBL45[[#This Row],[ACRES]]," ")</f>
        <v xml:space="preserve"> </v>
      </c>
      <c r="L414" s="410">
        <f t="shared" ref="L414:L419" si="33">IF(G414="SPLIT",0.65,1)</f>
        <v>1</v>
      </c>
      <c r="M414" s="410">
        <f t="shared" ref="M414:M419" si="34">IF(G414="SPLIT",0.35,0)</f>
        <v>0</v>
      </c>
      <c r="N414" s="409" t="str">
        <f>IFERROR((EXPENSETBL45[[#This Row],[MCC.ENT]]*EXPENSETBL45[[#This Row],[TOTAL]])," ")</f>
        <v xml:space="preserve"> </v>
      </c>
      <c r="O414" s="409" t="str">
        <f>IFERROR((EXPENSETBL45[[#This Row],[L.L.]]*EXPENSETBL45[[#This Row],[TOTAL]])," ")</f>
        <v xml:space="preserve"> </v>
      </c>
      <c r="P414" s="409" t="str">
        <f>IFERROR((EXPENSETBL45[[#This Row],[QTY]]*EXPENSETBL45[[#This Row],[$/UOM]])," ")</f>
        <v xml:space="preserve"> </v>
      </c>
      <c r="Q414" s="409"/>
      <c r="S414" s="507"/>
      <c r="T414" s="507"/>
      <c r="U414" s="507"/>
      <c r="V414" s="507"/>
      <c r="W414" s="507"/>
      <c r="X414" s="507"/>
      <c r="Y414" s="507"/>
      <c r="Z414" s="507"/>
      <c r="AA414" s="507"/>
      <c r="AB414" s="507"/>
    </row>
    <row r="415" spans="5:28" x14ac:dyDescent="0.25">
      <c r="E415" s="92" t="str">
        <f>IFERROR(VLOOKUP(EXPENSETBL45[[#This Row],[FIELD]],FFTBL[[Field]:[Acres]],2,FALSE),"-")</f>
        <v>-</v>
      </c>
      <c r="I415" s="92" t="str">
        <f>IFERROR(VLOOKUP(EXPENSETBL45[[#This Row],[OPERATION]],OPERATIONCOST,2,FALSE)," ")</f>
        <v xml:space="preserve"> </v>
      </c>
      <c r="J415" s="409" t="str">
        <f>IFERROR(VLOOKUP(EXPENSETBL45[[#This Row],[OPERATION]],OPERATIONCOST,3,FALSE)," ")</f>
        <v xml:space="preserve"> </v>
      </c>
      <c r="K415" s="92" t="str">
        <f>IF(EXPENSETBL45[[#This Row],[UOM]]="acre",EXPENSETBL45[[#This Row],[ACRES]]," ")</f>
        <v xml:space="preserve"> </v>
      </c>
      <c r="L415" s="410">
        <f t="shared" si="33"/>
        <v>1</v>
      </c>
      <c r="M415" s="410">
        <f t="shared" si="34"/>
        <v>0</v>
      </c>
      <c r="N415" s="409" t="str">
        <f>IFERROR((EXPENSETBL45[[#This Row],[MCC.ENT]]*EXPENSETBL45[[#This Row],[TOTAL]])," ")</f>
        <v xml:space="preserve"> </v>
      </c>
      <c r="O415" s="409" t="str">
        <f>IFERROR((EXPENSETBL45[[#This Row],[L.L.]]*EXPENSETBL45[[#This Row],[TOTAL]])," ")</f>
        <v xml:space="preserve"> </v>
      </c>
      <c r="P415" s="409" t="str">
        <f>IFERROR((EXPENSETBL45[[#This Row],[QTY]]*EXPENSETBL45[[#This Row],[$/UOM]])," ")</f>
        <v xml:space="preserve"> </v>
      </c>
      <c r="Q415" s="409"/>
      <c r="S415" s="507"/>
      <c r="T415" s="507"/>
      <c r="U415" s="507"/>
      <c r="V415" s="507"/>
      <c r="W415" s="507"/>
      <c r="X415" s="507"/>
      <c r="Y415" s="507"/>
      <c r="Z415" s="507"/>
      <c r="AA415" s="507"/>
      <c r="AB415" s="507"/>
    </row>
    <row r="416" spans="5:28" x14ac:dyDescent="0.25">
      <c r="E416" s="92" t="str">
        <f>IFERROR(VLOOKUP(EXPENSETBL45[[#This Row],[FIELD]],FFTBL[[Field]:[Acres]],2,FALSE),"-")</f>
        <v>-</v>
      </c>
      <c r="I416" s="92" t="str">
        <f>IFERROR(VLOOKUP(EXPENSETBL45[[#This Row],[OPERATION]],OPERATIONCOST,2,FALSE)," ")</f>
        <v xml:space="preserve"> </v>
      </c>
      <c r="J416" s="409" t="str">
        <f>IFERROR(VLOOKUP(EXPENSETBL45[[#This Row],[OPERATION]],OPERATIONCOST,3,FALSE)," ")</f>
        <v xml:space="preserve"> </v>
      </c>
      <c r="K416" s="92" t="str">
        <f>IF(EXPENSETBL45[[#This Row],[UOM]]="acre",EXPENSETBL45[[#This Row],[ACRES]]," ")</f>
        <v xml:space="preserve"> </v>
      </c>
      <c r="L416" s="410">
        <f t="shared" si="33"/>
        <v>1</v>
      </c>
      <c r="M416" s="410">
        <f t="shared" si="34"/>
        <v>0</v>
      </c>
      <c r="N416" s="409" t="str">
        <f>IFERROR((EXPENSETBL45[[#This Row],[MCC.ENT]]*EXPENSETBL45[[#This Row],[TOTAL]])," ")</f>
        <v xml:space="preserve"> </v>
      </c>
      <c r="O416" s="409" t="str">
        <f>IFERROR((EXPENSETBL45[[#This Row],[L.L.]]*EXPENSETBL45[[#This Row],[TOTAL]])," ")</f>
        <v xml:space="preserve"> </v>
      </c>
      <c r="P416" s="409" t="str">
        <f>IFERROR((EXPENSETBL45[[#This Row],[QTY]]*EXPENSETBL45[[#This Row],[$/UOM]])," ")</f>
        <v xml:space="preserve"> </v>
      </c>
      <c r="Q416" s="409"/>
      <c r="S416" s="507"/>
      <c r="T416" s="507"/>
      <c r="U416" s="507"/>
      <c r="V416" s="507"/>
      <c r="W416" s="507"/>
      <c r="X416" s="507"/>
      <c r="Y416" s="507"/>
      <c r="Z416" s="507"/>
      <c r="AA416" s="507"/>
      <c r="AB416" s="507"/>
    </row>
    <row r="417" spans="1:28" x14ac:dyDescent="0.25">
      <c r="E417" s="92" t="str">
        <f>IFERROR(VLOOKUP(EXPENSETBL45[[#This Row],[FIELD]],FFTBL[[Field]:[Acres]],2,FALSE),"-")</f>
        <v>-</v>
      </c>
      <c r="J417" s="409" t="str">
        <f>IFERROR(VLOOKUP(EXPENSETBL45[[#This Row],[OPERATION]],OPERATIONCOST,3,FALSE)," ")</f>
        <v xml:space="preserve"> </v>
      </c>
      <c r="K417" s="92" t="str">
        <f>IF(EXPENSETBL45[[#This Row],[UOM]]="acre",EXPENSETBL45[[#This Row],[ACRES]]," ")</f>
        <v xml:space="preserve"> </v>
      </c>
      <c r="L417" s="410">
        <f t="shared" si="33"/>
        <v>1</v>
      </c>
      <c r="M417" s="410">
        <f t="shared" si="34"/>
        <v>0</v>
      </c>
      <c r="N417" s="409" t="str">
        <f>IFERROR((EXPENSETBL45[[#This Row],[MCC.ENT]]*EXPENSETBL45[[#This Row],[TOTAL]])," ")</f>
        <v xml:space="preserve"> </v>
      </c>
      <c r="O417" s="409" t="str">
        <f>IFERROR((EXPENSETBL45[[#This Row],[L.L.]]*EXPENSETBL45[[#This Row],[TOTAL]])," ")</f>
        <v xml:space="preserve"> </v>
      </c>
      <c r="P417" s="409" t="str">
        <f>IFERROR((EXPENSETBL45[[#This Row],[QTY]]*EXPENSETBL45[[#This Row],[$/UOM]])," ")</f>
        <v xml:space="preserve"> </v>
      </c>
      <c r="Q417" s="409"/>
      <c r="S417" s="507"/>
      <c r="T417" s="507"/>
      <c r="U417" s="507"/>
      <c r="V417" s="507"/>
      <c r="W417" s="507"/>
      <c r="X417" s="507"/>
      <c r="Y417" s="507"/>
      <c r="Z417" s="507"/>
      <c r="AA417" s="507"/>
      <c r="AB417" s="507"/>
    </row>
    <row r="418" spans="1:28" x14ac:dyDescent="0.25">
      <c r="E418" s="92" t="str">
        <f>IFERROR(VLOOKUP(EXPENSETBL45[[#This Row],[FIELD]],FFTBL[[Field]:[Acres]],2,FALSE),"-")</f>
        <v>-</v>
      </c>
      <c r="J418" s="409" t="str">
        <f>IFERROR(VLOOKUP(EXPENSETBL45[[#This Row],[OPERATION]],OPERATIONCOST,3,FALSE)," ")</f>
        <v xml:space="preserve"> </v>
      </c>
      <c r="K418" s="92" t="str">
        <f>IF(EXPENSETBL45[[#This Row],[UOM]]="acre",EXPENSETBL45[[#This Row],[ACRES]]," ")</f>
        <v xml:space="preserve"> </v>
      </c>
      <c r="L418" s="410">
        <f t="shared" si="33"/>
        <v>1</v>
      </c>
      <c r="M418" s="410">
        <f t="shared" si="34"/>
        <v>0</v>
      </c>
      <c r="N418" s="409" t="str">
        <f>IFERROR((EXPENSETBL45[[#This Row],[MCC.ENT]]*EXPENSETBL45[[#This Row],[TOTAL]])," ")</f>
        <v xml:space="preserve"> </v>
      </c>
      <c r="O418" s="409" t="str">
        <f>IFERROR((EXPENSETBL45[[#This Row],[L.L.]]*EXPENSETBL45[[#This Row],[TOTAL]])," ")</f>
        <v xml:space="preserve"> </v>
      </c>
      <c r="P418" s="409" t="str">
        <f>IFERROR((EXPENSETBL45[[#This Row],[QTY]]*EXPENSETBL45[[#This Row],[$/UOM]])," ")</f>
        <v xml:space="preserve"> </v>
      </c>
      <c r="Q418" s="409"/>
      <c r="S418" s="507"/>
      <c r="T418" s="507"/>
      <c r="U418" s="507"/>
      <c r="V418" s="507"/>
      <c r="W418" s="507"/>
      <c r="X418" s="507"/>
      <c r="Y418" s="507"/>
      <c r="Z418" s="507"/>
      <c r="AA418" s="507"/>
      <c r="AB418" s="507"/>
    </row>
    <row r="419" spans="1:28" x14ac:dyDescent="0.25">
      <c r="E419" s="92" t="str">
        <f>IFERROR(VLOOKUP(EXPENSETBL45[[#This Row],[FIELD]],FFTBL[[Field]:[Acres]],2,FALSE),"-")</f>
        <v>-</v>
      </c>
      <c r="J419" s="409"/>
      <c r="L419" s="410">
        <f t="shared" si="33"/>
        <v>1</v>
      </c>
      <c r="M419" s="410">
        <f t="shared" si="34"/>
        <v>0</v>
      </c>
      <c r="N419" s="409">
        <f>IFERROR((EXPENSETBL45[[#This Row],[MCC.ENT]]*EXPENSETBL45[[#This Row],[TOTAL]])," ")</f>
        <v>0</v>
      </c>
      <c r="O419" s="409">
        <f>IFERROR((EXPENSETBL45[[#This Row],[L.L.]]*EXPENSETBL45[[#This Row],[TOTAL]])," ")</f>
        <v>0</v>
      </c>
      <c r="P419" s="409">
        <f>IFERROR((EXPENSETBL45[[#This Row],[QTY]]*EXPENSETBL45[[#This Row],[$/UOM]])," ")</f>
        <v>0</v>
      </c>
      <c r="Q419" s="409"/>
      <c r="S419" s="507"/>
      <c r="T419" s="507"/>
      <c r="U419" s="507"/>
      <c r="V419" s="507"/>
      <c r="W419" s="507"/>
      <c r="X419" s="507"/>
      <c r="Y419" s="507"/>
      <c r="Z419" s="507"/>
      <c r="AA419" s="507"/>
      <c r="AB419" s="507"/>
    </row>
    <row r="420" spans="1:28" x14ac:dyDescent="0.25">
      <c r="E420" s="92" t="str">
        <f>IFERROR(VLOOKUP(EXPENSETBL45[[#This Row],[FIELD]],FFTBL[[Field]:[Acres]],2,FALSE),"-")</f>
        <v>-</v>
      </c>
      <c r="J420" s="409"/>
      <c r="K420" s="92" t="str">
        <f>IF(EXPENSETBL45[[#This Row],[UOM]]="acre",EXPENSETBL45[[#This Row],[ACRES]]," ")</f>
        <v xml:space="preserve"> </v>
      </c>
      <c r="L420" s="410">
        <f t="shared" ref="L420:L425" si="35">IF(G420="SPLIT",0.65,1)</f>
        <v>1</v>
      </c>
      <c r="M420" s="410">
        <f t="shared" ref="M420:M425" si="36">IF(G420="SPLIT",0.35,0)</f>
        <v>0</v>
      </c>
      <c r="N420" s="409" t="str">
        <f>IFERROR((EXPENSETBL45[[#This Row],[MCC.ENT]]*EXPENSETBL45[[#This Row],[TOTAL]])," ")</f>
        <v xml:space="preserve"> </v>
      </c>
      <c r="O420" s="409" t="str">
        <f>IFERROR((EXPENSETBL45[[#This Row],[L.L.]]*EXPENSETBL45[[#This Row],[TOTAL]])," ")</f>
        <v xml:space="preserve"> </v>
      </c>
      <c r="P420" s="409" t="str">
        <f>IFERROR((EXPENSETBL45[[#This Row],[QTY]]*EXPENSETBL45[[#This Row],[$/UOM]])," ")</f>
        <v xml:space="preserve"> </v>
      </c>
      <c r="Q420" s="409"/>
      <c r="R420" s="409"/>
      <c r="S420" s="507"/>
      <c r="T420" s="507"/>
      <c r="U420" s="507"/>
      <c r="V420" s="507"/>
      <c r="W420" s="507"/>
      <c r="X420" s="507"/>
      <c r="Y420" s="507"/>
      <c r="Z420" s="507"/>
      <c r="AA420" s="507"/>
      <c r="AB420" s="507"/>
    </row>
    <row r="421" spans="1:28" x14ac:dyDescent="0.25">
      <c r="E421" s="92" t="str">
        <f>IFERROR(VLOOKUP(EXPENSETBL45[[#This Row],[FIELD]],FFTBL[[Field]:[Acres]],2,FALSE),"-")</f>
        <v>-</v>
      </c>
      <c r="J421" s="409"/>
      <c r="K421" s="92" t="str">
        <f>IF(EXPENSETBL45[[#This Row],[UOM]]="acre",EXPENSETBL45[[#This Row],[ACRES]]," ")</f>
        <v xml:space="preserve"> </v>
      </c>
      <c r="L421" s="410">
        <f t="shared" si="35"/>
        <v>1</v>
      </c>
      <c r="M421" s="410">
        <f t="shared" si="36"/>
        <v>0</v>
      </c>
      <c r="N421" s="409" t="str">
        <f>IFERROR((EXPENSETBL45[[#This Row],[MCC.ENT]]*EXPENSETBL45[[#This Row],[TOTAL]])," ")</f>
        <v xml:space="preserve"> </v>
      </c>
      <c r="O421" s="409" t="str">
        <f>IFERROR((EXPENSETBL45[[#This Row],[L.L.]]*EXPENSETBL45[[#This Row],[TOTAL]])," ")</f>
        <v xml:space="preserve"> </v>
      </c>
      <c r="P421" s="409" t="str">
        <f>IFERROR((EXPENSETBL45[[#This Row],[QTY]]*EXPENSETBL45[[#This Row],[$/UOM]])," ")</f>
        <v xml:space="preserve"> </v>
      </c>
      <c r="Q421" s="409"/>
      <c r="R421" s="409"/>
      <c r="S421" s="507"/>
      <c r="T421" s="507"/>
      <c r="U421" s="507"/>
      <c r="V421" s="507"/>
      <c r="W421" s="507"/>
      <c r="X421" s="507"/>
      <c r="Y421" s="507"/>
      <c r="Z421" s="507"/>
      <c r="AA421" s="507"/>
      <c r="AB421" s="507"/>
    </row>
    <row r="422" spans="1:28" x14ac:dyDescent="0.25">
      <c r="E422" s="92" t="str">
        <f>IFERROR(VLOOKUP(EXPENSETBL45[[#This Row],[FIELD]],FFTBL[[Field]:[Acres]],2,FALSE),"-")</f>
        <v>-</v>
      </c>
      <c r="J422" s="409"/>
      <c r="K422" s="92" t="str">
        <f>IF(EXPENSETBL45[[#This Row],[UOM]]="acre",EXPENSETBL45[[#This Row],[ACRES]]," ")</f>
        <v xml:space="preserve"> </v>
      </c>
      <c r="L422" s="410">
        <f t="shared" si="35"/>
        <v>1</v>
      </c>
      <c r="M422" s="410">
        <f t="shared" si="36"/>
        <v>0</v>
      </c>
      <c r="N422" s="409" t="str">
        <f>IFERROR((EXPENSETBL45[[#This Row],[MCC.ENT]]*EXPENSETBL45[[#This Row],[TOTAL]])," ")</f>
        <v xml:space="preserve"> </v>
      </c>
      <c r="O422" s="409" t="str">
        <f>IFERROR((EXPENSETBL45[[#This Row],[L.L.]]*EXPENSETBL45[[#This Row],[TOTAL]])," ")</f>
        <v xml:space="preserve"> </v>
      </c>
      <c r="P422" s="409" t="str">
        <f>IFERROR((EXPENSETBL45[[#This Row],[QTY]]*EXPENSETBL45[[#This Row],[$/UOM]])," ")</f>
        <v xml:space="preserve"> </v>
      </c>
      <c r="Q422" s="409"/>
      <c r="R422" s="409"/>
      <c r="S422" s="507"/>
      <c r="T422" s="507"/>
      <c r="U422" s="507"/>
      <c r="V422" s="507"/>
      <c r="W422" s="507"/>
      <c r="X422" s="507"/>
      <c r="Y422" s="507"/>
      <c r="Z422" s="507"/>
      <c r="AA422" s="507"/>
      <c r="AB422" s="507"/>
    </row>
    <row r="423" spans="1:28" x14ac:dyDescent="0.25">
      <c r="E423" s="92" t="str">
        <f>IFERROR(VLOOKUP(EXPENSETBL45[[#This Row],[FIELD]],FFTBL[[Field]:[Acres]],2,FALSE),"-")</f>
        <v>-</v>
      </c>
      <c r="J423" s="409"/>
      <c r="K423" s="92" t="str">
        <f>IF(EXPENSETBL45[[#This Row],[UOM]]="acre",EXPENSETBL45[[#This Row],[ACRES]]," ")</f>
        <v xml:space="preserve"> </v>
      </c>
      <c r="L423" s="410">
        <f t="shared" si="35"/>
        <v>1</v>
      </c>
      <c r="M423" s="410">
        <f t="shared" si="36"/>
        <v>0</v>
      </c>
      <c r="N423" s="409" t="str">
        <f>IFERROR((EXPENSETBL45[[#This Row],[MCC.ENT]]*EXPENSETBL45[[#This Row],[TOTAL]])," ")</f>
        <v xml:space="preserve"> </v>
      </c>
      <c r="O423" s="409" t="str">
        <f>IFERROR((EXPENSETBL45[[#This Row],[L.L.]]*EXPENSETBL45[[#This Row],[TOTAL]])," ")</f>
        <v xml:space="preserve"> </v>
      </c>
      <c r="P423" s="409" t="str">
        <f>IFERROR((EXPENSETBL45[[#This Row],[QTY]]*EXPENSETBL45[[#This Row],[$/UOM]])," ")</f>
        <v xml:space="preserve"> </v>
      </c>
      <c r="Q423" s="409"/>
      <c r="R423" s="409"/>
      <c r="S423" s="507"/>
      <c r="T423" s="507"/>
      <c r="U423" s="507"/>
      <c r="V423" s="507"/>
      <c r="W423" s="507"/>
      <c r="X423" s="507"/>
      <c r="Y423" s="507"/>
      <c r="Z423" s="507"/>
      <c r="AA423" s="507"/>
      <c r="AB423" s="507"/>
    </row>
    <row r="424" spans="1:28" x14ac:dyDescent="0.25">
      <c r="E424" s="92" t="str">
        <f>IFERROR(VLOOKUP(EXPENSETBL45[[#This Row],[FIELD]],FFTBL[[Field]:[Acres]],2,FALSE),"-")</f>
        <v>-</v>
      </c>
      <c r="J424" s="409"/>
      <c r="K424" s="92" t="str">
        <f>IF(EXPENSETBL45[[#This Row],[UOM]]="acre",EXPENSETBL45[[#This Row],[ACRES]]," ")</f>
        <v xml:space="preserve"> </v>
      </c>
      <c r="L424" s="410">
        <f t="shared" si="35"/>
        <v>1</v>
      </c>
      <c r="M424" s="410">
        <f t="shared" si="36"/>
        <v>0</v>
      </c>
      <c r="N424" s="409" t="str">
        <f>IFERROR((EXPENSETBL45[[#This Row],[MCC.ENT]]*EXPENSETBL45[[#This Row],[TOTAL]])," ")</f>
        <v xml:space="preserve"> </v>
      </c>
      <c r="O424" s="409" t="str">
        <f>IFERROR((EXPENSETBL45[[#This Row],[L.L.]]*EXPENSETBL45[[#This Row],[TOTAL]])," ")</f>
        <v xml:space="preserve"> </v>
      </c>
      <c r="P424" s="409" t="str">
        <f>IFERROR((EXPENSETBL45[[#This Row],[QTY]]*EXPENSETBL45[[#This Row],[$/UOM]])," ")</f>
        <v xml:space="preserve"> </v>
      </c>
      <c r="Q424" s="409"/>
      <c r="R424" s="409"/>
      <c r="S424" s="507"/>
      <c r="T424" s="507"/>
      <c r="U424" s="507"/>
      <c r="V424" s="507"/>
      <c r="W424" s="507"/>
      <c r="X424" s="507"/>
      <c r="Y424" s="507"/>
      <c r="Z424" s="507"/>
      <c r="AA424" s="507"/>
      <c r="AB424" s="507"/>
    </row>
    <row r="425" spans="1:28" x14ac:dyDescent="0.25">
      <c r="E425" s="92" t="str">
        <f>IFERROR(VLOOKUP(EXPENSETBL45[[#This Row],[FIELD]],FFTBL[[Field]:[Acres]],2,FALSE),"-")</f>
        <v>-</v>
      </c>
      <c r="J425" s="409"/>
      <c r="K425" s="92" t="str">
        <f>IF(EXPENSETBL45[[#This Row],[UOM]]="acre",EXPENSETBL45[[#This Row],[ACRES]]," ")</f>
        <v xml:space="preserve"> </v>
      </c>
      <c r="L425" s="410">
        <f t="shared" si="35"/>
        <v>1</v>
      </c>
      <c r="M425" s="410">
        <f t="shared" si="36"/>
        <v>0</v>
      </c>
      <c r="N425" s="409" t="str">
        <f>IFERROR((EXPENSETBL45[[#This Row],[MCC.ENT]]*EXPENSETBL45[[#This Row],[TOTAL]])," ")</f>
        <v xml:space="preserve"> </v>
      </c>
      <c r="O425" s="409" t="str">
        <f>IFERROR((EXPENSETBL45[[#This Row],[L.L.]]*EXPENSETBL45[[#This Row],[TOTAL]])," ")</f>
        <v xml:space="preserve"> </v>
      </c>
      <c r="P425" s="409" t="str">
        <f>IFERROR((EXPENSETBL45[[#This Row],[QTY]]*EXPENSETBL45[[#This Row],[$/UOM]])," ")</f>
        <v xml:space="preserve"> </v>
      </c>
      <c r="Q425" s="409"/>
      <c r="R425" s="409"/>
      <c r="S425" s="507"/>
      <c r="T425" s="507"/>
      <c r="U425" s="507"/>
      <c r="V425" s="507"/>
      <c r="W425" s="507"/>
      <c r="X425" s="507"/>
      <c r="Y425" s="507"/>
      <c r="Z425" s="507"/>
      <c r="AA425" s="507"/>
      <c r="AB425" s="507"/>
    </row>
    <row r="426" spans="1:28" x14ac:dyDescent="0.25">
      <c r="A426" s="92" t="s">
        <v>38</v>
      </c>
      <c r="J426" s="409">
        <f>SUBTOTAL(109,EXPENSETBL45[$/UOM])</f>
        <v>-1655.2599999999989</v>
      </c>
      <c r="K426" s="92">
        <f>SUBTOTAL(109,EXPENSETBL45[QTY])</f>
        <v>4864.2800000000016</v>
      </c>
      <c r="N426" s="409">
        <f>SUBTOTAL(109,EXPENSETBL45[$M.E.])</f>
        <v>-120773.70035000003</v>
      </c>
      <c r="O426" s="409">
        <f>SUBTOTAL(109,EXPENSETBL45[$L.L.])</f>
        <v>-9215.8552500000005</v>
      </c>
      <c r="P426" s="409">
        <f>SUBTOTAL(109,EXPENSETBL45[TOTAL])</f>
        <v>-129989.55560000004</v>
      </c>
      <c r="S426" s="507"/>
      <c r="T426" s="507"/>
      <c r="U426" s="507"/>
      <c r="V426" s="507"/>
      <c r="W426" s="507"/>
      <c r="X426" s="507"/>
      <c r="Y426" s="507"/>
      <c r="Z426" s="507"/>
      <c r="AA426" s="507"/>
      <c r="AB426" s="507"/>
    </row>
  </sheetData>
  <mergeCells count="7">
    <mergeCell ref="A223:Q224"/>
    <mergeCell ref="O203:T206"/>
    <mergeCell ref="A20:Y23"/>
    <mergeCell ref="A1:K2"/>
    <mergeCell ref="V185:AB186"/>
    <mergeCell ref="AA183:AB183"/>
    <mergeCell ref="A83:H83"/>
  </mergeCells>
  <phoneticPr fontId="26" type="noConversion"/>
  <conditionalFormatting sqref="A198:C199">
    <cfRule type="containsText" dxfId="1736" priority="656" operator="containsText" text="GOLDEN GERMAN">
      <formula>NOT(ISERROR(SEARCH("GOLDEN GERMAN",A198)))</formula>
    </cfRule>
    <cfRule type="containsText" dxfId="1735" priority="657" operator="containsText" text="BUILDING SITE">
      <formula>NOT(ISERROR(SEARCH("BUILDING SITE",A198)))</formula>
    </cfRule>
    <cfRule type="containsText" dxfId="1734" priority="658" operator="containsText" text="WASTE">
      <formula>NOT(ISERROR(SEARCH("WASTE",A198)))</formula>
    </cfRule>
    <cfRule type="containsText" dxfId="1733" priority="659" operator="containsText" text="PASTURE">
      <formula>NOT(ISERROR(SEARCH("PASTURE",A198)))</formula>
    </cfRule>
    <cfRule type="cellIs" dxfId="1732" priority="660" operator="equal">
      <formula>"FORG/ WHEAT"</formula>
    </cfRule>
    <cfRule type="cellIs" dxfId="1731" priority="661" operator="equal">
      <formula>"FALL GRAZED"</formula>
    </cfRule>
    <cfRule type="cellIs" dxfId="1730" priority="662" operator="equal">
      <formula>"FALLOW"</formula>
    </cfRule>
    <cfRule type="cellIs" dxfId="1729" priority="663" operator="equal">
      <formula>"FALL GRAZED"</formula>
    </cfRule>
    <cfRule type="cellIs" dxfId="1728" priority="664" operator="equal">
      <formula>"TRITICALE"</formula>
    </cfRule>
    <cfRule type="cellIs" dxfId="1727" priority="665" operator="equal">
      <formula>"MILO"</formula>
    </cfRule>
    <cfRule type="cellIs" dxfId="1726" priority="666" operator="equal">
      <formula>"OAT/WHEAT"</formula>
    </cfRule>
    <cfRule type="cellIs" dxfId="1725" priority="667" operator="equal">
      <formula>"SPRING GRAZED"</formula>
    </cfRule>
    <cfRule type="cellIs" dxfId="1724" priority="668" operator="equal">
      <formula>"WHEAT"</formula>
    </cfRule>
    <cfRule type="cellIs" dxfId="1723" priority="669" operator="equal">
      <formula>"FORAGE SORGHUM"</formula>
    </cfRule>
    <cfRule type="cellIs" dxfId="1722" priority="670" operator="equal">
      <formula>"CORN"</formula>
    </cfRule>
  </conditionalFormatting>
  <conditionalFormatting sqref="A186:A188 A189:C189 A191:C197 A190:B190 A75:C81">
    <cfRule type="containsText" dxfId="1721" priority="624" operator="containsText" text="PEARL MILLET">
      <formula>NOT(ISERROR(SEARCH("PEARL MILLET",A75)))</formula>
    </cfRule>
    <cfRule type="containsText" dxfId="1720" priority="625" operator="containsText" text="PROSO MILLET">
      <formula>NOT(ISERROR(SEARCH("PROSO MILLET",A75)))</formula>
    </cfRule>
    <cfRule type="containsText" dxfId="1719" priority="626" operator="containsText" text="GOLDEN GERMAN">
      <formula>NOT(ISERROR(SEARCH("GOLDEN GERMAN",A75)))</formula>
    </cfRule>
    <cfRule type="containsText" dxfId="1718" priority="627" operator="containsText" text="BUILDING SITE">
      <formula>NOT(ISERROR(SEARCH("BUILDING SITE",A75)))</formula>
    </cfRule>
    <cfRule type="containsText" dxfId="1717" priority="628" operator="containsText" text="WASTE">
      <formula>NOT(ISERROR(SEARCH("WASTE",A75)))</formula>
    </cfRule>
    <cfRule type="containsText" dxfId="1716" priority="629" operator="containsText" text="PASTURE">
      <formula>NOT(ISERROR(SEARCH("PASTURE",A75)))</formula>
    </cfRule>
    <cfRule type="cellIs" dxfId="1715" priority="630" operator="equal">
      <formula>"FORG/ WHEAT"</formula>
    </cfRule>
    <cfRule type="cellIs" dxfId="1714" priority="631" operator="equal">
      <formula>"FALL GRAZED"</formula>
    </cfRule>
    <cfRule type="cellIs" dxfId="1713" priority="632" operator="equal">
      <formula>"FALLOW"</formula>
    </cfRule>
    <cfRule type="cellIs" dxfId="1712" priority="633" operator="equal">
      <formula>"FALL GRAZED"</formula>
    </cfRule>
    <cfRule type="cellIs" dxfId="1711" priority="634" operator="equal">
      <formula>"TRITICALE"</formula>
    </cfRule>
    <cfRule type="cellIs" dxfId="1710" priority="635" operator="equal">
      <formula>"SORGHUM"</formula>
    </cfRule>
    <cfRule type="cellIs" dxfId="1709" priority="636" operator="equal">
      <formula>"OAT/WHEAT"</formula>
    </cfRule>
    <cfRule type="cellIs" dxfId="1708" priority="637" operator="equal">
      <formula>"SPRING GRAZED"</formula>
    </cfRule>
    <cfRule type="cellIs" dxfId="1707" priority="638" operator="equal">
      <formula>"WHEAT"</formula>
    </cfRule>
    <cfRule type="cellIs" dxfId="1706" priority="639" operator="equal">
      <formula>"SORGHUM SUDAN"</formula>
    </cfRule>
    <cfRule type="cellIs" dxfId="1705" priority="640" operator="equal">
      <formula>"CORN"</formula>
    </cfRule>
  </conditionalFormatting>
  <conditionalFormatting sqref="A226:C232">
    <cfRule type="containsText" dxfId="1704" priority="556" operator="containsText" text="PEARL MILLET">
      <formula>NOT(ISERROR(SEARCH("PEARL MILLET",A226)))</formula>
    </cfRule>
    <cfRule type="containsText" dxfId="1703" priority="557" operator="containsText" text="PROSO MILLET">
      <formula>NOT(ISERROR(SEARCH("PROSO MILLET",A226)))</formula>
    </cfRule>
    <cfRule type="containsText" dxfId="1702" priority="558" operator="containsText" text="GOLDEN GERMAN">
      <formula>NOT(ISERROR(SEARCH("GOLDEN GERMAN",A226)))</formula>
    </cfRule>
    <cfRule type="containsText" dxfId="1701" priority="559" operator="containsText" text="BUILDING SITE">
      <formula>NOT(ISERROR(SEARCH("BUILDING SITE",A226)))</formula>
    </cfRule>
    <cfRule type="containsText" dxfId="1700" priority="560" operator="containsText" text="WASTE">
      <formula>NOT(ISERROR(SEARCH("WASTE",A226)))</formula>
    </cfRule>
    <cfRule type="containsText" dxfId="1699" priority="561" operator="containsText" text="PASTURE">
      <formula>NOT(ISERROR(SEARCH("PASTURE",A226)))</formula>
    </cfRule>
    <cfRule type="cellIs" dxfId="1698" priority="562" operator="equal">
      <formula>"FORG/ WHEAT"</formula>
    </cfRule>
    <cfRule type="cellIs" dxfId="1697" priority="563" operator="equal">
      <formula>"FALL GRAZED"</formula>
    </cfRule>
    <cfRule type="cellIs" dxfId="1696" priority="564" operator="equal">
      <formula>"FALLOW"</formula>
    </cfRule>
    <cfRule type="cellIs" dxfId="1695" priority="565" operator="equal">
      <formula>"FALL GRAZED"</formula>
    </cfRule>
    <cfRule type="cellIs" dxfId="1694" priority="566" operator="equal">
      <formula>"TRITICALE"</formula>
    </cfRule>
    <cfRule type="cellIs" dxfId="1693" priority="567" operator="equal">
      <formula>"SORGHUM"</formula>
    </cfRule>
    <cfRule type="cellIs" dxfId="1692" priority="568" operator="equal">
      <formula>"OAT/WHEAT"</formula>
    </cfRule>
    <cfRule type="cellIs" dxfId="1691" priority="569" operator="equal">
      <formula>"SPRING GRAZED"</formula>
    </cfRule>
    <cfRule type="cellIs" dxfId="1690" priority="570" operator="equal">
      <formula>"WHEAT"</formula>
    </cfRule>
    <cfRule type="cellIs" dxfId="1689" priority="571" operator="equal">
      <formula>"SORGHUM SUDAN"</formula>
    </cfRule>
    <cfRule type="cellIs" dxfId="1688" priority="572" operator="equal">
      <formula>"CORN"</formula>
    </cfRule>
  </conditionalFormatting>
  <conditionalFormatting sqref="B260:D265">
    <cfRule type="containsText" dxfId="1687" priority="539" operator="containsText" text="PEARL MILLET">
      <formula>NOT(ISERROR(SEARCH("PEARL MILLET",B260)))</formula>
    </cfRule>
    <cfRule type="containsText" dxfId="1686" priority="540" operator="containsText" text="PROSO MILLET">
      <formula>NOT(ISERROR(SEARCH("PROSO MILLET",B260)))</formula>
    </cfRule>
    <cfRule type="containsText" dxfId="1685" priority="541" operator="containsText" text="GOLDEN GERMAN">
      <formula>NOT(ISERROR(SEARCH("GOLDEN GERMAN",B260)))</formula>
    </cfRule>
    <cfRule type="containsText" dxfId="1684" priority="542" operator="containsText" text="BUILDING SITE">
      <formula>NOT(ISERROR(SEARCH("BUILDING SITE",B260)))</formula>
    </cfRule>
    <cfRule type="containsText" dxfId="1683" priority="543" operator="containsText" text="WASTE">
      <formula>NOT(ISERROR(SEARCH("WASTE",B260)))</formula>
    </cfRule>
    <cfRule type="containsText" dxfId="1682" priority="544" operator="containsText" text="PASTURE">
      <formula>NOT(ISERROR(SEARCH("PASTURE",B260)))</formula>
    </cfRule>
    <cfRule type="cellIs" dxfId="1681" priority="545" operator="equal">
      <formula>"FORG/ WHEAT"</formula>
    </cfRule>
    <cfRule type="cellIs" dxfId="1680" priority="546" operator="equal">
      <formula>"FALL GRAZED"</formula>
    </cfRule>
    <cfRule type="cellIs" dxfId="1679" priority="547" operator="equal">
      <formula>"FALLOW"</formula>
    </cfRule>
    <cfRule type="cellIs" dxfId="1678" priority="548" operator="equal">
      <formula>"FALL GRAZED"</formula>
    </cfRule>
    <cfRule type="cellIs" dxfId="1677" priority="549" operator="equal">
      <formula>"TRITICALE"</formula>
    </cfRule>
    <cfRule type="cellIs" dxfId="1676" priority="550" operator="equal">
      <formula>"SORGHUM"</formula>
    </cfRule>
    <cfRule type="cellIs" dxfId="1675" priority="551" operator="equal">
      <formula>"OAT/WHEAT"</formula>
    </cfRule>
    <cfRule type="cellIs" dxfId="1674" priority="552" operator="equal">
      <formula>"SPRING GRAZED"</formula>
    </cfRule>
    <cfRule type="cellIs" dxfId="1673" priority="553" operator="equal">
      <formula>"WHEAT"</formula>
    </cfRule>
    <cfRule type="cellIs" dxfId="1672" priority="554" operator="equal">
      <formula>"SORGHUM SUDAN"</formula>
    </cfRule>
    <cfRule type="cellIs" dxfId="1671" priority="555" operator="equal">
      <formula>"CORN"</formula>
    </cfRule>
  </conditionalFormatting>
  <conditionalFormatting sqref="B266:D271">
    <cfRule type="containsText" dxfId="1670" priority="522" operator="containsText" text="PEARL MILLET">
      <formula>NOT(ISERROR(SEARCH("PEARL MILLET",B266)))</formula>
    </cfRule>
    <cfRule type="containsText" dxfId="1669" priority="523" operator="containsText" text="PROSO MILLET">
      <formula>NOT(ISERROR(SEARCH("PROSO MILLET",B266)))</formula>
    </cfRule>
    <cfRule type="containsText" dxfId="1668" priority="524" operator="containsText" text="GOLDEN GERMAN">
      <formula>NOT(ISERROR(SEARCH("GOLDEN GERMAN",B266)))</formula>
    </cfRule>
    <cfRule type="containsText" dxfId="1667" priority="525" operator="containsText" text="BUILDING SITE">
      <formula>NOT(ISERROR(SEARCH("BUILDING SITE",B266)))</formula>
    </cfRule>
    <cfRule type="containsText" dxfId="1666" priority="526" operator="containsText" text="WASTE">
      <formula>NOT(ISERROR(SEARCH("WASTE",B266)))</formula>
    </cfRule>
    <cfRule type="containsText" dxfId="1665" priority="527" operator="containsText" text="PASTURE">
      <formula>NOT(ISERROR(SEARCH("PASTURE",B266)))</formula>
    </cfRule>
    <cfRule type="cellIs" dxfId="1664" priority="528" operator="equal">
      <formula>"FORG/ WHEAT"</formula>
    </cfRule>
    <cfRule type="cellIs" dxfId="1663" priority="529" operator="equal">
      <formula>"FALL GRAZED"</formula>
    </cfRule>
    <cfRule type="cellIs" dxfId="1662" priority="530" operator="equal">
      <formula>"FALLOW"</formula>
    </cfRule>
    <cfRule type="cellIs" dxfId="1661" priority="531" operator="equal">
      <formula>"FALL GRAZED"</formula>
    </cfRule>
    <cfRule type="cellIs" dxfId="1660" priority="532" operator="equal">
      <formula>"TRITICALE"</formula>
    </cfRule>
    <cfRule type="cellIs" dxfId="1659" priority="533" operator="equal">
      <formula>"SORGHUM"</formula>
    </cfRule>
    <cfRule type="cellIs" dxfId="1658" priority="534" operator="equal">
      <formula>"OAT/WHEAT"</formula>
    </cfRule>
    <cfRule type="cellIs" dxfId="1657" priority="535" operator="equal">
      <formula>"SPRING GRAZED"</formula>
    </cfRule>
    <cfRule type="cellIs" dxfId="1656" priority="536" operator="equal">
      <formula>"WHEAT"</formula>
    </cfRule>
    <cfRule type="cellIs" dxfId="1655" priority="537" operator="equal">
      <formula>"SORGHUM SUDAN"</formula>
    </cfRule>
    <cfRule type="cellIs" dxfId="1654" priority="538" operator="equal">
      <formula>"CORN"</formula>
    </cfRule>
  </conditionalFormatting>
  <conditionalFormatting sqref="B272:D277">
    <cfRule type="containsText" dxfId="1653" priority="505" operator="containsText" text="PEARL MILLET">
      <formula>NOT(ISERROR(SEARCH("PEARL MILLET",B272)))</formula>
    </cfRule>
    <cfRule type="containsText" dxfId="1652" priority="506" operator="containsText" text="PROSO MILLET">
      <formula>NOT(ISERROR(SEARCH("PROSO MILLET",B272)))</formula>
    </cfRule>
    <cfRule type="containsText" dxfId="1651" priority="507" operator="containsText" text="GOLDEN GERMAN">
      <formula>NOT(ISERROR(SEARCH("GOLDEN GERMAN",B272)))</formula>
    </cfRule>
    <cfRule type="containsText" dxfId="1650" priority="508" operator="containsText" text="BUILDING SITE">
      <formula>NOT(ISERROR(SEARCH("BUILDING SITE",B272)))</formula>
    </cfRule>
    <cfRule type="containsText" dxfId="1649" priority="509" operator="containsText" text="WASTE">
      <formula>NOT(ISERROR(SEARCH("WASTE",B272)))</formula>
    </cfRule>
    <cfRule type="containsText" dxfId="1648" priority="510" operator="containsText" text="PASTURE">
      <formula>NOT(ISERROR(SEARCH("PASTURE",B272)))</formula>
    </cfRule>
    <cfRule type="cellIs" dxfId="1647" priority="511" operator="equal">
      <formula>"FORG/ WHEAT"</formula>
    </cfRule>
    <cfRule type="cellIs" dxfId="1646" priority="512" operator="equal">
      <formula>"FALL GRAZED"</formula>
    </cfRule>
    <cfRule type="cellIs" dxfId="1645" priority="513" operator="equal">
      <formula>"FALLOW"</formula>
    </cfRule>
    <cfRule type="cellIs" dxfId="1644" priority="514" operator="equal">
      <formula>"FALL GRAZED"</formula>
    </cfRule>
    <cfRule type="cellIs" dxfId="1643" priority="515" operator="equal">
      <formula>"TRITICALE"</formula>
    </cfRule>
    <cfRule type="cellIs" dxfId="1642" priority="516" operator="equal">
      <formula>"SORGHUM"</formula>
    </cfRule>
    <cfRule type="cellIs" dxfId="1641" priority="517" operator="equal">
      <formula>"OAT/WHEAT"</formula>
    </cfRule>
    <cfRule type="cellIs" dxfId="1640" priority="518" operator="equal">
      <formula>"SPRING GRAZED"</formula>
    </cfRule>
    <cfRule type="cellIs" dxfId="1639" priority="519" operator="equal">
      <formula>"WHEAT"</formula>
    </cfRule>
    <cfRule type="cellIs" dxfId="1638" priority="520" operator="equal">
      <formula>"SORGHUM SUDAN"</formula>
    </cfRule>
    <cfRule type="cellIs" dxfId="1637" priority="521" operator="equal">
      <formula>"CORN"</formula>
    </cfRule>
  </conditionalFormatting>
  <conditionalFormatting sqref="B278:D283">
    <cfRule type="containsText" dxfId="1636" priority="488" operator="containsText" text="PEARL MILLET">
      <formula>NOT(ISERROR(SEARCH("PEARL MILLET",B278)))</formula>
    </cfRule>
    <cfRule type="containsText" dxfId="1635" priority="489" operator="containsText" text="PROSO MILLET">
      <formula>NOT(ISERROR(SEARCH("PROSO MILLET",B278)))</formula>
    </cfRule>
    <cfRule type="containsText" dxfId="1634" priority="490" operator="containsText" text="GOLDEN GERMAN">
      <formula>NOT(ISERROR(SEARCH("GOLDEN GERMAN",B278)))</formula>
    </cfRule>
    <cfRule type="containsText" dxfId="1633" priority="491" operator="containsText" text="BUILDING SITE">
      <formula>NOT(ISERROR(SEARCH("BUILDING SITE",B278)))</formula>
    </cfRule>
    <cfRule type="containsText" dxfId="1632" priority="492" operator="containsText" text="WASTE">
      <formula>NOT(ISERROR(SEARCH("WASTE",B278)))</formula>
    </cfRule>
    <cfRule type="containsText" dxfId="1631" priority="493" operator="containsText" text="PASTURE">
      <formula>NOT(ISERROR(SEARCH("PASTURE",B278)))</formula>
    </cfRule>
    <cfRule type="cellIs" dxfId="1630" priority="494" operator="equal">
      <formula>"FORG/ WHEAT"</formula>
    </cfRule>
    <cfRule type="cellIs" dxfId="1629" priority="495" operator="equal">
      <formula>"FALL GRAZED"</formula>
    </cfRule>
    <cfRule type="cellIs" dxfId="1628" priority="496" operator="equal">
      <formula>"FALLOW"</formula>
    </cfRule>
    <cfRule type="cellIs" dxfId="1627" priority="497" operator="equal">
      <formula>"FALL GRAZED"</formula>
    </cfRule>
    <cfRule type="cellIs" dxfId="1626" priority="498" operator="equal">
      <formula>"TRITICALE"</formula>
    </cfRule>
    <cfRule type="cellIs" dxfId="1625" priority="499" operator="equal">
      <formula>"SORGHUM"</formula>
    </cfRule>
    <cfRule type="cellIs" dxfId="1624" priority="500" operator="equal">
      <formula>"OAT/WHEAT"</formula>
    </cfRule>
    <cfRule type="cellIs" dxfId="1623" priority="501" operator="equal">
      <formula>"SPRING GRAZED"</formula>
    </cfRule>
    <cfRule type="cellIs" dxfId="1622" priority="502" operator="equal">
      <formula>"WHEAT"</formula>
    </cfRule>
    <cfRule type="cellIs" dxfId="1621" priority="503" operator="equal">
      <formula>"SORGHUM SUDAN"</formula>
    </cfRule>
    <cfRule type="cellIs" dxfId="1620" priority="504" operator="equal">
      <formula>"CORN"</formula>
    </cfRule>
  </conditionalFormatting>
  <conditionalFormatting sqref="B284:D295">
    <cfRule type="containsText" dxfId="1619" priority="471" operator="containsText" text="PEARL MILLET">
      <formula>NOT(ISERROR(SEARCH("PEARL MILLET",B284)))</formula>
    </cfRule>
    <cfRule type="containsText" dxfId="1618" priority="472" operator="containsText" text="PROSO MILLET">
      <formula>NOT(ISERROR(SEARCH("PROSO MILLET",B284)))</formula>
    </cfRule>
    <cfRule type="containsText" dxfId="1617" priority="473" operator="containsText" text="GOLDEN GERMAN">
      <formula>NOT(ISERROR(SEARCH("GOLDEN GERMAN",B284)))</formula>
    </cfRule>
    <cfRule type="containsText" dxfId="1616" priority="474" operator="containsText" text="BUILDING SITE">
      <formula>NOT(ISERROR(SEARCH("BUILDING SITE",B284)))</formula>
    </cfRule>
    <cfRule type="containsText" dxfId="1615" priority="475" operator="containsText" text="WASTE">
      <formula>NOT(ISERROR(SEARCH("WASTE",B284)))</formula>
    </cfRule>
    <cfRule type="containsText" dxfId="1614" priority="476" operator="containsText" text="PASTURE">
      <formula>NOT(ISERROR(SEARCH("PASTURE",B284)))</formula>
    </cfRule>
    <cfRule type="cellIs" dxfId="1613" priority="477" operator="equal">
      <formula>"FORG/ WHEAT"</formula>
    </cfRule>
    <cfRule type="cellIs" dxfId="1612" priority="478" operator="equal">
      <formula>"FALL GRAZED"</formula>
    </cfRule>
    <cfRule type="cellIs" dxfId="1611" priority="479" operator="equal">
      <formula>"FALLOW"</formula>
    </cfRule>
    <cfRule type="cellIs" dxfId="1610" priority="480" operator="equal">
      <formula>"FALL GRAZED"</formula>
    </cfRule>
    <cfRule type="cellIs" dxfId="1609" priority="481" operator="equal">
      <formula>"TRITICALE"</formula>
    </cfRule>
    <cfRule type="cellIs" dxfId="1608" priority="482" operator="equal">
      <formula>"SORGHUM"</formula>
    </cfRule>
    <cfRule type="cellIs" dxfId="1607" priority="483" operator="equal">
      <formula>"OAT/WHEAT"</formula>
    </cfRule>
    <cfRule type="cellIs" dxfId="1606" priority="484" operator="equal">
      <formula>"SPRING GRAZED"</formula>
    </cfRule>
    <cfRule type="cellIs" dxfId="1605" priority="485" operator="equal">
      <formula>"WHEAT"</formula>
    </cfRule>
    <cfRule type="cellIs" dxfId="1604" priority="486" operator="equal">
      <formula>"SORGHUM SUDAN"</formula>
    </cfRule>
    <cfRule type="cellIs" dxfId="1603" priority="487" operator="equal">
      <formula>"CORN"</formula>
    </cfRule>
  </conditionalFormatting>
  <conditionalFormatting sqref="B296:D307">
    <cfRule type="containsText" dxfId="1602" priority="454" operator="containsText" text="PEARL MILLET">
      <formula>NOT(ISERROR(SEARCH("PEARL MILLET",B296)))</formula>
    </cfRule>
    <cfRule type="containsText" dxfId="1601" priority="455" operator="containsText" text="PROSO MILLET">
      <formula>NOT(ISERROR(SEARCH("PROSO MILLET",B296)))</formula>
    </cfRule>
    <cfRule type="containsText" dxfId="1600" priority="456" operator="containsText" text="GOLDEN GERMAN">
      <formula>NOT(ISERROR(SEARCH("GOLDEN GERMAN",B296)))</formula>
    </cfRule>
    <cfRule type="containsText" dxfId="1599" priority="457" operator="containsText" text="BUILDING SITE">
      <formula>NOT(ISERROR(SEARCH("BUILDING SITE",B296)))</formula>
    </cfRule>
    <cfRule type="containsText" dxfId="1598" priority="458" operator="containsText" text="WASTE">
      <formula>NOT(ISERROR(SEARCH("WASTE",B296)))</formula>
    </cfRule>
    <cfRule type="containsText" dxfId="1597" priority="459" operator="containsText" text="PASTURE">
      <formula>NOT(ISERROR(SEARCH("PASTURE",B296)))</formula>
    </cfRule>
    <cfRule type="cellIs" dxfId="1596" priority="460" operator="equal">
      <formula>"FORG/ WHEAT"</formula>
    </cfRule>
    <cfRule type="cellIs" dxfId="1595" priority="461" operator="equal">
      <formula>"FALL GRAZED"</formula>
    </cfRule>
    <cfRule type="cellIs" dxfId="1594" priority="462" operator="equal">
      <formula>"FALLOW"</formula>
    </cfRule>
    <cfRule type="cellIs" dxfId="1593" priority="463" operator="equal">
      <formula>"FALL GRAZED"</formula>
    </cfRule>
    <cfRule type="cellIs" dxfId="1592" priority="464" operator="equal">
      <formula>"TRITICALE"</formula>
    </cfRule>
    <cfRule type="cellIs" dxfId="1591" priority="465" operator="equal">
      <formula>"SORGHUM"</formula>
    </cfRule>
    <cfRule type="cellIs" dxfId="1590" priority="466" operator="equal">
      <formula>"OAT/WHEAT"</formula>
    </cfRule>
    <cfRule type="cellIs" dxfId="1589" priority="467" operator="equal">
      <formula>"SPRING GRAZED"</formula>
    </cfRule>
    <cfRule type="cellIs" dxfId="1588" priority="468" operator="equal">
      <formula>"WHEAT"</formula>
    </cfRule>
    <cfRule type="cellIs" dxfId="1587" priority="469" operator="equal">
      <formula>"SORGHUM SUDAN"</formula>
    </cfRule>
    <cfRule type="cellIs" dxfId="1586" priority="470" operator="equal">
      <formula>"CORN"</formula>
    </cfRule>
  </conditionalFormatting>
  <conditionalFormatting sqref="B308:D319">
    <cfRule type="containsText" dxfId="1585" priority="437" operator="containsText" text="PEARL MILLET">
      <formula>NOT(ISERROR(SEARCH("PEARL MILLET",B308)))</formula>
    </cfRule>
    <cfRule type="containsText" dxfId="1584" priority="438" operator="containsText" text="PROSO MILLET">
      <formula>NOT(ISERROR(SEARCH("PROSO MILLET",B308)))</formula>
    </cfRule>
    <cfRule type="containsText" dxfId="1583" priority="439" operator="containsText" text="GOLDEN GERMAN">
      <formula>NOT(ISERROR(SEARCH("GOLDEN GERMAN",B308)))</formula>
    </cfRule>
    <cfRule type="containsText" dxfId="1582" priority="440" operator="containsText" text="BUILDING SITE">
      <formula>NOT(ISERROR(SEARCH("BUILDING SITE",B308)))</formula>
    </cfRule>
    <cfRule type="containsText" dxfId="1581" priority="441" operator="containsText" text="WASTE">
      <formula>NOT(ISERROR(SEARCH("WASTE",B308)))</formula>
    </cfRule>
    <cfRule type="containsText" dxfId="1580" priority="442" operator="containsText" text="PASTURE">
      <formula>NOT(ISERROR(SEARCH("PASTURE",B308)))</formula>
    </cfRule>
    <cfRule type="cellIs" dxfId="1579" priority="443" operator="equal">
      <formula>"FORG/ WHEAT"</formula>
    </cfRule>
    <cfRule type="cellIs" dxfId="1578" priority="444" operator="equal">
      <formula>"FALL GRAZED"</formula>
    </cfRule>
    <cfRule type="cellIs" dxfId="1577" priority="445" operator="equal">
      <formula>"FALLOW"</formula>
    </cfRule>
    <cfRule type="cellIs" dxfId="1576" priority="446" operator="equal">
      <formula>"FALL GRAZED"</formula>
    </cfRule>
    <cfRule type="cellIs" dxfId="1575" priority="447" operator="equal">
      <formula>"TRITICALE"</formula>
    </cfRule>
    <cfRule type="cellIs" dxfId="1574" priority="448" operator="equal">
      <formula>"SORGHUM"</formula>
    </cfRule>
    <cfRule type="cellIs" dxfId="1573" priority="449" operator="equal">
      <formula>"OAT/WHEAT"</formula>
    </cfRule>
    <cfRule type="cellIs" dxfId="1572" priority="450" operator="equal">
      <formula>"SPRING GRAZED"</formula>
    </cfRule>
    <cfRule type="cellIs" dxfId="1571" priority="451" operator="equal">
      <formula>"WHEAT"</formula>
    </cfRule>
    <cfRule type="cellIs" dxfId="1570" priority="452" operator="equal">
      <formula>"SORGHUM SUDAN"</formula>
    </cfRule>
    <cfRule type="cellIs" dxfId="1569" priority="453" operator="equal">
      <formula>"CORN"</formula>
    </cfRule>
  </conditionalFormatting>
  <conditionalFormatting sqref="B320:D331">
    <cfRule type="containsText" dxfId="1568" priority="420" operator="containsText" text="PEARL MILLET">
      <formula>NOT(ISERROR(SEARCH("PEARL MILLET",B320)))</formula>
    </cfRule>
    <cfRule type="containsText" dxfId="1567" priority="421" operator="containsText" text="PROSO MILLET">
      <formula>NOT(ISERROR(SEARCH("PROSO MILLET",B320)))</formula>
    </cfRule>
    <cfRule type="containsText" dxfId="1566" priority="422" operator="containsText" text="GOLDEN GERMAN">
      <formula>NOT(ISERROR(SEARCH("GOLDEN GERMAN",B320)))</formula>
    </cfRule>
    <cfRule type="containsText" dxfId="1565" priority="423" operator="containsText" text="BUILDING SITE">
      <formula>NOT(ISERROR(SEARCH("BUILDING SITE",B320)))</formula>
    </cfRule>
    <cfRule type="containsText" dxfId="1564" priority="424" operator="containsText" text="WASTE">
      <formula>NOT(ISERROR(SEARCH("WASTE",B320)))</formula>
    </cfRule>
    <cfRule type="containsText" dxfId="1563" priority="425" operator="containsText" text="PASTURE">
      <formula>NOT(ISERROR(SEARCH("PASTURE",B320)))</formula>
    </cfRule>
    <cfRule type="cellIs" dxfId="1562" priority="426" operator="equal">
      <formula>"FORG/ WHEAT"</formula>
    </cfRule>
    <cfRule type="cellIs" dxfId="1561" priority="427" operator="equal">
      <formula>"FALL GRAZED"</formula>
    </cfRule>
    <cfRule type="cellIs" dxfId="1560" priority="428" operator="equal">
      <formula>"FALLOW"</formula>
    </cfRule>
    <cfRule type="cellIs" dxfId="1559" priority="429" operator="equal">
      <formula>"FALL GRAZED"</formula>
    </cfRule>
    <cfRule type="cellIs" dxfId="1558" priority="430" operator="equal">
      <formula>"TRITICALE"</formula>
    </cfRule>
    <cfRule type="cellIs" dxfId="1557" priority="431" operator="equal">
      <formula>"SORGHUM"</formula>
    </cfRule>
    <cfRule type="cellIs" dxfId="1556" priority="432" operator="equal">
      <formula>"OAT/WHEAT"</formula>
    </cfRule>
    <cfRule type="cellIs" dxfId="1555" priority="433" operator="equal">
      <formula>"SPRING GRAZED"</formula>
    </cfRule>
    <cfRule type="cellIs" dxfId="1554" priority="434" operator="equal">
      <formula>"WHEAT"</formula>
    </cfRule>
    <cfRule type="cellIs" dxfId="1553" priority="435" operator="equal">
      <formula>"SORGHUM SUDAN"</formula>
    </cfRule>
    <cfRule type="cellIs" dxfId="1552" priority="436" operator="equal">
      <formula>"CORN"</formula>
    </cfRule>
  </conditionalFormatting>
  <conditionalFormatting sqref="B332:D343">
    <cfRule type="containsText" dxfId="1551" priority="403" operator="containsText" text="PEARL MILLET">
      <formula>NOT(ISERROR(SEARCH("PEARL MILLET",B332)))</formula>
    </cfRule>
    <cfRule type="containsText" dxfId="1550" priority="404" operator="containsText" text="PROSO MILLET">
      <formula>NOT(ISERROR(SEARCH("PROSO MILLET",B332)))</formula>
    </cfRule>
    <cfRule type="containsText" dxfId="1549" priority="405" operator="containsText" text="GOLDEN GERMAN">
      <formula>NOT(ISERROR(SEARCH("GOLDEN GERMAN",B332)))</formula>
    </cfRule>
    <cfRule type="containsText" dxfId="1548" priority="406" operator="containsText" text="BUILDING SITE">
      <formula>NOT(ISERROR(SEARCH("BUILDING SITE",B332)))</formula>
    </cfRule>
    <cfRule type="containsText" dxfId="1547" priority="407" operator="containsText" text="WASTE">
      <formula>NOT(ISERROR(SEARCH("WASTE",B332)))</formula>
    </cfRule>
    <cfRule type="containsText" dxfId="1546" priority="408" operator="containsText" text="PASTURE">
      <formula>NOT(ISERROR(SEARCH("PASTURE",B332)))</formula>
    </cfRule>
    <cfRule type="cellIs" dxfId="1545" priority="409" operator="equal">
      <formula>"FORG/ WHEAT"</formula>
    </cfRule>
    <cfRule type="cellIs" dxfId="1544" priority="410" operator="equal">
      <formula>"FALL GRAZED"</formula>
    </cfRule>
    <cfRule type="cellIs" dxfId="1543" priority="411" operator="equal">
      <formula>"FALLOW"</formula>
    </cfRule>
    <cfRule type="cellIs" dxfId="1542" priority="412" operator="equal">
      <formula>"FALL GRAZED"</formula>
    </cfRule>
    <cfRule type="cellIs" dxfId="1541" priority="413" operator="equal">
      <formula>"TRITICALE"</formula>
    </cfRule>
    <cfRule type="cellIs" dxfId="1540" priority="414" operator="equal">
      <formula>"SORGHUM"</formula>
    </cfRule>
    <cfRule type="cellIs" dxfId="1539" priority="415" operator="equal">
      <formula>"OAT/WHEAT"</formula>
    </cfRule>
    <cfRule type="cellIs" dxfId="1538" priority="416" operator="equal">
      <formula>"SPRING GRAZED"</formula>
    </cfRule>
    <cfRule type="cellIs" dxfId="1537" priority="417" operator="equal">
      <formula>"WHEAT"</formula>
    </cfRule>
    <cfRule type="cellIs" dxfId="1536" priority="418" operator="equal">
      <formula>"SORGHUM SUDAN"</formula>
    </cfRule>
    <cfRule type="cellIs" dxfId="1535" priority="419" operator="equal">
      <formula>"CORN"</formula>
    </cfRule>
  </conditionalFormatting>
  <conditionalFormatting sqref="B344:D355">
    <cfRule type="containsText" dxfId="1534" priority="386" operator="containsText" text="PEARL MILLET">
      <formula>NOT(ISERROR(SEARCH("PEARL MILLET",B344)))</formula>
    </cfRule>
    <cfRule type="containsText" dxfId="1533" priority="387" operator="containsText" text="PROSO MILLET">
      <formula>NOT(ISERROR(SEARCH("PROSO MILLET",B344)))</formula>
    </cfRule>
    <cfRule type="containsText" dxfId="1532" priority="388" operator="containsText" text="GOLDEN GERMAN">
      <formula>NOT(ISERROR(SEARCH("GOLDEN GERMAN",B344)))</formula>
    </cfRule>
    <cfRule type="containsText" dxfId="1531" priority="389" operator="containsText" text="BUILDING SITE">
      <formula>NOT(ISERROR(SEARCH("BUILDING SITE",B344)))</formula>
    </cfRule>
    <cfRule type="containsText" dxfId="1530" priority="390" operator="containsText" text="WASTE">
      <formula>NOT(ISERROR(SEARCH("WASTE",B344)))</formula>
    </cfRule>
    <cfRule type="containsText" dxfId="1529" priority="391" operator="containsText" text="PASTURE">
      <formula>NOT(ISERROR(SEARCH("PASTURE",B344)))</formula>
    </cfRule>
    <cfRule type="cellIs" dxfId="1528" priority="392" operator="equal">
      <formula>"FORG/ WHEAT"</formula>
    </cfRule>
    <cfRule type="cellIs" dxfId="1527" priority="393" operator="equal">
      <formula>"FALL GRAZED"</formula>
    </cfRule>
    <cfRule type="cellIs" dxfId="1526" priority="394" operator="equal">
      <formula>"FALLOW"</formula>
    </cfRule>
    <cfRule type="cellIs" dxfId="1525" priority="395" operator="equal">
      <formula>"FALL GRAZED"</formula>
    </cfRule>
    <cfRule type="cellIs" dxfId="1524" priority="396" operator="equal">
      <formula>"TRITICALE"</formula>
    </cfRule>
    <cfRule type="cellIs" dxfId="1523" priority="397" operator="equal">
      <formula>"SORGHUM"</formula>
    </cfRule>
    <cfRule type="cellIs" dxfId="1522" priority="398" operator="equal">
      <formula>"OAT/WHEAT"</formula>
    </cfRule>
    <cfRule type="cellIs" dxfId="1521" priority="399" operator="equal">
      <formula>"SPRING GRAZED"</formula>
    </cfRule>
    <cfRule type="cellIs" dxfId="1520" priority="400" operator="equal">
      <formula>"WHEAT"</formula>
    </cfRule>
    <cfRule type="cellIs" dxfId="1519" priority="401" operator="equal">
      <formula>"SORGHUM SUDAN"</formula>
    </cfRule>
    <cfRule type="cellIs" dxfId="1518" priority="402" operator="equal">
      <formula>"CORN"</formula>
    </cfRule>
  </conditionalFormatting>
  <conditionalFormatting sqref="H101">
    <cfRule type="containsText" dxfId="1517" priority="369" operator="containsText" text="PEARL MILLET">
      <formula>NOT(ISERROR(SEARCH("PEARL MILLET",H101)))</formula>
    </cfRule>
    <cfRule type="containsText" dxfId="1516" priority="370" operator="containsText" text="PROSO MILLET">
      <formula>NOT(ISERROR(SEARCH("PROSO MILLET",H101)))</formula>
    </cfRule>
    <cfRule type="containsText" dxfId="1515" priority="371" operator="containsText" text="GOLDEN GERMAN">
      <formula>NOT(ISERROR(SEARCH("GOLDEN GERMAN",H101)))</formula>
    </cfRule>
    <cfRule type="containsText" dxfId="1514" priority="372" operator="containsText" text="BUILDING SITE">
      <formula>NOT(ISERROR(SEARCH("BUILDING SITE",H101)))</formula>
    </cfRule>
    <cfRule type="containsText" dxfId="1513" priority="373" operator="containsText" text="WASTE">
      <formula>NOT(ISERROR(SEARCH("WASTE",H101)))</formula>
    </cfRule>
    <cfRule type="containsText" dxfId="1512" priority="374" operator="containsText" text="PASTURE">
      <formula>NOT(ISERROR(SEARCH("PASTURE",H101)))</formula>
    </cfRule>
    <cfRule type="cellIs" dxfId="1511" priority="375" operator="equal">
      <formula>"FORG/ WHEAT"</formula>
    </cfRule>
    <cfRule type="cellIs" dxfId="1510" priority="376" operator="equal">
      <formula>"FALL GRAZED"</formula>
    </cfRule>
    <cfRule type="cellIs" dxfId="1509" priority="377" operator="equal">
      <formula>"FALLOW"</formula>
    </cfRule>
    <cfRule type="cellIs" dxfId="1508" priority="378" operator="equal">
      <formula>"FALL GRAZED"</formula>
    </cfRule>
    <cfRule type="cellIs" dxfId="1507" priority="379" operator="equal">
      <formula>"TRITICALE"</formula>
    </cfRule>
    <cfRule type="cellIs" dxfId="1506" priority="380" operator="equal">
      <formula>"SORGHUM"</formula>
    </cfRule>
    <cfRule type="cellIs" dxfId="1505" priority="381" operator="equal">
      <formula>"OAT/WHEAT"</formula>
    </cfRule>
    <cfRule type="cellIs" dxfId="1504" priority="382" operator="equal">
      <formula>"SPRING GRAZED"</formula>
    </cfRule>
    <cfRule type="cellIs" dxfId="1503" priority="383" operator="equal">
      <formula>"WHEAT"</formula>
    </cfRule>
    <cfRule type="cellIs" dxfId="1502" priority="384" operator="equal">
      <formula>"SORGHUM SUDAN"</formula>
    </cfRule>
    <cfRule type="cellIs" dxfId="1501" priority="385" operator="equal">
      <formula>"CORN"</formula>
    </cfRule>
  </conditionalFormatting>
  <conditionalFormatting sqref="H118">
    <cfRule type="containsText" dxfId="1500" priority="284" operator="containsText" text="PEARL MILLET">
      <formula>NOT(ISERROR(SEARCH("PEARL MILLET",H118)))</formula>
    </cfRule>
    <cfRule type="containsText" dxfId="1499" priority="285" operator="containsText" text="PROSO MILLET">
      <formula>NOT(ISERROR(SEARCH("PROSO MILLET",H118)))</formula>
    </cfRule>
    <cfRule type="containsText" dxfId="1498" priority="286" operator="containsText" text="GOLDEN GERMAN">
      <formula>NOT(ISERROR(SEARCH("GOLDEN GERMAN",H118)))</formula>
    </cfRule>
    <cfRule type="containsText" dxfId="1497" priority="287" operator="containsText" text="BUILDING SITE">
      <formula>NOT(ISERROR(SEARCH("BUILDING SITE",H118)))</formula>
    </cfRule>
    <cfRule type="containsText" dxfId="1496" priority="288" operator="containsText" text="WASTE">
      <formula>NOT(ISERROR(SEARCH("WASTE",H118)))</formula>
    </cfRule>
    <cfRule type="containsText" dxfId="1495" priority="289" operator="containsText" text="PASTURE">
      <formula>NOT(ISERROR(SEARCH("PASTURE",H118)))</formula>
    </cfRule>
    <cfRule type="cellIs" dxfId="1494" priority="290" operator="equal">
      <formula>"FORG/ WHEAT"</formula>
    </cfRule>
    <cfRule type="cellIs" dxfId="1493" priority="291" operator="equal">
      <formula>"FALL GRAZED"</formula>
    </cfRule>
    <cfRule type="cellIs" dxfId="1492" priority="292" operator="equal">
      <formula>"FALLOW"</formula>
    </cfRule>
    <cfRule type="cellIs" dxfId="1491" priority="293" operator="equal">
      <formula>"FALL GRAZED"</formula>
    </cfRule>
    <cfRule type="cellIs" dxfId="1490" priority="294" operator="equal">
      <formula>"TRITICALE"</formula>
    </cfRule>
    <cfRule type="cellIs" dxfId="1489" priority="295" operator="equal">
      <formula>"SORGHUM"</formula>
    </cfRule>
    <cfRule type="cellIs" dxfId="1488" priority="296" operator="equal">
      <formula>"OAT/WHEAT"</formula>
    </cfRule>
    <cfRule type="cellIs" dxfId="1487" priority="297" operator="equal">
      <formula>"SPRING GRAZED"</formula>
    </cfRule>
    <cfRule type="cellIs" dxfId="1486" priority="298" operator="equal">
      <formula>"WHEAT"</formula>
    </cfRule>
    <cfRule type="cellIs" dxfId="1485" priority="299" operator="equal">
      <formula>"SORGHUM SUDAN"</formula>
    </cfRule>
    <cfRule type="cellIs" dxfId="1484" priority="300" operator="equal">
      <formula>"CORN"</formula>
    </cfRule>
  </conditionalFormatting>
  <conditionalFormatting sqref="H123">
    <cfRule type="containsText" dxfId="1483" priority="267" operator="containsText" text="PEARL MILLET">
      <formula>NOT(ISERROR(SEARCH("PEARL MILLET",H123)))</formula>
    </cfRule>
    <cfRule type="containsText" dxfId="1482" priority="268" operator="containsText" text="PROSO MILLET">
      <formula>NOT(ISERROR(SEARCH("PROSO MILLET",H123)))</formula>
    </cfRule>
    <cfRule type="containsText" dxfId="1481" priority="269" operator="containsText" text="GOLDEN GERMAN">
      <formula>NOT(ISERROR(SEARCH("GOLDEN GERMAN",H123)))</formula>
    </cfRule>
    <cfRule type="containsText" dxfId="1480" priority="270" operator="containsText" text="BUILDING SITE">
      <formula>NOT(ISERROR(SEARCH("BUILDING SITE",H123)))</formula>
    </cfRule>
    <cfRule type="containsText" dxfId="1479" priority="271" operator="containsText" text="WASTE">
      <formula>NOT(ISERROR(SEARCH("WASTE",H123)))</formula>
    </cfRule>
    <cfRule type="containsText" dxfId="1478" priority="272" operator="containsText" text="PASTURE">
      <formula>NOT(ISERROR(SEARCH("PASTURE",H123)))</formula>
    </cfRule>
    <cfRule type="cellIs" dxfId="1477" priority="273" operator="equal">
      <formula>"FORG/ WHEAT"</formula>
    </cfRule>
    <cfRule type="cellIs" dxfId="1476" priority="274" operator="equal">
      <formula>"FALL GRAZED"</formula>
    </cfRule>
    <cfRule type="cellIs" dxfId="1475" priority="275" operator="equal">
      <formula>"FALLOW"</formula>
    </cfRule>
    <cfRule type="cellIs" dxfId="1474" priority="276" operator="equal">
      <formula>"FALL GRAZED"</formula>
    </cfRule>
    <cfRule type="cellIs" dxfId="1473" priority="277" operator="equal">
      <formula>"TRITICALE"</formula>
    </cfRule>
    <cfRule type="cellIs" dxfId="1472" priority="278" operator="equal">
      <formula>"SORGHUM"</formula>
    </cfRule>
    <cfRule type="cellIs" dxfId="1471" priority="279" operator="equal">
      <formula>"OAT/WHEAT"</formula>
    </cfRule>
    <cfRule type="cellIs" dxfId="1470" priority="280" operator="equal">
      <formula>"SPRING GRAZED"</formula>
    </cfRule>
    <cfRule type="cellIs" dxfId="1469" priority="281" operator="equal">
      <formula>"WHEAT"</formula>
    </cfRule>
    <cfRule type="cellIs" dxfId="1468" priority="282" operator="equal">
      <formula>"SORGHUM SUDAN"</formula>
    </cfRule>
    <cfRule type="cellIs" dxfId="1467" priority="283" operator="equal">
      <formula>"CORN"</formula>
    </cfRule>
  </conditionalFormatting>
  <conditionalFormatting sqref="H128">
    <cfRule type="containsText" dxfId="1466" priority="250" operator="containsText" text="PEARL MILLET">
      <formula>NOT(ISERROR(SEARCH("PEARL MILLET",H128)))</formula>
    </cfRule>
    <cfRule type="containsText" dxfId="1465" priority="251" operator="containsText" text="PROSO MILLET">
      <formula>NOT(ISERROR(SEARCH("PROSO MILLET",H128)))</formula>
    </cfRule>
    <cfRule type="containsText" dxfId="1464" priority="252" operator="containsText" text="GOLDEN GERMAN">
      <formula>NOT(ISERROR(SEARCH("GOLDEN GERMAN",H128)))</formula>
    </cfRule>
    <cfRule type="containsText" dxfId="1463" priority="253" operator="containsText" text="BUILDING SITE">
      <formula>NOT(ISERROR(SEARCH("BUILDING SITE",H128)))</formula>
    </cfRule>
    <cfRule type="containsText" dxfId="1462" priority="254" operator="containsText" text="WASTE">
      <formula>NOT(ISERROR(SEARCH("WASTE",H128)))</formula>
    </cfRule>
    <cfRule type="containsText" dxfId="1461" priority="255" operator="containsText" text="PASTURE">
      <formula>NOT(ISERROR(SEARCH("PASTURE",H128)))</formula>
    </cfRule>
    <cfRule type="cellIs" dxfId="1460" priority="256" operator="equal">
      <formula>"FORG/ WHEAT"</formula>
    </cfRule>
    <cfRule type="cellIs" dxfId="1459" priority="257" operator="equal">
      <formula>"FALL GRAZED"</formula>
    </cfRule>
    <cfRule type="cellIs" dxfId="1458" priority="258" operator="equal">
      <formula>"FALLOW"</formula>
    </cfRule>
    <cfRule type="cellIs" dxfId="1457" priority="259" operator="equal">
      <formula>"FALL GRAZED"</formula>
    </cfRule>
    <cfRule type="cellIs" dxfId="1456" priority="260" operator="equal">
      <formula>"TRITICALE"</formula>
    </cfRule>
    <cfRule type="cellIs" dxfId="1455" priority="261" operator="equal">
      <formula>"SORGHUM"</formula>
    </cfRule>
    <cfRule type="cellIs" dxfId="1454" priority="262" operator="equal">
      <formula>"OAT/WHEAT"</formula>
    </cfRule>
    <cfRule type="cellIs" dxfId="1453" priority="263" operator="equal">
      <formula>"SPRING GRAZED"</formula>
    </cfRule>
    <cfRule type="cellIs" dxfId="1452" priority="264" operator="equal">
      <formula>"WHEAT"</formula>
    </cfRule>
    <cfRule type="cellIs" dxfId="1451" priority="265" operator="equal">
      <formula>"SORGHUM SUDAN"</formula>
    </cfRule>
    <cfRule type="cellIs" dxfId="1450" priority="266" operator="equal">
      <formula>"CORN"</formula>
    </cfRule>
  </conditionalFormatting>
  <conditionalFormatting sqref="H138">
    <cfRule type="containsText" dxfId="1449" priority="233" operator="containsText" text="PEARL MILLET">
      <formula>NOT(ISERROR(SEARCH("PEARL MILLET",H138)))</formula>
    </cfRule>
    <cfRule type="containsText" dxfId="1448" priority="234" operator="containsText" text="PROSO MILLET">
      <formula>NOT(ISERROR(SEARCH("PROSO MILLET",H138)))</formula>
    </cfRule>
    <cfRule type="containsText" dxfId="1447" priority="235" operator="containsText" text="GOLDEN GERMAN">
      <formula>NOT(ISERROR(SEARCH("GOLDEN GERMAN",H138)))</formula>
    </cfRule>
    <cfRule type="containsText" dxfId="1446" priority="236" operator="containsText" text="BUILDING SITE">
      <formula>NOT(ISERROR(SEARCH("BUILDING SITE",H138)))</formula>
    </cfRule>
    <cfRule type="containsText" dxfId="1445" priority="237" operator="containsText" text="WASTE">
      <formula>NOT(ISERROR(SEARCH("WASTE",H138)))</formula>
    </cfRule>
    <cfRule type="containsText" dxfId="1444" priority="238" operator="containsText" text="PASTURE">
      <formula>NOT(ISERROR(SEARCH("PASTURE",H138)))</formula>
    </cfRule>
    <cfRule type="cellIs" dxfId="1443" priority="239" operator="equal">
      <formula>"FORG/ WHEAT"</formula>
    </cfRule>
    <cfRule type="cellIs" dxfId="1442" priority="240" operator="equal">
      <formula>"FALL GRAZED"</formula>
    </cfRule>
    <cfRule type="cellIs" dxfId="1441" priority="241" operator="equal">
      <formula>"FALLOW"</formula>
    </cfRule>
    <cfRule type="cellIs" dxfId="1440" priority="242" operator="equal">
      <formula>"FALL GRAZED"</formula>
    </cfRule>
    <cfRule type="cellIs" dxfId="1439" priority="243" operator="equal">
      <formula>"TRITICALE"</formula>
    </cfRule>
    <cfRule type="cellIs" dxfId="1438" priority="244" operator="equal">
      <formula>"SORGHUM"</formula>
    </cfRule>
    <cfRule type="cellIs" dxfId="1437" priority="245" operator="equal">
      <formula>"OAT/WHEAT"</formula>
    </cfRule>
    <cfRule type="cellIs" dxfId="1436" priority="246" operator="equal">
      <formula>"SPRING GRAZED"</formula>
    </cfRule>
    <cfRule type="cellIs" dxfId="1435" priority="247" operator="equal">
      <formula>"WHEAT"</formula>
    </cfRule>
    <cfRule type="cellIs" dxfId="1434" priority="248" operator="equal">
      <formula>"SORGHUM SUDAN"</formula>
    </cfRule>
    <cfRule type="cellIs" dxfId="1433" priority="249" operator="equal">
      <formula>"CORN"</formula>
    </cfRule>
  </conditionalFormatting>
  <conditionalFormatting sqref="H152">
    <cfRule type="containsText" dxfId="1432" priority="216" operator="containsText" text="PEARL MILLET">
      <formula>NOT(ISERROR(SEARCH("PEARL MILLET",H152)))</formula>
    </cfRule>
    <cfRule type="containsText" dxfId="1431" priority="217" operator="containsText" text="PROSO MILLET">
      <formula>NOT(ISERROR(SEARCH("PROSO MILLET",H152)))</formula>
    </cfRule>
    <cfRule type="containsText" dxfId="1430" priority="218" operator="containsText" text="GOLDEN GERMAN">
      <formula>NOT(ISERROR(SEARCH("GOLDEN GERMAN",H152)))</formula>
    </cfRule>
    <cfRule type="containsText" dxfId="1429" priority="219" operator="containsText" text="BUILDING SITE">
      <formula>NOT(ISERROR(SEARCH("BUILDING SITE",H152)))</formula>
    </cfRule>
    <cfRule type="containsText" dxfId="1428" priority="220" operator="containsText" text="WASTE">
      <formula>NOT(ISERROR(SEARCH("WASTE",H152)))</formula>
    </cfRule>
    <cfRule type="containsText" dxfId="1427" priority="221" operator="containsText" text="PASTURE">
      <formula>NOT(ISERROR(SEARCH("PASTURE",H152)))</formula>
    </cfRule>
    <cfRule type="cellIs" dxfId="1426" priority="222" operator="equal">
      <formula>"FORG/ WHEAT"</formula>
    </cfRule>
    <cfRule type="cellIs" dxfId="1425" priority="223" operator="equal">
      <formula>"FALL GRAZED"</formula>
    </cfRule>
    <cfRule type="cellIs" dxfId="1424" priority="224" operator="equal">
      <formula>"FALLOW"</formula>
    </cfRule>
    <cfRule type="cellIs" dxfId="1423" priority="225" operator="equal">
      <formula>"FALL GRAZED"</formula>
    </cfRule>
    <cfRule type="cellIs" dxfId="1422" priority="226" operator="equal">
      <formula>"TRITICALE"</formula>
    </cfRule>
    <cfRule type="cellIs" dxfId="1421" priority="227" operator="equal">
      <formula>"SORGHUM"</formula>
    </cfRule>
    <cfRule type="cellIs" dxfId="1420" priority="228" operator="equal">
      <formula>"OAT/WHEAT"</formula>
    </cfRule>
    <cfRule type="cellIs" dxfId="1419" priority="229" operator="equal">
      <formula>"SPRING GRAZED"</formula>
    </cfRule>
    <cfRule type="cellIs" dxfId="1418" priority="230" operator="equal">
      <formula>"WHEAT"</formula>
    </cfRule>
    <cfRule type="cellIs" dxfId="1417" priority="231" operator="equal">
      <formula>"SORGHUM SUDAN"</formula>
    </cfRule>
    <cfRule type="cellIs" dxfId="1416" priority="232" operator="equal">
      <formula>"CORN"</formula>
    </cfRule>
  </conditionalFormatting>
  <conditionalFormatting sqref="H157">
    <cfRule type="containsText" dxfId="1415" priority="199" operator="containsText" text="PEARL MILLET">
      <formula>NOT(ISERROR(SEARCH("PEARL MILLET",H157)))</formula>
    </cfRule>
    <cfRule type="containsText" dxfId="1414" priority="200" operator="containsText" text="PROSO MILLET">
      <formula>NOT(ISERROR(SEARCH("PROSO MILLET",H157)))</formula>
    </cfRule>
    <cfRule type="containsText" dxfId="1413" priority="201" operator="containsText" text="GOLDEN GERMAN">
      <formula>NOT(ISERROR(SEARCH("GOLDEN GERMAN",H157)))</formula>
    </cfRule>
    <cfRule type="containsText" dxfId="1412" priority="202" operator="containsText" text="BUILDING SITE">
      <formula>NOT(ISERROR(SEARCH("BUILDING SITE",H157)))</formula>
    </cfRule>
    <cfRule type="containsText" dxfId="1411" priority="203" operator="containsText" text="WASTE">
      <formula>NOT(ISERROR(SEARCH("WASTE",H157)))</formula>
    </cfRule>
    <cfRule type="containsText" dxfId="1410" priority="204" operator="containsText" text="PASTURE">
      <formula>NOT(ISERROR(SEARCH("PASTURE",H157)))</formula>
    </cfRule>
    <cfRule type="cellIs" dxfId="1409" priority="205" operator="equal">
      <formula>"FORG/ WHEAT"</formula>
    </cfRule>
    <cfRule type="cellIs" dxfId="1408" priority="206" operator="equal">
      <formula>"FALL GRAZED"</formula>
    </cfRule>
    <cfRule type="cellIs" dxfId="1407" priority="207" operator="equal">
      <formula>"FALLOW"</formula>
    </cfRule>
    <cfRule type="cellIs" dxfId="1406" priority="208" operator="equal">
      <formula>"FALL GRAZED"</formula>
    </cfRule>
    <cfRule type="cellIs" dxfId="1405" priority="209" operator="equal">
      <formula>"TRITICALE"</formula>
    </cfRule>
    <cfRule type="cellIs" dxfId="1404" priority="210" operator="equal">
      <formula>"SORGHUM"</formula>
    </cfRule>
    <cfRule type="cellIs" dxfId="1403" priority="211" operator="equal">
      <formula>"OAT/WHEAT"</formula>
    </cfRule>
    <cfRule type="cellIs" dxfId="1402" priority="212" operator="equal">
      <formula>"SPRING GRAZED"</formula>
    </cfRule>
    <cfRule type="cellIs" dxfId="1401" priority="213" operator="equal">
      <formula>"WHEAT"</formula>
    </cfRule>
    <cfRule type="cellIs" dxfId="1400" priority="214" operator="equal">
      <formula>"SORGHUM SUDAN"</formula>
    </cfRule>
    <cfRule type="cellIs" dxfId="1399" priority="215" operator="equal">
      <formula>"CORN"</formula>
    </cfRule>
  </conditionalFormatting>
  <conditionalFormatting sqref="B186:C187 B188">
    <cfRule type="containsText" dxfId="1398" priority="165" operator="containsText" text="PEARL MILLET">
      <formula>NOT(ISERROR(SEARCH("PEARL MILLET",B186)))</formula>
    </cfRule>
    <cfRule type="containsText" dxfId="1397" priority="166" operator="containsText" text="PROSO MILLET">
      <formula>NOT(ISERROR(SEARCH("PROSO MILLET",B186)))</formula>
    </cfRule>
    <cfRule type="containsText" dxfId="1396" priority="167" operator="containsText" text="GOLDEN GERMAN">
      <formula>NOT(ISERROR(SEARCH("GOLDEN GERMAN",B186)))</formula>
    </cfRule>
    <cfRule type="containsText" dxfId="1395" priority="168" operator="containsText" text="BUILDING SITE">
      <formula>NOT(ISERROR(SEARCH("BUILDING SITE",B186)))</formula>
    </cfRule>
    <cfRule type="containsText" dxfId="1394" priority="169" operator="containsText" text="WASTE">
      <formula>NOT(ISERROR(SEARCH("WASTE",B186)))</formula>
    </cfRule>
    <cfRule type="containsText" dxfId="1393" priority="170" operator="containsText" text="PASTURE">
      <formula>NOT(ISERROR(SEARCH("PASTURE",B186)))</formula>
    </cfRule>
    <cfRule type="cellIs" dxfId="1392" priority="171" operator="equal">
      <formula>"FORG/ WHEAT"</formula>
    </cfRule>
    <cfRule type="cellIs" dxfId="1391" priority="172" operator="equal">
      <formula>"FALL GRAZED"</formula>
    </cfRule>
    <cfRule type="cellIs" dxfId="1390" priority="173" operator="equal">
      <formula>"FALLOW"</formula>
    </cfRule>
    <cfRule type="cellIs" dxfId="1389" priority="174" operator="equal">
      <formula>"FALL GRAZED"</formula>
    </cfRule>
    <cfRule type="cellIs" dxfId="1388" priority="175" operator="equal">
      <formula>"TRITICALE"</formula>
    </cfRule>
    <cfRule type="cellIs" dxfId="1387" priority="176" operator="equal">
      <formula>"SORGHUM"</formula>
    </cfRule>
    <cfRule type="cellIs" dxfId="1386" priority="177" operator="equal">
      <formula>"OAT/WHEAT"</formula>
    </cfRule>
    <cfRule type="cellIs" dxfId="1385" priority="178" operator="equal">
      <formula>"SPRING GRAZED"</formula>
    </cfRule>
    <cfRule type="cellIs" dxfId="1384" priority="179" operator="equal">
      <formula>"WHEAT"</formula>
    </cfRule>
    <cfRule type="cellIs" dxfId="1383" priority="180" operator="equal">
      <formula>"SORGHUM SUDAN"</formula>
    </cfRule>
    <cfRule type="cellIs" dxfId="1382" priority="181" operator="equal">
      <formula>"CORN"</formula>
    </cfRule>
  </conditionalFormatting>
  <conditionalFormatting sqref="H113:H117">
    <cfRule type="containsText" dxfId="1381" priority="148" operator="containsText" text="PEARL MILLET">
      <formula>NOT(ISERROR(SEARCH("PEARL MILLET",H113)))</formula>
    </cfRule>
    <cfRule type="containsText" dxfId="1380" priority="149" operator="containsText" text="PROSO MILLET">
      <formula>NOT(ISERROR(SEARCH("PROSO MILLET",H113)))</formula>
    </cfRule>
    <cfRule type="containsText" dxfId="1379" priority="150" operator="containsText" text="GOLDEN GERMAN">
      <formula>NOT(ISERROR(SEARCH("GOLDEN GERMAN",H113)))</formula>
    </cfRule>
    <cfRule type="containsText" dxfId="1378" priority="151" operator="containsText" text="BUILDING SITE">
      <formula>NOT(ISERROR(SEARCH("BUILDING SITE",H113)))</formula>
    </cfRule>
    <cfRule type="containsText" dxfId="1377" priority="152" operator="containsText" text="WASTE">
      <formula>NOT(ISERROR(SEARCH("WASTE",H113)))</formula>
    </cfRule>
    <cfRule type="containsText" dxfId="1376" priority="153" operator="containsText" text="PASTURE">
      <formula>NOT(ISERROR(SEARCH("PASTURE",H113)))</formula>
    </cfRule>
    <cfRule type="cellIs" dxfId="1375" priority="154" operator="equal">
      <formula>"FORG/ WHEAT"</formula>
    </cfRule>
    <cfRule type="cellIs" dxfId="1374" priority="155" operator="equal">
      <formula>"FALL GRAZED"</formula>
    </cfRule>
    <cfRule type="cellIs" dxfId="1373" priority="156" operator="equal">
      <formula>"FALLOW"</formula>
    </cfRule>
    <cfRule type="cellIs" dxfId="1372" priority="157" operator="equal">
      <formula>"FALL GRAZED"</formula>
    </cfRule>
    <cfRule type="cellIs" dxfId="1371" priority="158" operator="equal">
      <formula>"TRITICALE"</formula>
    </cfRule>
    <cfRule type="cellIs" dxfId="1370" priority="159" operator="equal">
      <formula>"SORGHUM"</formula>
    </cfRule>
    <cfRule type="cellIs" dxfId="1369" priority="160" operator="equal">
      <formula>"OAT/WHEAT"</formula>
    </cfRule>
    <cfRule type="cellIs" dxfId="1368" priority="161" operator="equal">
      <formula>"SPRING GRAZED"</formula>
    </cfRule>
    <cfRule type="cellIs" dxfId="1367" priority="162" operator="equal">
      <formula>"WHEAT"</formula>
    </cfRule>
    <cfRule type="cellIs" dxfId="1366" priority="163" operator="equal">
      <formula>"SORGHUM SUDAN"</formula>
    </cfRule>
    <cfRule type="cellIs" dxfId="1365" priority="164" operator="equal">
      <formula>"CORN"</formula>
    </cfRule>
  </conditionalFormatting>
  <conditionalFormatting sqref="H162 H165 H168">
    <cfRule type="containsText" dxfId="1364" priority="131" operator="containsText" text="PEARL MILLET">
      <formula>NOT(ISERROR(SEARCH("PEARL MILLET",H162)))</formula>
    </cfRule>
    <cfRule type="containsText" dxfId="1363" priority="132" operator="containsText" text="PROSO MILLET">
      <formula>NOT(ISERROR(SEARCH("PROSO MILLET",H162)))</formula>
    </cfRule>
    <cfRule type="containsText" dxfId="1362" priority="133" operator="containsText" text="GOLDEN GERMAN">
      <formula>NOT(ISERROR(SEARCH("GOLDEN GERMAN",H162)))</formula>
    </cfRule>
    <cfRule type="containsText" dxfId="1361" priority="134" operator="containsText" text="BUILDING SITE">
      <formula>NOT(ISERROR(SEARCH("BUILDING SITE",H162)))</formula>
    </cfRule>
    <cfRule type="containsText" dxfId="1360" priority="135" operator="containsText" text="WASTE">
      <formula>NOT(ISERROR(SEARCH("WASTE",H162)))</formula>
    </cfRule>
    <cfRule type="containsText" dxfId="1359" priority="136" operator="containsText" text="PASTURE">
      <formula>NOT(ISERROR(SEARCH("PASTURE",H162)))</formula>
    </cfRule>
    <cfRule type="cellIs" dxfId="1358" priority="137" operator="equal">
      <formula>"FORG/ WHEAT"</formula>
    </cfRule>
    <cfRule type="cellIs" dxfId="1357" priority="138" operator="equal">
      <formula>"FALL GRAZED"</formula>
    </cfRule>
    <cfRule type="cellIs" dxfId="1356" priority="139" operator="equal">
      <formula>"FALLOW"</formula>
    </cfRule>
    <cfRule type="cellIs" dxfId="1355" priority="140" operator="equal">
      <formula>"FALL GRAZED"</formula>
    </cfRule>
    <cfRule type="cellIs" dxfId="1354" priority="141" operator="equal">
      <formula>"TRITICALE"</formula>
    </cfRule>
    <cfRule type="cellIs" dxfId="1353" priority="142" operator="equal">
      <formula>"SORGHUM"</formula>
    </cfRule>
    <cfRule type="cellIs" dxfId="1352" priority="143" operator="equal">
      <formula>"OAT/WHEAT"</formula>
    </cfRule>
    <cfRule type="cellIs" dxfId="1351" priority="144" operator="equal">
      <formula>"SPRING GRAZED"</formula>
    </cfRule>
    <cfRule type="cellIs" dxfId="1350" priority="145" operator="equal">
      <formula>"WHEAT"</formula>
    </cfRule>
    <cfRule type="cellIs" dxfId="1349" priority="146" operator="equal">
      <formula>"SORGHUM SUDAN"</formula>
    </cfRule>
    <cfRule type="cellIs" dxfId="1348" priority="147" operator="equal">
      <formula>"CORN"</formula>
    </cfRule>
  </conditionalFormatting>
  <conditionalFormatting sqref="H163 H166 H169">
    <cfRule type="containsText" dxfId="1347" priority="114" operator="containsText" text="PEARL MILLET">
      <formula>NOT(ISERROR(SEARCH("PEARL MILLET",H163)))</formula>
    </cfRule>
    <cfRule type="containsText" dxfId="1346" priority="115" operator="containsText" text="PROSO MILLET">
      <formula>NOT(ISERROR(SEARCH("PROSO MILLET",H163)))</formula>
    </cfRule>
    <cfRule type="containsText" dxfId="1345" priority="116" operator="containsText" text="GOLDEN GERMAN">
      <formula>NOT(ISERROR(SEARCH("GOLDEN GERMAN",H163)))</formula>
    </cfRule>
    <cfRule type="containsText" dxfId="1344" priority="117" operator="containsText" text="BUILDING SITE">
      <formula>NOT(ISERROR(SEARCH("BUILDING SITE",H163)))</formula>
    </cfRule>
    <cfRule type="containsText" dxfId="1343" priority="118" operator="containsText" text="WASTE">
      <formula>NOT(ISERROR(SEARCH("WASTE",H163)))</formula>
    </cfRule>
    <cfRule type="containsText" dxfId="1342" priority="119" operator="containsText" text="PASTURE">
      <formula>NOT(ISERROR(SEARCH("PASTURE",H163)))</formula>
    </cfRule>
    <cfRule type="cellIs" dxfId="1341" priority="120" operator="equal">
      <formula>"FORG/ WHEAT"</formula>
    </cfRule>
    <cfRule type="cellIs" dxfId="1340" priority="121" operator="equal">
      <formula>"FALL GRAZED"</formula>
    </cfRule>
    <cfRule type="cellIs" dxfId="1339" priority="122" operator="equal">
      <formula>"FALLOW"</formula>
    </cfRule>
    <cfRule type="cellIs" dxfId="1338" priority="123" operator="equal">
      <formula>"FALL GRAZED"</formula>
    </cfRule>
    <cfRule type="cellIs" dxfId="1337" priority="124" operator="equal">
      <formula>"TRITICALE"</formula>
    </cfRule>
    <cfRule type="cellIs" dxfId="1336" priority="125" operator="equal">
      <formula>"SORGHUM"</formula>
    </cfRule>
    <cfRule type="cellIs" dxfId="1335" priority="126" operator="equal">
      <formula>"OAT/WHEAT"</formula>
    </cfRule>
    <cfRule type="cellIs" dxfId="1334" priority="127" operator="equal">
      <formula>"SPRING GRAZED"</formula>
    </cfRule>
    <cfRule type="cellIs" dxfId="1333" priority="128" operator="equal">
      <formula>"WHEAT"</formula>
    </cfRule>
    <cfRule type="cellIs" dxfId="1332" priority="129" operator="equal">
      <formula>"SORGHUM SUDAN"</formula>
    </cfRule>
    <cfRule type="cellIs" dxfId="1331" priority="130" operator="equal">
      <formula>"CORN"</formula>
    </cfRule>
  </conditionalFormatting>
  <conditionalFormatting sqref="H164 H167 H170:H172">
    <cfRule type="containsText" dxfId="1330" priority="97" operator="containsText" text="PEARL MILLET">
      <formula>NOT(ISERROR(SEARCH("PEARL MILLET",H164)))</formula>
    </cfRule>
    <cfRule type="containsText" dxfId="1329" priority="98" operator="containsText" text="PROSO MILLET">
      <formula>NOT(ISERROR(SEARCH("PROSO MILLET",H164)))</formula>
    </cfRule>
    <cfRule type="containsText" dxfId="1328" priority="99" operator="containsText" text="GOLDEN GERMAN">
      <formula>NOT(ISERROR(SEARCH("GOLDEN GERMAN",H164)))</formula>
    </cfRule>
    <cfRule type="containsText" dxfId="1327" priority="100" operator="containsText" text="BUILDING SITE">
      <formula>NOT(ISERROR(SEARCH("BUILDING SITE",H164)))</formula>
    </cfRule>
    <cfRule type="containsText" dxfId="1326" priority="101" operator="containsText" text="WASTE">
      <formula>NOT(ISERROR(SEARCH("WASTE",H164)))</formula>
    </cfRule>
    <cfRule type="containsText" dxfId="1325" priority="102" operator="containsText" text="PASTURE">
      <formula>NOT(ISERROR(SEARCH("PASTURE",H164)))</formula>
    </cfRule>
    <cfRule type="cellIs" dxfId="1324" priority="103" operator="equal">
      <formula>"FORG/ WHEAT"</formula>
    </cfRule>
    <cfRule type="cellIs" dxfId="1323" priority="104" operator="equal">
      <formula>"FALL GRAZED"</formula>
    </cfRule>
    <cfRule type="cellIs" dxfId="1322" priority="105" operator="equal">
      <formula>"FALLOW"</formula>
    </cfRule>
    <cfRule type="cellIs" dxfId="1321" priority="106" operator="equal">
      <formula>"FALL GRAZED"</formula>
    </cfRule>
    <cfRule type="cellIs" dxfId="1320" priority="107" operator="equal">
      <formula>"TRITICALE"</formula>
    </cfRule>
    <cfRule type="cellIs" dxfId="1319" priority="108" operator="equal">
      <formula>"SORGHUM"</formula>
    </cfRule>
    <cfRule type="cellIs" dxfId="1318" priority="109" operator="equal">
      <formula>"OAT/WHEAT"</formula>
    </cfRule>
    <cfRule type="cellIs" dxfId="1317" priority="110" operator="equal">
      <formula>"SPRING GRAZED"</formula>
    </cfRule>
    <cfRule type="cellIs" dxfId="1316" priority="111" operator="equal">
      <formula>"WHEAT"</formula>
    </cfRule>
    <cfRule type="cellIs" dxfId="1315" priority="112" operator="equal">
      <formula>"SORGHUM SUDAN"</formula>
    </cfRule>
    <cfRule type="cellIs" dxfId="1314" priority="113" operator="equal">
      <formula>"CORN"</formula>
    </cfRule>
  </conditionalFormatting>
  <conditionalFormatting sqref="C188">
    <cfRule type="containsText" dxfId="1313" priority="63" operator="containsText" text="PEARL MILLET">
      <formula>NOT(ISERROR(SEARCH("PEARL MILLET",C188)))</formula>
    </cfRule>
    <cfRule type="containsText" dxfId="1312" priority="64" operator="containsText" text="PROSO MILLET">
      <formula>NOT(ISERROR(SEARCH("PROSO MILLET",C188)))</formula>
    </cfRule>
    <cfRule type="containsText" dxfId="1311" priority="65" operator="containsText" text="GOLDEN GERMAN">
      <formula>NOT(ISERROR(SEARCH("GOLDEN GERMAN",C188)))</formula>
    </cfRule>
    <cfRule type="containsText" dxfId="1310" priority="66" operator="containsText" text="BUILDING SITE">
      <formula>NOT(ISERROR(SEARCH("BUILDING SITE",C188)))</formula>
    </cfRule>
    <cfRule type="containsText" dxfId="1309" priority="67" operator="containsText" text="WASTE">
      <formula>NOT(ISERROR(SEARCH("WASTE",C188)))</formula>
    </cfRule>
    <cfRule type="containsText" dxfId="1308" priority="68" operator="containsText" text="PASTURE">
      <formula>NOT(ISERROR(SEARCH("PASTURE",C188)))</formula>
    </cfRule>
    <cfRule type="cellIs" dxfId="1307" priority="69" operator="equal">
      <formula>"FORG/ WHEAT"</formula>
    </cfRule>
    <cfRule type="cellIs" dxfId="1306" priority="70" operator="equal">
      <formula>"FALL GRAZED"</formula>
    </cfRule>
    <cfRule type="cellIs" dxfId="1305" priority="71" operator="equal">
      <formula>"FALLOW"</formula>
    </cfRule>
    <cfRule type="cellIs" dxfId="1304" priority="72" operator="equal">
      <formula>"FALL GRAZED"</formula>
    </cfRule>
    <cfRule type="cellIs" dxfId="1303" priority="73" operator="equal">
      <formula>"TRITICALE"</formula>
    </cfRule>
    <cfRule type="cellIs" dxfId="1302" priority="74" operator="equal">
      <formula>"SORGHUM"</formula>
    </cfRule>
    <cfRule type="cellIs" dxfId="1301" priority="75" operator="equal">
      <formula>"OAT/WHEAT"</formula>
    </cfRule>
    <cfRule type="cellIs" dxfId="1300" priority="76" operator="equal">
      <formula>"SPRING GRAZED"</formula>
    </cfRule>
    <cfRule type="cellIs" dxfId="1299" priority="77" operator="equal">
      <formula>"WHEAT"</formula>
    </cfRule>
    <cfRule type="cellIs" dxfId="1298" priority="78" operator="equal">
      <formula>"SORGHUM SUDAN"</formula>
    </cfRule>
    <cfRule type="cellIs" dxfId="1297" priority="79" operator="equal">
      <formula>"CORN"</formula>
    </cfRule>
  </conditionalFormatting>
  <conditionalFormatting sqref="C190">
    <cfRule type="containsText" dxfId="1296" priority="46" operator="containsText" text="PEARL MILLET">
      <formula>NOT(ISERROR(SEARCH("PEARL MILLET",C190)))</formula>
    </cfRule>
    <cfRule type="containsText" dxfId="1295" priority="47" operator="containsText" text="PROSO MILLET">
      <formula>NOT(ISERROR(SEARCH("PROSO MILLET",C190)))</formula>
    </cfRule>
    <cfRule type="containsText" dxfId="1294" priority="48" operator="containsText" text="GOLDEN GERMAN">
      <formula>NOT(ISERROR(SEARCH("GOLDEN GERMAN",C190)))</formula>
    </cfRule>
    <cfRule type="containsText" dxfId="1293" priority="49" operator="containsText" text="BUILDING SITE">
      <formula>NOT(ISERROR(SEARCH("BUILDING SITE",C190)))</formula>
    </cfRule>
    <cfRule type="containsText" dxfId="1292" priority="50" operator="containsText" text="WASTE">
      <formula>NOT(ISERROR(SEARCH("WASTE",C190)))</formula>
    </cfRule>
    <cfRule type="containsText" dxfId="1291" priority="51" operator="containsText" text="PASTURE">
      <formula>NOT(ISERROR(SEARCH("PASTURE",C190)))</formula>
    </cfRule>
    <cfRule type="cellIs" dxfId="1290" priority="52" operator="equal">
      <formula>"FORG/ WHEAT"</formula>
    </cfRule>
    <cfRule type="cellIs" dxfId="1289" priority="53" operator="equal">
      <formula>"FALL GRAZED"</formula>
    </cfRule>
    <cfRule type="cellIs" dxfId="1288" priority="54" operator="equal">
      <formula>"FALLOW"</formula>
    </cfRule>
    <cfRule type="cellIs" dxfId="1287" priority="55" operator="equal">
      <formula>"FALL GRAZED"</formula>
    </cfRule>
    <cfRule type="cellIs" dxfId="1286" priority="56" operator="equal">
      <formula>"TRITICALE"</formula>
    </cfRule>
    <cfRule type="cellIs" dxfId="1285" priority="57" operator="equal">
      <formula>"SORGHUM"</formula>
    </cfRule>
    <cfRule type="cellIs" dxfId="1284" priority="58" operator="equal">
      <formula>"OAT/WHEAT"</formula>
    </cfRule>
    <cfRule type="cellIs" dxfId="1283" priority="59" operator="equal">
      <formula>"SPRING GRAZED"</formula>
    </cfRule>
    <cfRule type="cellIs" dxfId="1282" priority="60" operator="equal">
      <formula>"WHEAT"</formula>
    </cfRule>
    <cfRule type="cellIs" dxfId="1281" priority="61" operator="equal">
      <formula>"SORGHUM SUDAN"</formula>
    </cfRule>
    <cfRule type="cellIs" dxfId="1280" priority="62" operator="equal">
      <formula>"CORN"</formula>
    </cfRule>
  </conditionalFormatting>
  <conditionalFormatting sqref="H98">
    <cfRule type="containsText" dxfId="1279" priority="31" operator="containsText" text="GOLDEN GERMAN">
      <formula>NOT(ISERROR(SEARCH("GOLDEN GERMAN",H98)))</formula>
    </cfRule>
    <cfRule type="containsText" dxfId="1278" priority="32" operator="containsText" text="BUILDING SITE">
      <formula>NOT(ISERROR(SEARCH("BUILDING SITE",H98)))</formula>
    </cfRule>
    <cfRule type="containsText" dxfId="1277" priority="33" operator="containsText" text="WASTE">
      <formula>NOT(ISERROR(SEARCH("WASTE",H98)))</formula>
    </cfRule>
    <cfRule type="containsText" dxfId="1276" priority="34" operator="containsText" text="PASTURE">
      <formula>NOT(ISERROR(SEARCH("PASTURE",H98)))</formula>
    </cfRule>
    <cfRule type="cellIs" dxfId="1275" priority="35" operator="equal">
      <formula>"FORG/ WHEAT"</formula>
    </cfRule>
    <cfRule type="cellIs" dxfId="1274" priority="36" operator="equal">
      <formula>"FALL GRAZED"</formula>
    </cfRule>
    <cfRule type="cellIs" dxfId="1273" priority="37" operator="equal">
      <formula>"FALLOW"</formula>
    </cfRule>
    <cfRule type="cellIs" dxfId="1272" priority="38" operator="equal">
      <formula>"FALL GRAZED"</formula>
    </cfRule>
    <cfRule type="cellIs" dxfId="1271" priority="39" operator="equal">
      <formula>"TRITICALE"</formula>
    </cfRule>
    <cfRule type="cellIs" dxfId="1270" priority="40" operator="equal">
      <formula>"MILO"</formula>
    </cfRule>
    <cfRule type="cellIs" dxfId="1269" priority="41" operator="equal">
      <formula>"OAT/WHEAT"</formula>
    </cfRule>
    <cfRule type="cellIs" dxfId="1268" priority="42" operator="equal">
      <formula>"SPRING GRAZED"</formula>
    </cfRule>
    <cfRule type="cellIs" dxfId="1267" priority="43" operator="equal">
      <formula>"WHEAT"</formula>
    </cfRule>
    <cfRule type="cellIs" dxfId="1266" priority="44" operator="equal">
      <formula>"FORAGE SORGHUM"</formula>
    </cfRule>
    <cfRule type="cellIs" dxfId="1265" priority="45" operator="equal">
      <formula>"CORN"</formula>
    </cfRule>
  </conditionalFormatting>
  <conditionalFormatting sqref="H99">
    <cfRule type="containsText" dxfId="1264" priority="16" operator="containsText" text="GOLDEN GERMAN">
      <formula>NOT(ISERROR(SEARCH("GOLDEN GERMAN",H99)))</formula>
    </cfRule>
    <cfRule type="containsText" dxfId="1263" priority="17" operator="containsText" text="BUILDING SITE">
      <formula>NOT(ISERROR(SEARCH("BUILDING SITE",H99)))</formula>
    </cfRule>
    <cfRule type="containsText" dxfId="1262" priority="18" operator="containsText" text="WASTE">
      <formula>NOT(ISERROR(SEARCH("WASTE",H99)))</formula>
    </cfRule>
    <cfRule type="containsText" dxfId="1261" priority="19" operator="containsText" text="PASTURE">
      <formula>NOT(ISERROR(SEARCH("PASTURE",H99)))</formula>
    </cfRule>
    <cfRule type="cellIs" dxfId="1260" priority="20" operator="equal">
      <formula>"FORG/ WHEAT"</formula>
    </cfRule>
    <cfRule type="cellIs" dxfId="1259" priority="21" operator="equal">
      <formula>"FALL GRAZED"</formula>
    </cfRule>
    <cfRule type="cellIs" dxfId="1258" priority="22" operator="equal">
      <formula>"FALLOW"</formula>
    </cfRule>
    <cfRule type="cellIs" dxfId="1257" priority="23" operator="equal">
      <formula>"FALL GRAZED"</formula>
    </cfRule>
    <cfRule type="cellIs" dxfId="1256" priority="24" operator="equal">
      <formula>"TRITICALE"</formula>
    </cfRule>
    <cfRule type="cellIs" dxfId="1255" priority="25" operator="equal">
      <formula>"MILO"</formula>
    </cfRule>
    <cfRule type="cellIs" dxfId="1254" priority="26" operator="equal">
      <formula>"OAT/WHEAT"</formula>
    </cfRule>
    <cfRule type="cellIs" dxfId="1253" priority="27" operator="equal">
      <formula>"SPRING GRAZED"</formula>
    </cfRule>
    <cfRule type="cellIs" dxfId="1252" priority="28" operator="equal">
      <formula>"WHEAT"</formula>
    </cfRule>
    <cfRule type="cellIs" dxfId="1251" priority="29" operator="equal">
      <formula>"FORAGE SORGHUM"</formula>
    </cfRule>
    <cfRule type="cellIs" dxfId="1250" priority="30" operator="equal">
      <formula>"CORN"</formula>
    </cfRule>
  </conditionalFormatting>
  <conditionalFormatting sqref="H100">
    <cfRule type="containsText" dxfId="1249" priority="1" operator="containsText" text="GOLDEN GERMAN">
      <formula>NOT(ISERROR(SEARCH("GOLDEN GERMAN",H100)))</formula>
    </cfRule>
    <cfRule type="containsText" dxfId="1248" priority="2" operator="containsText" text="BUILDING SITE">
      <formula>NOT(ISERROR(SEARCH("BUILDING SITE",H100)))</formula>
    </cfRule>
    <cfRule type="containsText" dxfId="1247" priority="3" operator="containsText" text="WASTE">
      <formula>NOT(ISERROR(SEARCH("WASTE",H100)))</formula>
    </cfRule>
    <cfRule type="containsText" dxfId="1246" priority="4" operator="containsText" text="PASTURE">
      <formula>NOT(ISERROR(SEARCH("PASTURE",H100)))</formula>
    </cfRule>
    <cfRule type="cellIs" dxfId="1245" priority="5" operator="equal">
      <formula>"FORG/ WHEAT"</formula>
    </cfRule>
    <cfRule type="cellIs" dxfId="1244" priority="6" operator="equal">
      <formula>"FALL GRAZED"</formula>
    </cfRule>
    <cfRule type="cellIs" dxfId="1243" priority="7" operator="equal">
      <formula>"FALLOW"</formula>
    </cfRule>
    <cfRule type="cellIs" dxfId="1242" priority="8" operator="equal">
      <formula>"FALL GRAZED"</formula>
    </cfRule>
    <cfRule type="cellIs" dxfId="1241" priority="9" operator="equal">
      <formula>"TRITICALE"</formula>
    </cfRule>
    <cfRule type="cellIs" dxfId="1240" priority="10" operator="equal">
      <formula>"MILO"</formula>
    </cfRule>
    <cfRule type="cellIs" dxfId="1239" priority="11" operator="equal">
      <formula>"OAT/WHEAT"</formula>
    </cfRule>
    <cfRule type="cellIs" dxfId="1238" priority="12" operator="equal">
      <formula>"SPRING GRAZED"</formula>
    </cfRule>
    <cfRule type="cellIs" dxfId="1237" priority="13" operator="equal">
      <formula>"WHEAT"</formula>
    </cfRule>
    <cfRule type="cellIs" dxfId="1236" priority="14" operator="equal">
      <formula>"FORAGE SORGHUM"</formula>
    </cfRule>
    <cfRule type="cellIs" dxfId="1235" priority="15" operator="equal">
      <formula>"CORN"</formula>
    </cfRule>
  </conditionalFormatting>
  <dataValidations count="14">
    <dataValidation type="list" allowBlank="1" showInputMessage="1" showErrorMessage="1" sqref="I237:I240" xr:uid="{62AA2D50-F0E4-4BF4-A1B6-BC0653369BD8}">
      <formula1>FORAGE</formula1>
    </dataValidation>
    <dataValidation type="list" allowBlank="1" showInputMessage="1" showErrorMessage="1" sqref="G204:G219 H85:H91" xr:uid="{188E7950-8573-45C2-8151-0F7C417F08E6}">
      <formula1>LOCATIONS</formula1>
    </dataValidation>
    <dataValidation type="list" allowBlank="1" showInputMessage="1" showErrorMessage="1" sqref="G25:G70 G98 C4:C17 B198:B199 C245:C259 C356:C425" xr:uid="{C2B0865E-A947-47A4-809E-D5F66F57CF81}">
      <formula1>FARMS</formula1>
    </dataValidation>
    <dataValidation type="list" allowBlank="1" showInputMessage="1" showErrorMessage="1" sqref="A184 Q419:Q425 Q417 A73 H226:H232 Q245:Q355 H186:H199" xr:uid="{BF9CCF6D-7EAE-4DEE-9136-D0B23E3F4CC1}">
      <formula1>CROP</formula1>
    </dataValidation>
    <dataValidation type="list" allowBlank="1" showInputMessage="1" showErrorMessage="1" sqref="X98:X180 G245:G425" xr:uid="{DDAA7D99-5607-415E-871E-C8B5C11F5E1C}">
      <formula1>SPLIT</formula1>
    </dataValidation>
    <dataValidation type="list" allowBlank="1" showInputMessage="1" showErrorMessage="1" sqref="F25:F70 B4:B18 A198:A199 B245:B259 F98:F180 B356:B425" xr:uid="{3F4B02F0-F093-44BF-904F-C623D10D092F}">
      <formula1>CLIENT</formula1>
    </dataValidation>
    <dataValidation type="list" allowBlank="1" showInputMessage="1" showErrorMessage="1" sqref="D98:D180 H25:H70 D4:D18 C198:C199 D245:D259 I186:I199 D356:D425 H98:H100" xr:uid="{66B606EC-1B02-4B04-9DED-89302DA895F5}">
      <formula1>INDIRECT(B4)</formula1>
    </dataValidation>
    <dataValidation type="list" allowBlank="1" showInputMessage="1" showErrorMessage="1" sqref="D25:D70" xr:uid="{01D1CA22-FA18-4F6D-B5DE-5386556CB9CA}">
      <formula1>LOCATION</formula1>
    </dataValidation>
    <dataValidation type="list" allowBlank="1" showInputMessage="1" showErrorMessage="1" sqref="U25:U70" xr:uid="{90563226-6E99-4CC9-AE69-0B7C092D00DD}">
      <formula1>SHARES</formula1>
    </dataValidation>
    <dataValidation type="list" allowBlank="1" showInputMessage="1" showErrorMessage="1" sqref="I226:I232 I75:I81 I25:I28 I30:I70" xr:uid="{829070AC-7EA2-46BB-9B39-321AD22BC110}">
      <formula1>WHEAT</formula1>
    </dataValidation>
    <dataValidation type="list" allowBlank="1" showInputMessage="1" showErrorMessage="1" sqref="J98:J179" xr:uid="{B6E996EC-03EC-4168-846C-CB3827716392}">
      <formula1>CORN</formula1>
    </dataValidation>
    <dataValidation type="list" allowBlank="1" showInputMessage="1" showErrorMessage="1" sqref="H245:H425" xr:uid="{83BC1279-DD5D-41BE-8347-80C4E80A9B71}">
      <formula1>INDIRECT(F245)</formula1>
    </dataValidation>
    <dataValidation type="list" allowBlank="1" showInputMessage="1" showErrorMessage="1" sqref="C98:C180" xr:uid="{73F7FFA8-1BE3-49D6-9A03-C46778C1EAF1}">
      <formula1>destination</formula1>
    </dataValidation>
    <dataValidation type="list" allowBlank="1" showInputMessage="1" showErrorMessage="1" sqref="B98:B180" xr:uid="{663147BC-EF6D-4016-A250-24378F7BBF95}">
      <formula1>Trucks</formula1>
    </dataValidation>
  </dataValidations>
  <pageMargins left="0.7" right="0.7" top="0.75" bottom="0.75" header="0.3" footer="0.3"/>
  <pageSetup scale="32" fitToHeight="0" orientation="landscape" r:id="rId1"/>
  <ignoredErrors>
    <ignoredError sqref="K226 K231:K232 K245:K258" calculatedColumn="1"/>
    <ignoredError sqref="K206:K207 L204:L207 N203:N207 M203:M207" evalError="1"/>
    <ignoredError sqref="D10:D15" listDataValidation="1"/>
  </ignoredErrors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42749FE-36DB-4062-836D-2E33A4695A5D}">
          <x14:formula1>
            <xm:f>DATA!$A$163:$A$167</xm:f>
          </x14:formula1>
          <xm:sqref>F248:F249 F255:F256 F245:F246</xm:sqref>
        </x14:dataValidation>
        <x14:dataValidation type="list" allowBlank="1" showInputMessage="1" showErrorMessage="1" xr:uid="{762D3AD7-A533-445C-ACB7-3D25D3DF7FE5}">
          <x14:formula1>
            <xm:f>DATA!$A$163:$A$172</xm:f>
          </x14:formula1>
          <xm:sqref>F247 F250:F254 F257:F425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0479A-B383-428F-B093-4112EDDFD253}">
  <dimension ref="A1:I31"/>
  <sheetViews>
    <sheetView topLeftCell="D22" workbookViewId="0">
      <selection activeCell="D22" sqref="D22"/>
    </sheetView>
  </sheetViews>
  <sheetFormatPr defaultRowHeight="15" x14ac:dyDescent="0.25"/>
  <cols>
    <col min="1" max="1" width="11.5703125" bestFit="1" customWidth="1"/>
    <col min="2" max="2" width="10.85546875" bestFit="1" customWidth="1"/>
    <col min="4" max="4" width="9.85546875" bestFit="1" customWidth="1"/>
    <col min="5" max="5" width="11.42578125" bestFit="1" customWidth="1"/>
    <col min="6" max="6" width="10.85546875" bestFit="1" customWidth="1"/>
    <col min="7" max="7" width="10.28515625" bestFit="1" customWidth="1"/>
    <col min="8" max="8" width="18.5703125" customWidth="1"/>
  </cols>
  <sheetData>
    <row r="1" spans="1:8" x14ac:dyDescent="0.25">
      <c r="A1" t="s">
        <v>641</v>
      </c>
    </row>
    <row r="3" spans="1:8" x14ac:dyDescent="0.25">
      <c r="B3" t="s">
        <v>642</v>
      </c>
      <c r="C3" t="s">
        <v>643</v>
      </c>
      <c r="D3" t="s">
        <v>644</v>
      </c>
      <c r="E3" t="s">
        <v>645</v>
      </c>
      <c r="F3" t="s">
        <v>646</v>
      </c>
      <c r="G3" t="s">
        <v>647</v>
      </c>
    </row>
    <row r="4" spans="1:8" x14ac:dyDescent="0.25">
      <c r="A4" t="s">
        <v>648</v>
      </c>
    </row>
    <row r="5" spans="1:8" x14ac:dyDescent="0.25">
      <c r="A5" t="s">
        <v>649</v>
      </c>
      <c r="F5" s="679">
        <v>500000</v>
      </c>
      <c r="G5" s="678">
        <v>45689</v>
      </c>
    </row>
    <row r="6" spans="1:8" x14ac:dyDescent="0.25">
      <c r="A6" t="s">
        <v>650</v>
      </c>
      <c r="B6">
        <v>79402.960000000006</v>
      </c>
      <c r="C6">
        <v>7.5</v>
      </c>
      <c r="E6" s="678">
        <v>45627</v>
      </c>
    </row>
    <row r="7" spans="1:8" x14ac:dyDescent="0.25">
      <c r="A7" t="s">
        <v>651</v>
      </c>
      <c r="B7" s="679">
        <v>150000</v>
      </c>
      <c r="C7">
        <v>3.75</v>
      </c>
      <c r="D7">
        <v>731</v>
      </c>
      <c r="E7" t="s">
        <v>652</v>
      </c>
      <c r="F7" s="679">
        <v>150000</v>
      </c>
      <c r="G7" s="678">
        <v>54982</v>
      </c>
    </row>
    <row r="11" spans="1:8" x14ac:dyDescent="0.25">
      <c r="A11" t="s">
        <v>323</v>
      </c>
    </row>
    <row r="12" spans="1:8" x14ac:dyDescent="0.25">
      <c r="A12" t="s">
        <v>653</v>
      </c>
      <c r="B12">
        <v>31690.26</v>
      </c>
      <c r="D12">
        <v>16802.55</v>
      </c>
      <c r="E12" s="678">
        <v>45689</v>
      </c>
      <c r="F12" t="s">
        <v>586</v>
      </c>
      <c r="G12" s="678">
        <v>46054</v>
      </c>
      <c r="H12" t="s">
        <v>654</v>
      </c>
    </row>
    <row r="13" spans="1:8" x14ac:dyDescent="0.25">
      <c r="A13" t="s">
        <v>655</v>
      </c>
      <c r="B13">
        <v>12545.75</v>
      </c>
      <c r="D13">
        <v>6598.59</v>
      </c>
      <c r="E13" s="678">
        <v>45839</v>
      </c>
      <c r="G13" s="678">
        <v>46204</v>
      </c>
      <c r="H13" t="s">
        <v>656</v>
      </c>
    </row>
    <row r="14" spans="1:8" x14ac:dyDescent="0.25">
      <c r="A14" t="s">
        <v>657</v>
      </c>
      <c r="B14">
        <v>11939.64</v>
      </c>
      <c r="D14">
        <v>6407.46</v>
      </c>
      <c r="E14" s="678">
        <v>45839</v>
      </c>
      <c r="G14" s="678">
        <v>46204</v>
      </c>
      <c r="H14" t="s">
        <v>658</v>
      </c>
    </row>
    <row r="15" spans="1:8" x14ac:dyDescent="0.25">
      <c r="A15" t="s">
        <v>659</v>
      </c>
      <c r="B15">
        <v>41850.35</v>
      </c>
      <c r="D15">
        <v>11946.86</v>
      </c>
      <c r="E15" s="678">
        <v>45915</v>
      </c>
      <c r="G15" s="678">
        <v>46645</v>
      </c>
      <c r="H15" t="s">
        <v>660</v>
      </c>
    </row>
    <row r="16" spans="1:8" x14ac:dyDescent="0.25">
      <c r="A16" t="s">
        <v>661</v>
      </c>
      <c r="B16" s="679">
        <v>73601</v>
      </c>
      <c r="D16">
        <v>21767.439999999999</v>
      </c>
      <c r="E16" s="678">
        <v>45823</v>
      </c>
      <c r="G16" s="678">
        <v>46919</v>
      </c>
      <c r="H16" t="s">
        <v>662</v>
      </c>
    </row>
    <row r="17" spans="1:9" x14ac:dyDescent="0.25">
      <c r="A17" t="s">
        <v>663</v>
      </c>
      <c r="B17" s="679">
        <v>344800</v>
      </c>
      <c r="D17" s="679">
        <v>86670.14</v>
      </c>
      <c r="E17" s="678">
        <v>45717</v>
      </c>
      <c r="G17" s="678">
        <v>47178</v>
      </c>
      <c r="H17" t="s">
        <v>664</v>
      </c>
    </row>
    <row r="18" spans="1:9" x14ac:dyDescent="0.25">
      <c r="A18" t="s">
        <v>665</v>
      </c>
      <c r="B18" s="679">
        <v>40000</v>
      </c>
      <c r="D18" s="679">
        <v>10406.27</v>
      </c>
      <c r="E18" s="678">
        <v>45839</v>
      </c>
      <c r="G18" s="678">
        <v>47300</v>
      </c>
      <c r="H18" t="s">
        <v>666</v>
      </c>
    </row>
    <row r="19" spans="1:9" x14ac:dyDescent="0.25">
      <c r="A19" t="s">
        <v>667</v>
      </c>
      <c r="B19" s="679">
        <v>259560</v>
      </c>
      <c r="D19" s="679">
        <v>65243.91</v>
      </c>
      <c r="E19" s="678">
        <v>45901</v>
      </c>
      <c r="G19" s="678">
        <v>47362</v>
      </c>
      <c r="H19" t="s">
        <v>668</v>
      </c>
    </row>
    <row r="20" spans="1:9" x14ac:dyDescent="0.25">
      <c r="A20" t="s">
        <v>669</v>
      </c>
      <c r="B20">
        <v>5536.85</v>
      </c>
      <c r="C20" s="680">
        <v>0</v>
      </c>
      <c r="D20">
        <v>505.63</v>
      </c>
      <c r="E20" s="678">
        <v>45621</v>
      </c>
      <c r="G20" s="678">
        <v>45925</v>
      </c>
      <c r="H20" t="s">
        <v>670</v>
      </c>
      <c r="I20" t="s">
        <v>652</v>
      </c>
    </row>
    <row r="21" spans="1:9" x14ac:dyDescent="0.25">
      <c r="A21" t="s">
        <v>671</v>
      </c>
      <c r="B21" s="679">
        <v>258250</v>
      </c>
      <c r="C21">
        <v>5.99</v>
      </c>
      <c r="D21" s="679">
        <v>61305.94</v>
      </c>
      <c r="E21" s="678">
        <v>46054</v>
      </c>
      <c r="G21" s="678">
        <v>47515</v>
      </c>
      <c r="H21" t="s">
        <v>672</v>
      </c>
      <c r="I21" t="s">
        <v>673</v>
      </c>
    </row>
    <row r="23" spans="1:9" x14ac:dyDescent="0.25">
      <c r="A23" t="s">
        <v>328</v>
      </c>
    </row>
    <row r="24" spans="1:9" x14ac:dyDescent="0.25">
      <c r="A24" t="s">
        <v>674</v>
      </c>
      <c r="B24">
        <v>259529.37</v>
      </c>
      <c r="D24">
        <v>38583.17</v>
      </c>
      <c r="E24" s="678">
        <v>45717</v>
      </c>
      <c r="G24" s="678">
        <v>48274</v>
      </c>
      <c r="H24" t="s">
        <v>675</v>
      </c>
    </row>
    <row r="25" spans="1:9" x14ac:dyDescent="0.25">
      <c r="A25" t="s">
        <v>676</v>
      </c>
      <c r="B25" s="679">
        <v>167693.35</v>
      </c>
      <c r="D25">
        <v>15042.58</v>
      </c>
      <c r="E25" s="678">
        <v>45717</v>
      </c>
      <c r="G25" s="678">
        <v>54118</v>
      </c>
      <c r="H25" t="s">
        <v>677</v>
      </c>
    </row>
    <row r="26" spans="1:9" x14ac:dyDescent="0.25">
      <c r="A26" t="s">
        <v>678</v>
      </c>
      <c r="B26" s="679">
        <v>320000</v>
      </c>
      <c r="D26">
        <v>29502.43</v>
      </c>
      <c r="E26" s="678">
        <v>45597</v>
      </c>
      <c r="G26" s="678">
        <v>54363</v>
      </c>
      <c r="H26" t="s">
        <v>679</v>
      </c>
    </row>
    <row r="29" spans="1:9" x14ac:dyDescent="0.25">
      <c r="A29" t="s">
        <v>680</v>
      </c>
    </row>
    <row r="30" spans="1:9" x14ac:dyDescent="0.25">
      <c r="A30" t="s">
        <v>681</v>
      </c>
      <c r="B30">
        <v>10893.14</v>
      </c>
      <c r="C30">
        <v>2.64</v>
      </c>
      <c r="D30">
        <v>461.44</v>
      </c>
      <c r="E30" s="678">
        <v>45634</v>
      </c>
      <c r="G30" s="678">
        <v>45877</v>
      </c>
      <c r="I30" t="s">
        <v>652</v>
      </c>
    </row>
    <row r="31" spans="1:9" x14ac:dyDescent="0.25">
      <c r="A31" t="s">
        <v>682</v>
      </c>
      <c r="B31">
        <v>9889.4599999999991</v>
      </c>
      <c r="D31">
        <v>340.39</v>
      </c>
      <c r="E31" s="678">
        <v>45625</v>
      </c>
      <c r="G31" s="678">
        <v>46446</v>
      </c>
      <c r="I31" t="s">
        <v>652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4D19F-676F-4C97-AFF4-AA17552F7F77}">
  <sheetPr codeName="Sheet7">
    <pageSetUpPr fitToPage="1"/>
  </sheetPr>
  <dimension ref="A1:AC154"/>
  <sheetViews>
    <sheetView tabSelected="1" zoomScale="106" zoomScaleNormal="106" workbookViewId="0">
      <selection activeCell="X112" sqref="A1:XFD1048576"/>
    </sheetView>
  </sheetViews>
  <sheetFormatPr defaultColWidth="9.140625" defaultRowHeight="15" x14ac:dyDescent="0.25"/>
  <cols>
    <col min="1" max="1" width="16.7109375" style="565" bestFit="1" customWidth="1"/>
    <col min="2" max="2" width="11" style="565" bestFit="1" customWidth="1"/>
    <col min="3" max="3" width="23.140625" style="565" customWidth="1"/>
    <col min="4" max="4" width="15.28515625" style="565" customWidth="1"/>
    <col min="5" max="5" width="10.28515625" style="565" customWidth="1"/>
    <col min="6" max="6" width="9.5703125" style="565" customWidth="1"/>
    <col min="7" max="7" width="20.5703125" style="565" customWidth="1"/>
    <col min="8" max="8" width="20.5703125" style="565" hidden="1" customWidth="1"/>
    <col min="9" max="9" width="18.5703125" style="565" hidden="1" customWidth="1"/>
    <col min="10" max="10" width="16.7109375" style="565" hidden="1" customWidth="1"/>
    <col min="11" max="12" width="19.5703125" style="565" hidden="1" customWidth="1"/>
    <col min="13" max="13" width="18" style="565" hidden="1" customWidth="1"/>
    <col min="14" max="14" width="15.42578125" style="565" hidden="1" customWidth="1"/>
    <col min="15" max="15" width="18.42578125" style="565" hidden="1" customWidth="1"/>
    <col min="16" max="16" width="17.28515625" style="565" hidden="1" customWidth="1"/>
    <col min="17" max="17" width="18.42578125" style="565" customWidth="1"/>
    <col min="18" max="18" width="18.42578125" style="565" hidden="1" customWidth="1"/>
    <col min="19" max="22" width="16.7109375" style="565" customWidth="1"/>
    <col min="23" max="23" width="15.5703125" style="565" customWidth="1"/>
    <col min="24" max="24" width="16.7109375" style="565" customWidth="1"/>
    <col min="25" max="25" width="13.28515625" style="565" customWidth="1"/>
    <col min="26" max="26" width="16.7109375" style="565" customWidth="1"/>
    <col min="27" max="27" width="29.42578125" style="565" customWidth="1"/>
    <col min="28" max="28" width="16.7109375" style="565" customWidth="1"/>
    <col min="29" max="29" width="13.28515625" style="565" bestFit="1" customWidth="1"/>
    <col min="30" max="30" width="16.7109375" style="565" bestFit="1" customWidth="1"/>
    <col min="31" max="31" width="13.28515625" style="565" bestFit="1" customWidth="1"/>
    <col min="32" max="32" width="16.7109375" style="565" bestFit="1" customWidth="1"/>
    <col min="33" max="33" width="13.28515625" style="565" bestFit="1" customWidth="1"/>
    <col min="34" max="34" width="16.7109375" style="565" bestFit="1" customWidth="1"/>
    <col min="35" max="35" width="13.28515625" style="565" bestFit="1" customWidth="1"/>
    <col min="36" max="36" width="16.7109375" style="565" bestFit="1" customWidth="1"/>
    <col min="37" max="37" width="13.28515625" style="565" bestFit="1" customWidth="1"/>
    <col min="38" max="38" width="16.7109375" style="565" bestFit="1" customWidth="1"/>
    <col min="39" max="39" width="13.28515625" style="565" bestFit="1" customWidth="1"/>
    <col min="40" max="40" width="16.7109375" style="565" bestFit="1" customWidth="1"/>
    <col min="41" max="41" width="13.28515625" style="565" bestFit="1" customWidth="1"/>
    <col min="42" max="42" width="16.7109375" style="565" bestFit="1" customWidth="1"/>
    <col min="43" max="43" width="13.28515625" style="565" bestFit="1" customWidth="1"/>
    <col min="44" max="44" width="16.7109375" style="565" bestFit="1" customWidth="1"/>
    <col min="45" max="45" width="13.28515625" style="565" bestFit="1" customWidth="1"/>
    <col min="46" max="46" width="16.7109375" style="565" bestFit="1" customWidth="1"/>
    <col min="47" max="47" width="13.28515625" style="565" bestFit="1" customWidth="1"/>
    <col min="48" max="48" width="16.7109375" style="565" bestFit="1" customWidth="1"/>
    <col min="49" max="49" width="13.28515625" style="565" bestFit="1" customWidth="1"/>
    <col min="50" max="50" width="16.7109375" style="565" bestFit="1" customWidth="1"/>
    <col min="51" max="51" width="13.28515625" style="565" bestFit="1" customWidth="1"/>
    <col min="52" max="52" width="16.7109375" style="565" bestFit="1" customWidth="1"/>
    <col min="53" max="53" width="13.28515625" style="565" bestFit="1" customWidth="1"/>
    <col min="54" max="54" width="16.7109375" style="565" bestFit="1" customWidth="1"/>
    <col min="55" max="55" width="13.28515625" style="565" bestFit="1" customWidth="1"/>
    <col min="56" max="56" width="16.7109375" style="565" bestFit="1" customWidth="1"/>
    <col min="57" max="57" width="13.28515625" style="565" bestFit="1" customWidth="1"/>
    <col min="58" max="58" width="16.7109375" style="565" bestFit="1" customWidth="1"/>
    <col min="59" max="59" width="13.28515625" style="565" bestFit="1" customWidth="1"/>
    <col min="60" max="60" width="16.7109375" style="565" bestFit="1" customWidth="1"/>
    <col min="61" max="61" width="13.28515625" style="565" bestFit="1" customWidth="1"/>
    <col min="62" max="62" width="16.7109375" style="565" bestFit="1" customWidth="1"/>
    <col min="63" max="63" width="13.28515625" style="565" bestFit="1" customWidth="1"/>
    <col min="64" max="64" width="16.7109375" style="565" bestFit="1" customWidth="1"/>
    <col min="65" max="65" width="13.28515625" style="565" bestFit="1" customWidth="1"/>
    <col min="66" max="66" width="16.7109375" style="565" bestFit="1" customWidth="1"/>
    <col min="67" max="67" width="13.28515625" style="565" bestFit="1" customWidth="1"/>
    <col min="68" max="68" width="16.7109375" style="565" bestFit="1" customWidth="1"/>
    <col min="69" max="69" width="13.28515625" style="565" bestFit="1" customWidth="1"/>
    <col min="70" max="70" width="16.7109375" style="565" bestFit="1" customWidth="1"/>
    <col min="71" max="71" width="13.28515625" style="565" bestFit="1" customWidth="1"/>
    <col min="72" max="72" width="16.7109375" style="565" bestFit="1" customWidth="1"/>
    <col min="73" max="73" width="13.28515625" style="565" bestFit="1" customWidth="1"/>
    <col min="74" max="74" width="16.7109375" style="565" bestFit="1" customWidth="1"/>
    <col min="75" max="75" width="13.28515625" style="565" bestFit="1" customWidth="1"/>
    <col min="76" max="76" width="16.7109375" style="565" bestFit="1" customWidth="1"/>
    <col min="77" max="77" width="13.28515625" style="565" bestFit="1" customWidth="1"/>
    <col min="78" max="78" width="16.7109375" style="565" bestFit="1" customWidth="1"/>
    <col min="79" max="79" width="13.28515625" style="565" bestFit="1" customWidth="1"/>
    <col min="80" max="80" width="16.7109375" style="565" bestFit="1" customWidth="1"/>
    <col min="81" max="81" width="13.28515625" style="565" bestFit="1" customWidth="1"/>
    <col min="82" max="82" width="16.7109375" style="565" bestFit="1" customWidth="1"/>
    <col min="83" max="83" width="13.28515625" style="565" bestFit="1" customWidth="1"/>
    <col min="84" max="84" width="16.7109375" style="565" bestFit="1" customWidth="1"/>
    <col min="85" max="85" width="13.28515625" style="565" bestFit="1" customWidth="1"/>
    <col min="86" max="86" width="16.7109375" style="565" bestFit="1" customWidth="1"/>
    <col min="87" max="87" width="13.28515625" style="565" bestFit="1" customWidth="1"/>
    <col min="88" max="88" width="16.7109375" style="565" bestFit="1" customWidth="1"/>
    <col min="89" max="89" width="13.28515625" style="565" bestFit="1" customWidth="1"/>
    <col min="90" max="90" width="16.7109375" style="565" bestFit="1" customWidth="1"/>
    <col min="91" max="91" width="13.28515625" style="565" bestFit="1" customWidth="1"/>
    <col min="92" max="92" width="16.7109375" style="565" bestFit="1" customWidth="1"/>
    <col min="93" max="93" width="13.28515625" style="565" bestFit="1" customWidth="1"/>
    <col min="94" max="94" width="16.7109375" style="565" bestFit="1" customWidth="1"/>
    <col min="95" max="95" width="13.28515625" style="565" bestFit="1" customWidth="1"/>
    <col min="96" max="96" width="16.7109375" style="565" bestFit="1" customWidth="1"/>
    <col min="97" max="97" width="13.28515625" style="565" bestFit="1" customWidth="1"/>
    <col min="98" max="98" width="16.7109375" style="565" bestFit="1" customWidth="1"/>
    <col min="99" max="99" width="13.28515625" style="565" bestFit="1" customWidth="1"/>
    <col min="100" max="100" width="16.7109375" style="565" bestFit="1" customWidth="1"/>
    <col min="101" max="101" width="13.28515625" style="565" bestFit="1" customWidth="1"/>
    <col min="102" max="102" width="16.7109375" style="565" bestFit="1" customWidth="1"/>
    <col min="103" max="103" width="13.28515625" style="565" bestFit="1" customWidth="1"/>
    <col min="104" max="104" width="16.7109375" style="565" bestFit="1" customWidth="1"/>
    <col min="105" max="105" width="13.28515625" style="565" bestFit="1" customWidth="1"/>
    <col min="106" max="106" width="16.7109375" style="565" bestFit="1" customWidth="1"/>
    <col min="107" max="107" width="13.28515625" style="565" bestFit="1" customWidth="1"/>
    <col min="108" max="108" width="16.7109375" style="565" bestFit="1" customWidth="1"/>
    <col min="109" max="109" width="13.28515625" style="565" bestFit="1" customWidth="1"/>
    <col min="110" max="110" width="16.7109375" style="565" bestFit="1" customWidth="1"/>
    <col min="111" max="111" width="13.28515625" style="565" bestFit="1" customWidth="1"/>
    <col min="112" max="112" width="16.7109375" style="565" bestFit="1" customWidth="1"/>
    <col min="113" max="113" width="13.28515625" style="565" bestFit="1" customWidth="1"/>
    <col min="114" max="114" width="16.7109375" style="565" bestFit="1" customWidth="1"/>
    <col min="115" max="115" width="13.28515625" style="565" bestFit="1" customWidth="1"/>
    <col min="116" max="116" width="16.7109375" style="565" bestFit="1" customWidth="1"/>
    <col min="117" max="117" width="13.28515625" style="565" bestFit="1" customWidth="1"/>
    <col min="118" max="118" width="16.7109375" style="565" bestFit="1" customWidth="1"/>
    <col min="119" max="119" width="13.28515625" style="565" bestFit="1" customWidth="1"/>
    <col min="120" max="120" width="16.7109375" style="565" bestFit="1" customWidth="1"/>
    <col min="121" max="121" width="13.28515625" style="565" bestFit="1" customWidth="1"/>
    <col min="122" max="122" width="16.7109375" style="565" bestFit="1" customWidth="1"/>
    <col min="123" max="123" width="13.28515625" style="565" bestFit="1" customWidth="1"/>
    <col min="124" max="124" width="16.7109375" style="565" bestFit="1" customWidth="1"/>
    <col min="125" max="125" width="13.28515625" style="565" bestFit="1" customWidth="1"/>
    <col min="126" max="126" width="16.7109375" style="565" bestFit="1" customWidth="1"/>
    <col min="127" max="127" width="13.28515625" style="565" bestFit="1" customWidth="1"/>
    <col min="128" max="128" width="16.7109375" style="565" bestFit="1" customWidth="1"/>
    <col min="129" max="129" width="13.28515625" style="565" bestFit="1" customWidth="1"/>
    <col min="130" max="130" width="16.7109375" style="565" bestFit="1" customWidth="1"/>
    <col min="131" max="131" width="13.28515625" style="565" bestFit="1" customWidth="1"/>
    <col min="132" max="132" width="16.7109375" style="565" bestFit="1" customWidth="1"/>
    <col min="133" max="133" width="13.28515625" style="565" bestFit="1" customWidth="1"/>
    <col min="134" max="134" width="16.7109375" style="565" bestFit="1" customWidth="1"/>
    <col min="135" max="135" width="13.28515625" style="565" bestFit="1" customWidth="1"/>
    <col min="136" max="136" width="16.7109375" style="565" bestFit="1" customWidth="1"/>
    <col min="137" max="137" width="13.28515625" style="565" bestFit="1" customWidth="1"/>
    <col min="138" max="138" width="16.7109375" style="565" bestFit="1" customWidth="1"/>
    <col min="139" max="139" width="13.28515625" style="565" bestFit="1" customWidth="1"/>
    <col min="140" max="140" width="16.7109375" style="565" bestFit="1" customWidth="1"/>
    <col min="141" max="141" width="13.28515625" style="565" bestFit="1" customWidth="1"/>
    <col min="142" max="142" width="16.7109375" style="565" bestFit="1" customWidth="1"/>
    <col min="143" max="143" width="13.28515625" style="565" bestFit="1" customWidth="1"/>
    <col min="144" max="144" width="16.7109375" style="565" bestFit="1" customWidth="1"/>
    <col min="145" max="145" width="13.28515625" style="565" bestFit="1" customWidth="1"/>
    <col min="146" max="146" width="16.7109375" style="565" bestFit="1" customWidth="1"/>
    <col min="147" max="147" width="13.28515625" style="565" bestFit="1" customWidth="1"/>
    <col min="148" max="148" width="16.7109375" style="565" bestFit="1" customWidth="1"/>
    <col min="149" max="149" width="13.28515625" style="565" bestFit="1" customWidth="1"/>
    <col min="150" max="150" width="16.7109375" style="565" bestFit="1" customWidth="1"/>
    <col min="151" max="151" width="13.28515625" style="565" bestFit="1" customWidth="1"/>
    <col min="152" max="152" width="16.7109375" style="565" bestFit="1" customWidth="1"/>
    <col min="153" max="153" width="13.28515625" style="565" bestFit="1" customWidth="1"/>
    <col min="154" max="154" width="16.7109375" style="565" bestFit="1" customWidth="1"/>
    <col min="155" max="155" width="13.28515625" style="565" bestFit="1" customWidth="1"/>
    <col min="156" max="156" width="16.7109375" style="565" bestFit="1" customWidth="1"/>
    <col min="157" max="157" width="13.28515625" style="565" bestFit="1" customWidth="1"/>
    <col min="158" max="158" width="16.7109375" style="565" bestFit="1" customWidth="1"/>
    <col min="159" max="159" width="13.28515625" style="565" bestFit="1" customWidth="1"/>
    <col min="160" max="160" width="16.7109375" style="565" bestFit="1" customWidth="1"/>
    <col min="161" max="161" width="13.28515625" style="565" bestFit="1" customWidth="1"/>
    <col min="162" max="162" width="16.7109375" style="565" bestFit="1" customWidth="1"/>
    <col min="163" max="163" width="13.28515625" style="565" bestFit="1" customWidth="1"/>
    <col min="164" max="164" width="16.7109375" style="565" bestFit="1" customWidth="1"/>
    <col min="165" max="165" width="13.28515625" style="565" bestFit="1" customWidth="1"/>
    <col min="166" max="166" width="16.7109375" style="565" bestFit="1" customWidth="1"/>
    <col min="167" max="167" width="13.28515625" style="565" bestFit="1" customWidth="1"/>
    <col min="168" max="168" width="16.7109375" style="565" bestFit="1" customWidth="1"/>
    <col min="169" max="169" width="13.28515625" style="565" bestFit="1" customWidth="1"/>
    <col min="170" max="170" width="16.7109375" style="565" bestFit="1" customWidth="1"/>
    <col min="171" max="171" width="13.28515625" style="565" bestFit="1" customWidth="1"/>
    <col min="172" max="172" width="16.7109375" style="565" bestFit="1" customWidth="1"/>
    <col min="173" max="173" width="13.28515625" style="565" bestFit="1" customWidth="1"/>
    <col min="174" max="174" width="16.7109375" style="565" bestFit="1" customWidth="1"/>
    <col min="175" max="175" width="13.28515625" style="565" bestFit="1" customWidth="1"/>
    <col min="176" max="176" width="16.7109375" style="565" bestFit="1" customWidth="1"/>
    <col min="177" max="177" width="13.28515625" style="565" bestFit="1" customWidth="1"/>
    <col min="178" max="178" width="16.7109375" style="565" bestFit="1" customWidth="1"/>
    <col min="179" max="179" width="13.28515625" style="565" bestFit="1" customWidth="1"/>
    <col min="180" max="180" width="16.7109375" style="565" bestFit="1" customWidth="1"/>
    <col min="181" max="181" width="13.28515625" style="565" bestFit="1" customWidth="1"/>
    <col min="182" max="182" width="16.7109375" style="565" bestFit="1" customWidth="1"/>
    <col min="183" max="183" width="13.28515625" style="565" bestFit="1" customWidth="1"/>
    <col min="184" max="184" width="16.7109375" style="565" bestFit="1" customWidth="1"/>
    <col min="185" max="185" width="13.28515625" style="565" bestFit="1" customWidth="1"/>
    <col min="186" max="186" width="16.7109375" style="565" bestFit="1" customWidth="1"/>
    <col min="187" max="187" width="13.28515625" style="565" bestFit="1" customWidth="1"/>
    <col min="188" max="188" width="16.7109375" style="565" bestFit="1" customWidth="1"/>
    <col min="189" max="189" width="13.28515625" style="565" bestFit="1" customWidth="1"/>
    <col min="190" max="190" width="16.7109375" style="565" bestFit="1" customWidth="1"/>
    <col min="191" max="191" width="13.28515625" style="565" bestFit="1" customWidth="1"/>
    <col min="192" max="192" width="16.7109375" style="565" bestFit="1" customWidth="1"/>
    <col min="193" max="193" width="13.28515625" style="565" bestFit="1" customWidth="1"/>
    <col min="194" max="194" width="16.7109375" style="565" bestFit="1" customWidth="1"/>
    <col min="195" max="195" width="13.28515625" style="565" bestFit="1" customWidth="1"/>
    <col min="196" max="196" width="16.7109375" style="565" bestFit="1" customWidth="1"/>
    <col min="197" max="197" width="13.28515625" style="565" bestFit="1" customWidth="1"/>
    <col min="198" max="198" width="16.7109375" style="565" bestFit="1" customWidth="1"/>
    <col min="199" max="199" width="13.28515625" style="565" bestFit="1" customWidth="1"/>
    <col min="200" max="200" width="16.7109375" style="565" bestFit="1" customWidth="1"/>
    <col min="201" max="201" width="13.28515625" style="565" bestFit="1" customWidth="1"/>
    <col min="202" max="202" width="16.7109375" style="565" bestFit="1" customWidth="1"/>
    <col min="203" max="203" width="13.28515625" style="565" bestFit="1" customWidth="1"/>
    <col min="204" max="204" width="16.7109375" style="565" bestFit="1" customWidth="1"/>
    <col min="205" max="205" width="13.28515625" style="565" bestFit="1" customWidth="1"/>
    <col min="206" max="206" width="16.7109375" style="565" bestFit="1" customWidth="1"/>
    <col min="207" max="207" width="13.28515625" style="565" bestFit="1" customWidth="1"/>
    <col min="208" max="208" width="16.7109375" style="565" bestFit="1" customWidth="1"/>
    <col min="209" max="209" width="13.28515625" style="565" bestFit="1" customWidth="1"/>
    <col min="210" max="210" width="16.7109375" style="565" bestFit="1" customWidth="1"/>
    <col min="211" max="211" width="13.28515625" style="565" bestFit="1" customWidth="1"/>
    <col min="212" max="212" width="16.7109375" style="565" bestFit="1" customWidth="1"/>
    <col min="213" max="213" width="13.28515625" style="565" bestFit="1" customWidth="1"/>
    <col min="214" max="214" width="16.7109375" style="565" bestFit="1" customWidth="1"/>
    <col min="215" max="215" width="13.28515625" style="565" bestFit="1" customWidth="1"/>
    <col min="216" max="216" width="16.7109375" style="565" bestFit="1" customWidth="1"/>
    <col min="217" max="217" width="13.28515625" style="565" bestFit="1" customWidth="1"/>
    <col min="218" max="218" width="16.7109375" style="565" bestFit="1" customWidth="1"/>
    <col min="219" max="219" width="13.28515625" style="565" bestFit="1" customWidth="1"/>
    <col min="220" max="220" width="16.7109375" style="565" bestFit="1" customWidth="1"/>
    <col min="221" max="221" width="13.28515625" style="565" bestFit="1" customWidth="1"/>
    <col min="222" max="222" width="16.7109375" style="565" bestFit="1" customWidth="1"/>
    <col min="223" max="223" width="13.28515625" style="565" bestFit="1" customWidth="1"/>
    <col min="224" max="224" width="16.7109375" style="565" bestFit="1" customWidth="1"/>
    <col min="225" max="225" width="13.28515625" style="565" bestFit="1" customWidth="1"/>
    <col min="226" max="226" width="16.7109375" style="565" bestFit="1" customWidth="1"/>
    <col min="227" max="227" width="13.28515625" style="565" bestFit="1" customWidth="1"/>
    <col min="228" max="228" width="16.7109375" style="565" bestFit="1" customWidth="1"/>
    <col min="229" max="229" width="13.28515625" style="565" bestFit="1" customWidth="1"/>
    <col min="230" max="230" width="16.7109375" style="565" bestFit="1" customWidth="1"/>
    <col min="231" max="231" width="13.28515625" style="565" bestFit="1" customWidth="1"/>
    <col min="232" max="232" width="16.7109375" style="565" bestFit="1" customWidth="1"/>
    <col min="233" max="233" width="13.28515625" style="565" bestFit="1" customWidth="1"/>
    <col min="234" max="234" width="16.7109375" style="565" bestFit="1" customWidth="1"/>
    <col min="235" max="235" width="13.28515625" style="565" bestFit="1" customWidth="1"/>
    <col min="236" max="236" width="16.7109375" style="565" bestFit="1" customWidth="1"/>
    <col min="237" max="237" width="13.28515625" style="565" bestFit="1" customWidth="1"/>
    <col min="238" max="238" width="16.7109375" style="565" bestFit="1" customWidth="1"/>
    <col min="239" max="239" width="13.28515625" style="565" bestFit="1" customWidth="1"/>
    <col min="240" max="240" width="16.7109375" style="565" bestFit="1" customWidth="1"/>
    <col min="241" max="241" width="13.28515625" style="565" bestFit="1" customWidth="1"/>
    <col min="242" max="242" width="16.7109375" style="565" bestFit="1" customWidth="1"/>
    <col min="243" max="243" width="13.28515625" style="565" bestFit="1" customWidth="1"/>
    <col min="244" max="244" width="16.7109375" style="565" bestFit="1" customWidth="1"/>
    <col min="245" max="245" width="13.28515625" style="565" bestFit="1" customWidth="1"/>
    <col min="246" max="246" width="16.7109375" style="565" bestFit="1" customWidth="1"/>
    <col min="247" max="247" width="13.28515625" style="565" bestFit="1" customWidth="1"/>
    <col min="248" max="248" width="16.7109375" style="565" bestFit="1" customWidth="1"/>
    <col min="249" max="249" width="13.28515625" style="565" bestFit="1" customWidth="1"/>
    <col min="250" max="250" width="16.7109375" style="565" bestFit="1" customWidth="1"/>
    <col min="251" max="251" width="13.28515625" style="565" bestFit="1" customWidth="1"/>
    <col min="252" max="252" width="16.7109375" style="565" bestFit="1" customWidth="1"/>
    <col min="253" max="253" width="13.28515625" style="565" bestFit="1" customWidth="1"/>
    <col min="254" max="254" width="16.7109375" style="565" bestFit="1" customWidth="1"/>
    <col min="255" max="255" width="13.28515625" style="565" bestFit="1" customWidth="1"/>
    <col min="256" max="256" width="16.7109375" style="565" bestFit="1" customWidth="1"/>
    <col min="257" max="257" width="13.28515625" style="565" bestFit="1" customWidth="1"/>
    <col min="258" max="258" width="16.7109375" style="565" bestFit="1" customWidth="1"/>
    <col min="259" max="259" width="13.28515625" style="565" bestFit="1" customWidth="1"/>
    <col min="260" max="260" width="16.7109375" style="565" bestFit="1" customWidth="1"/>
    <col min="261" max="261" width="13.28515625" style="565" bestFit="1" customWidth="1"/>
    <col min="262" max="262" width="16.7109375" style="565" bestFit="1" customWidth="1"/>
    <col min="263" max="263" width="13.28515625" style="565" bestFit="1" customWidth="1"/>
    <col min="264" max="264" width="16.7109375" style="565" bestFit="1" customWidth="1"/>
    <col min="265" max="265" width="13.28515625" style="565" bestFit="1" customWidth="1"/>
    <col min="266" max="266" width="16.7109375" style="565" bestFit="1" customWidth="1"/>
    <col min="267" max="267" width="13.28515625" style="565" bestFit="1" customWidth="1"/>
    <col min="268" max="268" width="16.7109375" style="565" bestFit="1" customWidth="1"/>
    <col min="269" max="269" width="13.28515625" style="565" bestFit="1" customWidth="1"/>
    <col min="270" max="270" width="16.7109375" style="565" bestFit="1" customWidth="1"/>
    <col min="271" max="271" width="13.28515625" style="565" bestFit="1" customWidth="1"/>
    <col min="272" max="272" width="16.7109375" style="565" bestFit="1" customWidth="1"/>
    <col min="273" max="273" width="13.28515625" style="565" bestFit="1" customWidth="1"/>
    <col min="274" max="274" width="16.7109375" style="565" bestFit="1" customWidth="1"/>
    <col min="275" max="275" width="13.28515625" style="565" bestFit="1" customWidth="1"/>
    <col min="276" max="276" width="16.7109375" style="565" bestFit="1" customWidth="1"/>
    <col min="277" max="277" width="13.28515625" style="565" bestFit="1" customWidth="1"/>
    <col min="278" max="278" width="16.7109375" style="565" bestFit="1" customWidth="1"/>
    <col min="279" max="279" width="13.28515625" style="565" bestFit="1" customWidth="1"/>
    <col min="280" max="280" width="16.7109375" style="565" bestFit="1" customWidth="1"/>
    <col min="281" max="281" width="13.28515625" style="565" bestFit="1" customWidth="1"/>
    <col min="282" max="282" width="16.7109375" style="565" bestFit="1" customWidth="1"/>
    <col min="283" max="283" width="13.28515625" style="565" bestFit="1" customWidth="1"/>
    <col min="284" max="284" width="16.7109375" style="565" bestFit="1" customWidth="1"/>
    <col min="285" max="285" width="13.28515625" style="565" bestFit="1" customWidth="1"/>
    <col min="286" max="286" width="16.7109375" style="565" bestFit="1" customWidth="1"/>
    <col min="287" max="287" width="13.28515625" style="565" bestFit="1" customWidth="1"/>
    <col min="288" max="288" width="16.7109375" style="565" bestFit="1" customWidth="1"/>
    <col min="289" max="289" width="13.28515625" style="565" bestFit="1" customWidth="1"/>
    <col min="290" max="290" width="16.7109375" style="565" bestFit="1" customWidth="1"/>
    <col min="291" max="291" width="13.28515625" style="565" bestFit="1" customWidth="1"/>
    <col min="292" max="292" width="16.7109375" style="565" bestFit="1" customWidth="1"/>
    <col min="293" max="293" width="13.28515625" style="565" bestFit="1" customWidth="1"/>
    <col min="294" max="294" width="16.7109375" style="565" bestFit="1" customWidth="1"/>
    <col min="295" max="295" width="13.28515625" style="565" bestFit="1" customWidth="1"/>
    <col min="296" max="296" width="16.7109375" style="565" bestFit="1" customWidth="1"/>
    <col min="297" max="297" width="13.28515625" style="565" bestFit="1" customWidth="1"/>
    <col min="298" max="298" width="16.7109375" style="565" bestFit="1" customWidth="1"/>
    <col min="299" max="299" width="13.28515625" style="565" bestFit="1" customWidth="1"/>
    <col min="300" max="300" width="16.7109375" style="565" bestFit="1" customWidth="1"/>
    <col min="301" max="301" width="13.28515625" style="565" bestFit="1" customWidth="1"/>
    <col min="302" max="302" width="16.7109375" style="565" bestFit="1" customWidth="1"/>
    <col min="303" max="303" width="13.28515625" style="565" bestFit="1" customWidth="1"/>
    <col min="304" max="304" width="16.7109375" style="565" bestFit="1" customWidth="1"/>
    <col min="305" max="305" width="13.28515625" style="565" bestFit="1" customWidth="1"/>
    <col min="306" max="306" width="16.7109375" style="565" bestFit="1" customWidth="1"/>
    <col min="307" max="307" width="13.28515625" style="565" bestFit="1" customWidth="1"/>
    <col min="308" max="308" width="16.7109375" style="565" bestFit="1" customWidth="1"/>
    <col min="309" max="309" width="13.28515625" style="565" bestFit="1" customWidth="1"/>
    <col min="310" max="310" width="16.7109375" style="565" bestFit="1" customWidth="1"/>
    <col min="311" max="311" width="13.28515625" style="565" bestFit="1" customWidth="1"/>
    <col min="312" max="312" width="16.7109375" style="565" bestFit="1" customWidth="1"/>
    <col min="313" max="313" width="13.28515625" style="565" bestFit="1" customWidth="1"/>
    <col min="314" max="314" width="16.7109375" style="565" bestFit="1" customWidth="1"/>
    <col min="315" max="315" width="13.28515625" style="565" bestFit="1" customWidth="1"/>
    <col min="316" max="316" width="16.7109375" style="565" bestFit="1" customWidth="1"/>
    <col min="317" max="317" width="13.28515625" style="565" bestFit="1" customWidth="1"/>
    <col min="318" max="318" width="16.7109375" style="565" bestFit="1" customWidth="1"/>
    <col min="319" max="319" width="13.28515625" style="565" bestFit="1" customWidth="1"/>
    <col min="320" max="320" width="16.7109375" style="565" bestFit="1" customWidth="1"/>
    <col min="321" max="321" width="13.28515625" style="565" bestFit="1" customWidth="1"/>
    <col min="322" max="322" width="16.7109375" style="565" bestFit="1" customWidth="1"/>
    <col min="323" max="323" width="13.28515625" style="565" bestFit="1" customWidth="1"/>
    <col min="324" max="324" width="16.7109375" style="565" bestFit="1" customWidth="1"/>
    <col min="325" max="325" width="13.28515625" style="565" bestFit="1" customWidth="1"/>
    <col min="326" max="326" width="16.7109375" style="565" bestFit="1" customWidth="1"/>
    <col min="327" max="327" width="13.28515625" style="565" bestFit="1" customWidth="1"/>
    <col min="328" max="328" width="16.7109375" style="565" bestFit="1" customWidth="1"/>
    <col min="329" max="329" width="13.28515625" style="565" bestFit="1" customWidth="1"/>
    <col min="330" max="330" width="16.7109375" style="565" bestFit="1" customWidth="1"/>
    <col min="331" max="331" width="13.28515625" style="565" bestFit="1" customWidth="1"/>
    <col min="332" max="332" width="16.7109375" style="565" bestFit="1" customWidth="1"/>
    <col min="333" max="333" width="13.28515625" style="565" bestFit="1" customWidth="1"/>
    <col min="334" max="334" width="16.7109375" style="565" bestFit="1" customWidth="1"/>
    <col min="335" max="335" width="13.28515625" style="565" bestFit="1" customWidth="1"/>
    <col min="336" max="336" width="16.7109375" style="565" bestFit="1" customWidth="1"/>
    <col min="337" max="337" width="13.28515625" style="565" bestFit="1" customWidth="1"/>
    <col min="338" max="338" width="16.7109375" style="565" bestFit="1" customWidth="1"/>
    <col min="339" max="339" width="13.28515625" style="565" bestFit="1" customWidth="1"/>
    <col min="340" max="340" width="16.7109375" style="565" bestFit="1" customWidth="1"/>
    <col min="341" max="341" width="13.28515625" style="565" bestFit="1" customWidth="1"/>
    <col min="342" max="342" width="16.7109375" style="565" bestFit="1" customWidth="1"/>
    <col min="343" max="343" width="13.28515625" style="565" bestFit="1" customWidth="1"/>
    <col min="344" max="344" width="16.7109375" style="565" bestFit="1" customWidth="1"/>
    <col min="345" max="345" width="13.28515625" style="565" bestFit="1" customWidth="1"/>
    <col min="346" max="346" width="16.7109375" style="565" bestFit="1" customWidth="1"/>
    <col min="347" max="347" width="13.28515625" style="565" bestFit="1" customWidth="1"/>
    <col min="348" max="348" width="16.7109375" style="565" bestFit="1" customWidth="1"/>
    <col min="349" max="349" width="13.28515625" style="565" bestFit="1" customWidth="1"/>
    <col min="350" max="350" width="16.7109375" style="565" bestFit="1" customWidth="1"/>
    <col min="351" max="351" width="13.28515625" style="565" bestFit="1" customWidth="1"/>
    <col min="352" max="352" width="16.7109375" style="565" bestFit="1" customWidth="1"/>
    <col min="353" max="353" width="13.28515625" style="565" bestFit="1" customWidth="1"/>
    <col min="354" max="354" width="16.7109375" style="565" bestFit="1" customWidth="1"/>
    <col min="355" max="355" width="18.28515625" style="565" bestFit="1" customWidth="1"/>
    <col min="356" max="356" width="21.85546875" style="565" bestFit="1" customWidth="1"/>
    <col min="357" max="357" width="17.28515625" style="565" bestFit="1" customWidth="1"/>
    <col min="358" max="361" width="8.85546875" style="565" bestFit="1" customWidth="1"/>
    <col min="362" max="362" width="11.140625" style="565" bestFit="1" customWidth="1"/>
    <col min="363" max="364" width="10.28515625" style="565" bestFit="1" customWidth="1"/>
    <col min="365" max="366" width="11.28515625" style="565" bestFit="1" customWidth="1"/>
    <col min="367" max="367" width="10.28515625" style="565" bestFit="1" customWidth="1"/>
    <col min="368" max="369" width="11.28515625" style="565" bestFit="1" customWidth="1"/>
    <col min="370" max="371" width="10.28515625" style="565" bestFit="1" customWidth="1"/>
    <col min="372" max="372" width="12.7109375" style="565" bestFit="1" customWidth="1"/>
    <col min="373" max="374" width="12.28515625" style="565" bestFit="1" customWidth="1"/>
    <col min="375" max="375" width="9.85546875" style="565" bestFit="1" customWidth="1"/>
    <col min="376" max="377" width="10.85546875" style="565" bestFit="1" customWidth="1"/>
    <col min="378" max="378" width="9.85546875" style="565" bestFit="1" customWidth="1"/>
    <col min="379" max="380" width="10.85546875" style="565" bestFit="1" customWidth="1"/>
    <col min="381" max="385" width="11.85546875" style="565" bestFit="1" customWidth="1"/>
    <col min="386" max="386" width="10.28515625" style="565" bestFit="1" customWidth="1"/>
    <col min="387" max="390" width="8.85546875" style="565" bestFit="1" customWidth="1"/>
    <col min="391" max="391" width="11.140625" style="565" bestFit="1" customWidth="1"/>
    <col min="392" max="393" width="10.28515625" style="565" bestFit="1" customWidth="1"/>
    <col min="394" max="395" width="11.28515625" style="565" bestFit="1" customWidth="1"/>
    <col min="396" max="396" width="10.28515625" style="565" bestFit="1" customWidth="1"/>
    <col min="397" max="398" width="11.28515625" style="565" bestFit="1" customWidth="1"/>
    <col min="399" max="400" width="10.28515625" style="565" bestFit="1" customWidth="1"/>
    <col min="401" max="401" width="12.7109375" style="565" bestFit="1" customWidth="1"/>
    <col min="402" max="403" width="12.28515625" style="565" bestFit="1" customWidth="1"/>
    <col min="404" max="404" width="9.85546875" style="565" bestFit="1" customWidth="1"/>
    <col min="405" max="406" width="10.85546875" style="565" bestFit="1" customWidth="1"/>
    <col min="407" max="407" width="9.85546875" style="565" bestFit="1" customWidth="1"/>
    <col min="408" max="409" width="10.85546875" style="565" bestFit="1" customWidth="1"/>
    <col min="410" max="414" width="11.85546875" style="565" bestFit="1" customWidth="1"/>
    <col min="415" max="415" width="16.28515625" style="565" bestFit="1" customWidth="1"/>
    <col min="416" max="419" width="8.85546875" style="565" bestFit="1" customWidth="1"/>
    <col min="420" max="420" width="11.140625" style="565" bestFit="1" customWidth="1"/>
    <col min="421" max="422" width="10.28515625" style="565" bestFit="1" customWidth="1"/>
    <col min="423" max="424" width="11.28515625" style="565" bestFit="1" customWidth="1"/>
    <col min="425" max="425" width="10.28515625" style="565" bestFit="1" customWidth="1"/>
    <col min="426" max="427" width="11.28515625" style="565" bestFit="1" customWidth="1"/>
    <col min="428" max="429" width="10.28515625" style="565" bestFit="1" customWidth="1"/>
    <col min="430" max="430" width="12.7109375" style="565" bestFit="1" customWidth="1"/>
    <col min="431" max="432" width="12.28515625" style="565" bestFit="1" customWidth="1"/>
    <col min="433" max="433" width="9.85546875" style="565" bestFit="1" customWidth="1"/>
    <col min="434" max="435" width="10.85546875" style="565" bestFit="1" customWidth="1"/>
    <col min="436" max="436" width="9.85546875" style="565" bestFit="1" customWidth="1"/>
    <col min="437" max="438" width="10.85546875" style="565" bestFit="1" customWidth="1"/>
    <col min="439" max="443" width="11.85546875" style="565" bestFit="1" customWidth="1"/>
    <col min="444" max="444" width="16.7109375" style="565" bestFit="1" customWidth="1"/>
    <col min="445" max="448" width="8.85546875" style="565" bestFit="1" customWidth="1"/>
    <col min="449" max="449" width="11.140625" style="565" bestFit="1" customWidth="1"/>
    <col min="450" max="451" width="10.28515625" style="565" bestFit="1" customWidth="1"/>
    <col min="452" max="453" width="11.28515625" style="565" bestFit="1" customWidth="1"/>
    <col min="454" max="454" width="10.28515625" style="565" bestFit="1" customWidth="1"/>
    <col min="455" max="456" width="11.28515625" style="565" bestFit="1" customWidth="1"/>
    <col min="457" max="458" width="10.28515625" style="565" bestFit="1" customWidth="1"/>
    <col min="459" max="459" width="12.7109375" style="565" bestFit="1" customWidth="1"/>
    <col min="460" max="461" width="12.28515625" style="565" bestFit="1" customWidth="1"/>
    <col min="462" max="462" width="9.85546875" style="565" bestFit="1" customWidth="1"/>
    <col min="463" max="464" width="10.85546875" style="565" bestFit="1" customWidth="1"/>
    <col min="465" max="465" width="9.85546875" style="565" bestFit="1" customWidth="1"/>
    <col min="466" max="467" width="10.85546875" style="565" bestFit="1" customWidth="1"/>
    <col min="468" max="472" width="11.85546875" style="565" bestFit="1" customWidth="1"/>
    <col min="473" max="473" width="11.5703125" style="565" bestFit="1" customWidth="1"/>
    <col min="474" max="477" width="8.85546875" style="565" bestFit="1" customWidth="1"/>
    <col min="478" max="478" width="11.140625" style="565" bestFit="1" customWidth="1"/>
    <col min="479" max="480" width="10.28515625" style="565" bestFit="1" customWidth="1"/>
    <col min="481" max="482" width="11.28515625" style="565" bestFit="1" customWidth="1"/>
    <col min="483" max="483" width="10.28515625" style="565" bestFit="1" customWidth="1"/>
    <col min="484" max="485" width="11.28515625" style="565" bestFit="1" customWidth="1"/>
    <col min="486" max="487" width="10.28515625" style="565" bestFit="1" customWidth="1"/>
    <col min="488" max="488" width="12.7109375" style="565" bestFit="1" customWidth="1"/>
    <col min="489" max="490" width="12.28515625" style="565" bestFit="1" customWidth="1"/>
    <col min="491" max="491" width="9.85546875" style="565" bestFit="1" customWidth="1"/>
    <col min="492" max="493" width="10.85546875" style="565" bestFit="1" customWidth="1"/>
    <col min="494" max="494" width="9.85546875" style="565" bestFit="1" customWidth="1"/>
    <col min="495" max="496" width="10.85546875" style="565" bestFit="1" customWidth="1"/>
    <col min="497" max="501" width="11.85546875" style="565" bestFit="1" customWidth="1"/>
    <col min="502" max="502" width="11.140625" style="565" bestFit="1" customWidth="1"/>
    <col min="503" max="506" width="8.85546875" style="565" bestFit="1" customWidth="1"/>
    <col min="507" max="507" width="11.140625" style="565" bestFit="1" customWidth="1"/>
    <col min="508" max="509" width="10.28515625" style="565" bestFit="1" customWidth="1"/>
    <col min="510" max="511" width="11.28515625" style="565" bestFit="1" customWidth="1"/>
    <col min="512" max="512" width="10.28515625" style="565" bestFit="1" customWidth="1"/>
    <col min="513" max="514" width="11.28515625" style="565" bestFit="1" customWidth="1"/>
    <col min="515" max="516" width="10.28515625" style="565" bestFit="1" customWidth="1"/>
    <col min="517" max="517" width="12.7109375" style="565" bestFit="1" customWidth="1"/>
    <col min="518" max="519" width="12.28515625" style="565" bestFit="1" customWidth="1"/>
    <col min="520" max="520" width="9.85546875" style="565" bestFit="1" customWidth="1"/>
    <col min="521" max="522" width="10.85546875" style="565" bestFit="1" customWidth="1"/>
    <col min="523" max="523" width="9.85546875" style="565" bestFit="1" customWidth="1"/>
    <col min="524" max="525" width="10.85546875" style="565" bestFit="1" customWidth="1"/>
    <col min="526" max="530" width="11.85546875" style="565" bestFit="1" customWidth="1"/>
    <col min="531" max="531" width="12.85546875" style="565" bestFit="1" customWidth="1"/>
    <col min="532" max="535" width="8.85546875" style="565" bestFit="1" customWidth="1"/>
    <col min="536" max="536" width="11.140625" style="565" bestFit="1" customWidth="1"/>
    <col min="537" max="538" width="10.28515625" style="565" bestFit="1" customWidth="1"/>
    <col min="539" max="540" width="11.28515625" style="565" bestFit="1" customWidth="1"/>
    <col min="541" max="541" width="10.28515625" style="565" bestFit="1" customWidth="1"/>
    <col min="542" max="543" width="11.28515625" style="565" bestFit="1" customWidth="1"/>
    <col min="544" max="545" width="10.28515625" style="565" bestFit="1" customWidth="1"/>
    <col min="546" max="546" width="12.7109375" style="565" bestFit="1" customWidth="1"/>
    <col min="547" max="548" width="12.28515625" style="565" bestFit="1" customWidth="1"/>
    <col min="549" max="549" width="9.85546875" style="565" bestFit="1" customWidth="1"/>
    <col min="550" max="551" width="10.85546875" style="565" bestFit="1" customWidth="1"/>
    <col min="552" max="552" width="9.85546875" style="565" bestFit="1" customWidth="1"/>
    <col min="553" max="554" width="10.85546875" style="565" bestFit="1" customWidth="1"/>
    <col min="555" max="559" width="11.85546875" style="565" bestFit="1" customWidth="1"/>
    <col min="560" max="560" width="7.5703125" style="565" bestFit="1" customWidth="1"/>
    <col min="561" max="564" width="8.85546875" style="565" bestFit="1" customWidth="1"/>
    <col min="565" max="565" width="11.140625" style="565" bestFit="1" customWidth="1"/>
    <col min="566" max="567" width="10.28515625" style="565" bestFit="1" customWidth="1"/>
    <col min="568" max="569" width="11.28515625" style="565" bestFit="1" customWidth="1"/>
    <col min="570" max="570" width="10.28515625" style="565" bestFit="1" customWidth="1"/>
    <col min="571" max="572" width="11.28515625" style="565" bestFit="1" customWidth="1"/>
    <col min="573" max="574" width="10.28515625" style="565" bestFit="1" customWidth="1"/>
    <col min="575" max="575" width="12.7109375" style="565" bestFit="1" customWidth="1"/>
    <col min="576" max="577" width="12.28515625" style="565" bestFit="1" customWidth="1"/>
    <col min="578" max="578" width="9.85546875" style="565" bestFit="1" customWidth="1"/>
    <col min="579" max="580" width="10.85546875" style="565" bestFit="1" customWidth="1"/>
    <col min="581" max="581" width="9.85546875" style="565" bestFit="1" customWidth="1"/>
    <col min="582" max="583" width="10.85546875" style="565" bestFit="1" customWidth="1"/>
    <col min="584" max="588" width="11.85546875" style="565" bestFit="1" customWidth="1"/>
    <col min="589" max="589" width="9.5703125" style="565" bestFit="1" customWidth="1"/>
    <col min="590" max="593" width="8.85546875" style="565" bestFit="1" customWidth="1"/>
    <col min="594" max="594" width="11.140625" style="565" bestFit="1" customWidth="1"/>
    <col min="595" max="596" width="10.28515625" style="565" bestFit="1" customWidth="1"/>
    <col min="597" max="598" width="11.28515625" style="565" bestFit="1" customWidth="1"/>
    <col min="599" max="599" width="10.28515625" style="565" bestFit="1" customWidth="1"/>
    <col min="600" max="601" width="11.28515625" style="565" bestFit="1" customWidth="1"/>
    <col min="602" max="603" width="10.28515625" style="565" bestFit="1" customWidth="1"/>
    <col min="604" max="604" width="12.7109375" style="565" bestFit="1" customWidth="1"/>
    <col min="605" max="606" width="12.28515625" style="565" bestFit="1" customWidth="1"/>
    <col min="607" max="607" width="9.85546875" style="565" bestFit="1" customWidth="1"/>
    <col min="608" max="609" width="10.85546875" style="565" bestFit="1" customWidth="1"/>
    <col min="610" max="610" width="9.85546875" style="565" bestFit="1" customWidth="1"/>
    <col min="611" max="612" width="10.85546875" style="565" bestFit="1" customWidth="1"/>
    <col min="613" max="617" width="11.85546875" style="565" bestFit="1" customWidth="1"/>
    <col min="618" max="618" width="18.7109375" style="565" bestFit="1" customWidth="1"/>
    <col min="619" max="622" width="8.85546875" style="565" bestFit="1" customWidth="1"/>
    <col min="623" max="623" width="11.140625" style="565" bestFit="1" customWidth="1"/>
    <col min="624" max="625" width="10.28515625" style="565" bestFit="1" customWidth="1"/>
    <col min="626" max="627" width="11.28515625" style="565" bestFit="1" customWidth="1"/>
    <col min="628" max="628" width="10.28515625" style="565" bestFit="1" customWidth="1"/>
    <col min="629" max="630" width="11.28515625" style="565" bestFit="1" customWidth="1"/>
    <col min="631" max="632" width="10.28515625" style="565" bestFit="1" customWidth="1"/>
    <col min="633" max="633" width="12.7109375" style="565" bestFit="1" customWidth="1"/>
    <col min="634" max="635" width="12.28515625" style="565" bestFit="1" customWidth="1"/>
    <col min="636" max="636" width="9.85546875" style="565" bestFit="1" customWidth="1"/>
    <col min="637" max="638" width="10.85546875" style="565" bestFit="1" customWidth="1"/>
    <col min="639" max="639" width="9.85546875" style="565" bestFit="1" customWidth="1"/>
    <col min="640" max="641" width="10.85546875" style="565" bestFit="1" customWidth="1"/>
    <col min="642" max="646" width="11.85546875" style="565" bestFit="1" customWidth="1"/>
    <col min="647" max="647" width="11" style="565" bestFit="1" customWidth="1"/>
    <col min="648" max="651" width="8.85546875" style="565" bestFit="1" customWidth="1"/>
    <col min="652" max="652" width="11.140625" style="565" bestFit="1" customWidth="1"/>
    <col min="653" max="654" width="10.28515625" style="565" bestFit="1" customWidth="1"/>
    <col min="655" max="656" width="11.28515625" style="565" bestFit="1" customWidth="1"/>
    <col min="657" max="657" width="10.28515625" style="565" bestFit="1" customWidth="1"/>
    <col min="658" max="659" width="11.28515625" style="565" bestFit="1" customWidth="1"/>
    <col min="660" max="661" width="10.28515625" style="565" bestFit="1" customWidth="1"/>
    <col min="662" max="662" width="12.7109375" style="565" bestFit="1" customWidth="1"/>
    <col min="663" max="664" width="12.28515625" style="565" bestFit="1" customWidth="1"/>
    <col min="665" max="665" width="9.85546875" style="565" bestFit="1" customWidth="1"/>
    <col min="666" max="667" width="10.85546875" style="565" bestFit="1" customWidth="1"/>
    <col min="668" max="668" width="9.85546875" style="565" bestFit="1" customWidth="1"/>
    <col min="669" max="670" width="10.85546875" style="565" bestFit="1" customWidth="1"/>
    <col min="671" max="675" width="11.85546875" style="565" bestFit="1" customWidth="1"/>
    <col min="676" max="676" width="17.5703125" style="565" bestFit="1" customWidth="1"/>
    <col min="677" max="680" width="8.85546875" style="565" bestFit="1" customWidth="1"/>
    <col min="681" max="681" width="11.140625" style="565" bestFit="1" customWidth="1"/>
    <col min="682" max="683" width="10.28515625" style="565" bestFit="1" customWidth="1"/>
    <col min="684" max="685" width="11.28515625" style="565" bestFit="1" customWidth="1"/>
    <col min="686" max="686" width="10.28515625" style="565" bestFit="1" customWidth="1"/>
    <col min="687" max="688" width="11.28515625" style="565" bestFit="1" customWidth="1"/>
    <col min="689" max="690" width="10.28515625" style="565" bestFit="1" customWidth="1"/>
    <col min="691" max="691" width="12.7109375" style="565" bestFit="1" customWidth="1"/>
    <col min="692" max="693" width="12.28515625" style="565" bestFit="1" customWidth="1"/>
    <col min="694" max="694" width="9.85546875" style="565" bestFit="1" customWidth="1"/>
    <col min="695" max="696" width="10.85546875" style="565" bestFit="1" customWidth="1"/>
    <col min="697" max="697" width="9.85546875" style="565" bestFit="1" customWidth="1"/>
    <col min="698" max="699" width="10.85546875" style="565" bestFit="1" customWidth="1"/>
    <col min="700" max="704" width="11.85546875" style="565" bestFit="1" customWidth="1"/>
    <col min="705" max="705" width="8.28515625" style="565" bestFit="1" customWidth="1"/>
    <col min="706" max="709" width="8.85546875" style="565" bestFit="1" customWidth="1"/>
    <col min="710" max="710" width="11.140625" style="565" bestFit="1" customWidth="1"/>
    <col min="711" max="712" width="10.28515625" style="565" bestFit="1" customWidth="1"/>
    <col min="713" max="714" width="11.28515625" style="565" bestFit="1" customWidth="1"/>
    <col min="715" max="715" width="10.28515625" style="565" bestFit="1" customWidth="1"/>
    <col min="716" max="717" width="11.28515625" style="565" bestFit="1" customWidth="1"/>
    <col min="718" max="719" width="10.28515625" style="565" bestFit="1" customWidth="1"/>
    <col min="720" max="720" width="12.7109375" style="565" bestFit="1" customWidth="1"/>
    <col min="721" max="722" width="12.28515625" style="565" bestFit="1" customWidth="1"/>
    <col min="723" max="723" width="9.85546875" style="565" bestFit="1" customWidth="1"/>
    <col min="724" max="725" width="10.85546875" style="565" bestFit="1" customWidth="1"/>
    <col min="726" max="726" width="9.85546875" style="565" bestFit="1" customWidth="1"/>
    <col min="727" max="728" width="10.85546875" style="565" bestFit="1" customWidth="1"/>
    <col min="729" max="734" width="11.85546875" style="565" bestFit="1" customWidth="1"/>
    <col min="735" max="738" width="8.85546875" style="565" bestFit="1" customWidth="1"/>
    <col min="739" max="739" width="11.140625" style="565" bestFit="1" customWidth="1"/>
    <col min="740" max="741" width="10.28515625" style="565" bestFit="1" customWidth="1"/>
    <col min="742" max="743" width="11.28515625" style="565" bestFit="1" customWidth="1"/>
    <col min="744" max="744" width="10.28515625" style="565" bestFit="1" customWidth="1"/>
    <col min="745" max="746" width="11.28515625" style="565" bestFit="1" customWidth="1"/>
    <col min="747" max="748" width="10.28515625" style="565" bestFit="1" customWidth="1"/>
    <col min="749" max="749" width="12.7109375" style="565" bestFit="1" customWidth="1"/>
    <col min="750" max="751" width="12.28515625" style="565" bestFit="1" customWidth="1"/>
    <col min="752" max="752" width="9.85546875" style="565" bestFit="1" customWidth="1"/>
    <col min="753" max="754" width="10.85546875" style="565" bestFit="1" customWidth="1"/>
    <col min="755" max="755" width="9.85546875" style="565" bestFit="1" customWidth="1"/>
    <col min="756" max="757" width="10.85546875" style="565" bestFit="1" customWidth="1"/>
    <col min="758" max="762" width="11.85546875" style="565" bestFit="1" customWidth="1"/>
    <col min="763" max="763" width="11" style="565" bestFit="1" customWidth="1"/>
    <col min="764" max="767" width="8.85546875" style="565" bestFit="1" customWidth="1"/>
    <col min="768" max="768" width="11.140625" style="565" bestFit="1" customWidth="1"/>
    <col min="769" max="770" width="10.28515625" style="565" bestFit="1" customWidth="1"/>
    <col min="771" max="772" width="11.28515625" style="565" bestFit="1" customWidth="1"/>
    <col min="773" max="773" width="10.28515625" style="565" bestFit="1" customWidth="1"/>
    <col min="774" max="775" width="11.28515625" style="565" bestFit="1" customWidth="1"/>
    <col min="776" max="777" width="10.28515625" style="565" bestFit="1" customWidth="1"/>
    <col min="778" max="778" width="12.7109375" style="565" bestFit="1" customWidth="1"/>
    <col min="779" max="780" width="12.28515625" style="565" bestFit="1" customWidth="1"/>
    <col min="781" max="781" width="9.85546875" style="565" bestFit="1" customWidth="1"/>
    <col min="782" max="783" width="10.85546875" style="565" bestFit="1" customWidth="1"/>
    <col min="784" max="784" width="9.85546875" style="565" bestFit="1" customWidth="1"/>
    <col min="785" max="786" width="10.85546875" style="565" bestFit="1" customWidth="1"/>
    <col min="787" max="791" width="11.85546875" style="565" bestFit="1" customWidth="1"/>
    <col min="792" max="792" width="13.85546875" style="565" bestFit="1" customWidth="1"/>
    <col min="793" max="796" width="8.85546875" style="565" bestFit="1" customWidth="1"/>
    <col min="797" max="797" width="11.140625" style="565" bestFit="1" customWidth="1"/>
    <col min="798" max="799" width="10.28515625" style="565" bestFit="1" customWidth="1"/>
    <col min="800" max="801" width="11.28515625" style="565" bestFit="1" customWidth="1"/>
    <col min="802" max="802" width="10.28515625" style="565" bestFit="1" customWidth="1"/>
    <col min="803" max="804" width="11.28515625" style="565" bestFit="1" customWidth="1"/>
    <col min="805" max="806" width="10.28515625" style="565" bestFit="1" customWidth="1"/>
    <col min="807" max="807" width="12.7109375" style="565" bestFit="1" customWidth="1"/>
    <col min="808" max="809" width="12.28515625" style="565" bestFit="1" customWidth="1"/>
    <col min="810" max="810" width="9.85546875" style="565" bestFit="1" customWidth="1"/>
    <col min="811" max="812" width="10.85546875" style="565" bestFit="1" customWidth="1"/>
    <col min="813" max="813" width="9.85546875" style="565" bestFit="1" customWidth="1"/>
    <col min="814" max="815" width="10.85546875" style="565" bestFit="1" customWidth="1"/>
    <col min="816" max="820" width="11.85546875" style="565" bestFit="1" customWidth="1"/>
    <col min="821" max="821" width="11.28515625" style="565" bestFit="1" customWidth="1"/>
    <col min="822" max="16384" width="9.140625" style="565"/>
  </cols>
  <sheetData>
    <row r="1" spans="1:29" x14ac:dyDescent="0.25">
      <c r="A1" s="739" t="s">
        <v>683</v>
      </c>
      <c r="B1" s="739"/>
      <c r="C1" s="739"/>
      <c r="D1" s="739"/>
      <c r="E1" s="739"/>
      <c r="F1" s="739"/>
      <c r="G1" s="739"/>
      <c r="H1" s="739"/>
      <c r="I1" s="739"/>
      <c r="J1" s="562"/>
      <c r="K1" s="562"/>
      <c r="L1" s="562"/>
      <c r="M1" s="562"/>
      <c r="N1" s="563"/>
      <c r="O1" s="563"/>
      <c r="P1" s="563"/>
      <c r="Q1" s="563"/>
      <c r="R1" s="563"/>
      <c r="S1" s="563"/>
      <c r="T1" s="563"/>
      <c r="U1" s="563"/>
      <c r="V1" s="563"/>
      <c r="W1" s="563"/>
      <c r="X1" s="564"/>
      <c r="Y1" s="563"/>
      <c r="Z1" s="563"/>
      <c r="AA1" s="563"/>
      <c r="AB1" s="563"/>
      <c r="AC1" s="563"/>
    </row>
    <row r="2" spans="1:29" x14ac:dyDescent="0.25">
      <c r="A2" s="739"/>
      <c r="B2" s="739"/>
      <c r="C2" s="739"/>
      <c r="D2" s="739"/>
      <c r="E2" s="739"/>
      <c r="F2" s="739"/>
      <c r="G2" s="739"/>
      <c r="H2" s="739"/>
      <c r="I2" s="739"/>
      <c r="J2" s="562"/>
      <c r="K2" s="562"/>
      <c r="L2" s="562"/>
      <c r="M2" s="562"/>
      <c r="N2" s="563"/>
      <c r="O2" s="563"/>
      <c r="P2" s="563"/>
      <c r="Q2" s="563"/>
      <c r="R2" s="563"/>
      <c r="S2" s="563"/>
      <c r="T2" s="563"/>
      <c r="U2" s="563"/>
      <c r="V2" s="563"/>
      <c r="W2" s="563"/>
      <c r="X2" s="564"/>
      <c r="Y2" s="563"/>
      <c r="Z2" s="563"/>
      <c r="AA2" s="563"/>
      <c r="AB2" s="563"/>
      <c r="AC2" s="563"/>
    </row>
    <row r="3" spans="1:29" s="566" customFormat="1" ht="15.75" x14ac:dyDescent="0.25">
      <c r="A3" s="566" t="s">
        <v>684</v>
      </c>
      <c r="B3" s="566" t="s">
        <v>2</v>
      </c>
      <c r="C3" s="566" t="s">
        <v>3</v>
      </c>
      <c r="D3" s="567" t="s">
        <v>120</v>
      </c>
      <c r="E3" s="567" t="s">
        <v>121</v>
      </c>
      <c r="F3" s="567" t="s">
        <v>122</v>
      </c>
      <c r="G3" s="566" t="s">
        <v>42</v>
      </c>
      <c r="H3" s="566" t="s">
        <v>685</v>
      </c>
      <c r="I3" s="566" t="s">
        <v>123</v>
      </c>
      <c r="J3" s="566" t="s">
        <v>686</v>
      </c>
      <c r="K3" s="566" t="s">
        <v>687</v>
      </c>
      <c r="L3" s="566" t="s">
        <v>688</v>
      </c>
      <c r="M3" s="566" t="s">
        <v>689</v>
      </c>
      <c r="N3" s="566" t="s">
        <v>690</v>
      </c>
      <c r="O3" s="566" t="s">
        <v>691</v>
      </c>
      <c r="P3" s="566" t="s">
        <v>692</v>
      </c>
      <c r="Q3" s="566" t="s">
        <v>693</v>
      </c>
      <c r="R3" s="566" t="s">
        <v>694</v>
      </c>
      <c r="S3" s="566" t="s">
        <v>695</v>
      </c>
      <c r="T3" s="566" t="s">
        <v>696</v>
      </c>
      <c r="U3" s="566" t="s">
        <v>697</v>
      </c>
      <c r="V3" s="566" t="s">
        <v>698</v>
      </c>
      <c r="W3" s="566" t="s">
        <v>699</v>
      </c>
      <c r="X3" s="566" t="s">
        <v>700</v>
      </c>
      <c r="Y3" s="566" t="s">
        <v>701</v>
      </c>
      <c r="Z3" s="566" t="s">
        <v>702</v>
      </c>
      <c r="AA3" s="632" t="s">
        <v>703</v>
      </c>
      <c r="AB3" s="633" t="s">
        <v>704</v>
      </c>
      <c r="AC3" s="633" t="s">
        <v>705</v>
      </c>
    </row>
    <row r="4" spans="1:29" ht="15.75" x14ac:dyDescent="0.25">
      <c r="A4" s="568" t="s">
        <v>20</v>
      </c>
      <c r="B4" s="568" t="s">
        <v>21</v>
      </c>
      <c r="C4" s="568" t="s">
        <v>127</v>
      </c>
      <c r="D4" s="569" t="str">
        <f>VLOOKUP(ROTATIONTBL[[#This Row],[FIELD]],FIELDACRE,3,FALSE)</f>
        <v>NE4 2-6-47</v>
      </c>
      <c r="E4" s="569">
        <f>VLOOKUP(ROTATIONTBL[[#This Row],[FIELD]],FIELDACRE,4,FALSE)</f>
        <v>3438</v>
      </c>
      <c r="F4" s="569">
        <f>VLOOKUP(ROTATIONTBL[[#This Row],[FIELD]],FIELDACRE,5,FALSE)</f>
        <v>1768</v>
      </c>
      <c r="G4" s="570">
        <f t="shared" ref="G4" si="0">IFERROR(VLOOKUP(C4,ROTATIONRG,2,FALSE)," ")</f>
        <v>158.5</v>
      </c>
      <c r="H4" s="569" t="str">
        <f>IFERROR(VLOOKUP(ROTATIONTBL[[#This Row],[FIELD]],ROTATIONRG,6,FALSE)," ")</f>
        <v xml:space="preserve">HARD </v>
      </c>
      <c r="I4" s="569" t="str">
        <f>IFERROR(VLOOKUP(ROTATIONTBL[[#This Row],[FIELD]],FFTBL[[Field]:[COUNTY2]],7,FALSE)," ")</f>
        <v>PHILLIPS</v>
      </c>
      <c r="J4" s="569" t="s">
        <v>285</v>
      </c>
      <c r="K4" s="569" t="s">
        <v>295</v>
      </c>
      <c r="L4" s="569" t="s">
        <v>285</v>
      </c>
      <c r="M4" s="569" t="s">
        <v>295</v>
      </c>
      <c r="N4" s="569" t="s">
        <v>285</v>
      </c>
      <c r="O4" s="569" t="s">
        <v>295</v>
      </c>
      <c r="P4" s="569" t="s">
        <v>117</v>
      </c>
      <c r="Q4" s="569" t="s">
        <v>117</v>
      </c>
      <c r="R4" s="569"/>
      <c r="S4" s="569" t="s">
        <v>117</v>
      </c>
      <c r="T4" s="569" t="s">
        <v>117</v>
      </c>
      <c r="U4" s="569" t="s">
        <v>117</v>
      </c>
      <c r="V4" s="569" t="s">
        <v>117</v>
      </c>
      <c r="W4" s="572">
        <v>44090</v>
      </c>
      <c r="X4" s="569"/>
      <c r="Y4" s="569"/>
      <c r="Z4" s="569"/>
      <c r="AA4" s="629" t="s">
        <v>706</v>
      </c>
      <c r="AB4" s="630" t="s">
        <v>707</v>
      </c>
      <c r="AC4" s="630"/>
    </row>
    <row r="5" spans="1:29" ht="15.75" x14ac:dyDescent="0.25">
      <c r="A5" s="568" t="s">
        <v>20</v>
      </c>
      <c r="B5" s="568" t="s">
        <v>21</v>
      </c>
      <c r="C5" s="637" t="s">
        <v>22</v>
      </c>
      <c r="D5" s="569" t="str">
        <f>VLOOKUP(ROTATIONTBL[[#This Row],[FIELD]],FIELDACRE,3,FALSE)</f>
        <v>NE4 2-6-47</v>
      </c>
      <c r="E5" s="569">
        <f>VLOOKUP(ROTATIONTBL[[#This Row],[FIELD]],FIELDACRE,4,FALSE)</f>
        <v>3438</v>
      </c>
      <c r="F5" s="569">
        <f>VLOOKUP(ROTATIONTBL[[#This Row],[FIELD]],FIELDACRE,5,FALSE)</f>
        <v>1768</v>
      </c>
      <c r="G5" s="570">
        <f t="shared" ref="G5:G18" si="1">IFERROR(VLOOKUP(C5,ROTATIONRG,2,FALSE)," ")</f>
        <v>79.2</v>
      </c>
      <c r="H5" s="569" t="str">
        <f>IFERROR(VLOOKUP(ROTATIONTBL[[#This Row],[FIELD]],ROTATIONRG,6,FALSE)," ")</f>
        <v xml:space="preserve">HARD </v>
      </c>
      <c r="I5" s="569" t="str">
        <f>IFERROR(VLOOKUP(ROTATIONTBL[[#This Row],[FIELD]],FFTBL[[Field]:[COUNTY2]],7,FALSE)," ")</f>
        <v>PHILLIPS</v>
      </c>
      <c r="J5" s="569"/>
      <c r="K5" s="569"/>
      <c r="L5" s="569" t="s">
        <v>295</v>
      </c>
      <c r="M5" s="569" t="s">
        <v>708</v>
      </c>
      <c r="N5" s="569" t="s">
        <v>295</v>
      </c>
      <c r="O5" s="569" t="s">
        <v>117</v>
      </c>
      <c r="P5" s="569" t="s">
        <v>295</v>
      </c>
      <c r="Q5" s="569" t="s">
        <v>283</v>
      </c>
      <c r="R5" s="569"/>
      <c r="S5" s="569" t="s">
        <v>291</v>
      </c>
      <c r="T5" s="569" t="s">
        <v>285</v>
      </c>
      <c r="U5" s="569" t="s">
        <v>295</v>
      </c>
      <c r="V5" s="569" t="s">
        <v>283</v>
      </c>
      <c r="W5" s="572">
        <v>44354</v>
      </c>
      <c r="X5" s="572">
        <v>44470</v>
      </c>
      <c r="Y5" s="569"/>
      <c r="Z5" s="569"/>
      <c r="AA5" s="571"/>
      <c r="AB5" s="569"/>
      <c r="AC5" s="569"/>
    </row>
    <row r="6" spans="1:29" ht="15.75" x14ac:dyDescent="0.25">
      <c r="A6" s="568" t="s">
        <v>20</v>
      </c>
      <c r="B6" s="568" t="s">
        <v>21</v>
      </c>
      <c r="C6" s="637" t="s">
        <v>23</v>
      </c>
      <c r="D6" s="569" t="str">
        <f>VLOOKUP(ROTATIONTBL[[#This Row],[FIELD]],FIELDACRE,3,FALSE)</f>
        <v>SW4 14-7-48</v>
      </c>
      <c r="E6" s="569">
        <f>VLOOKUP(ROTATIONTBL[[#This Row],[FIELD]],FIELDACRE,4,FALSE)</f>
        <v>3438</v>
      </c>
      <c r="F6" s="569">
        <f>VLOOKUP(ROTATIONTBL[[#This Row],[FIELD]],FIELDACRE,5,FALSE)</f>
        <v>1750</v>
      </c>
      <c r="G6" s="570">
        <f t="shared" si="1"/>
        <v>78.599999999999994</v>
      </c>
      <c r="H6" s="569" t="str">
        <f>IFERROR(VLOOKUP(ROTATIONTBL[[#This Row],[FIELD]],ROTATIONRG,6,FALSE)," ")</f>
        <v xml:space="preserve">HARD </v>
      </c>
      <c r="I6" s="569" t="str">
        <f>IFERROR(VLOOKUP(ROTATIONTBL[[#This Row],[FIELD]],FFTBL[[Field]:[COUNTY2]],7,FALSE)," ")</f>
        <v>LOGAN</v>
      </c>
      <c r="J6" s="569"/>
      <c r="K6" s="569"/>
      <c r="L6" s="569" t="s">
        <v>708</v>
      </c>
      <c r="M6" s="569" t="s">
        <v>283</v>
      </c>
      <c r="N6" s="569" t="s">
        <v>283</v>
      </c>
      <c r="O6" s="569" t="s">
        <v>117</v>
      </c>
      <c r="P6" s="569" t="s">
        <v>295</v>
      </c>
      <c r="Q6" s="569" t="s">
        <v>283</v>
      </c>
      <c r="R6" s="569"/>
      <c r="S6" s="569" t="s">
        <v>291</v>
      </c>
      <c r="T6" s="569" t="s">
        <v>285</v>
      </c>
      <c r="U6" s="569" t="s">
        <v>295</v>
      </c>
      <c r="V6" s="569" t="s">
        <v>283</v>
      </c>
      <c r="W6" s="572"/>
      <c r="X6" s="572"/>
      <c r="Y6" s="569"/>
      <c r="Z6" s="569"/>
      <c r="AA6" s="571" t="s">
        <v>709</v>
      </c>
      <c r="AB6" s="572">
        <v>45205</v>
      </c>
      <c r="AC6" s="569"/>
    </row>
    <row r="7" spans="1:29" ht="15.75" x14ac:dyDescent="0.25">
      <c r="A7" s="568" t="s">
        <v>20</v>
      </c>
      <c r="B7" s="568" t="s">
        <v>21</v>
      </c>
      <c r="C7" s="568" t="s">
        <v>134</v>
      </c>
      <c r="D7" s="569" t="str">
        <f>VLOOKUP(ROTATIONTBL[[#This Row],[FIELD]],FIELDACRE,3,FALSE)</f>
        <v>W/4 8-9-46</v>
      </c>
      <c r="E7" s="569">
        <f>VLOOKUP(ROTATIONTBL[[#This Row],[FIELD]],FIELDACRE,4,FALSE)</f>
        <v>3939</v>
      </c>
      <c r="F7" s="569">
        <f>VLOOKUP(ROTATIONTBL[[#This Row],[FIELD]],FIELDACRE,5,FALSE)</f>
        <v>3938</v>
      </c>
      <c r="G7" s="570">
        <f t="shared" si="1"/>
        <v>5.44</v>
      </c>
      <c r="H7" s="569" t="str">
        <f>IFERROR(VLOOKUP(ROTATIONTBL[[#This Row],[FIELD]],ROTATIONRG,6,FALSE)," ")</f>
        <v>BUILDING SITE</v>
      </c>
      <c r="I7" s="569" t="str">
        <f>IFERROR(VLOOKUP(ROTATIONTBL[[#This Row],[FIELD]],FFTBL[[Field]:[COUNTY2]],7,FALSE)," ")</f>
        <v>SEDGWICK</v>
      </c>
      <c r="J7" s="569"/>
      <c r="K7" s="569"/>
      <c r="L7" s="569"/>
      <c r="M7" s="569"/>
      <c r="N7" s="569"/>
      <c r="O7" s="569" t="s">
        <v>108</v>
      </c>
      <c r="P7" s="569" t="s">
        <v>102</v>
      </c>
      <c r="Q7" s="569" t="s">
        <v>102</v>
      </c>
      <c r="R7" s="569"/>
      <c r="S7" s="569" t="s">
        <v>102</v>
      </c>
      <c r="T7" s="569" t="s">
        <v>102</v>
      </c>
      <c r="U7" s="569" t="s">
        <v>102</v>
      </c>
      <c r="V7" s="569" t="s">
        <v>102</v>
      </c>
      <c r="W7" s="572"/>
      <c r="X7" s="572"/>
      <c r="Y7" s="569"/>
      <c r="Z7" s="569"/>
      <c r="AA7" s="571"/>
      <c r="AB7" s="569"/>
      <c r="AC7" s="569"/>
    </row>
    <row r="8" spans="1:29" ht="15.75" x14ac:dyDescent="0.25">
      <c r="A8" s="568" t="s">
        <v>20</v>
      </c>
      <c r="B8" s="568" t="s">
        <v>21</v>
      </c>
      <c r="C8" s="568" t="s">
        <v>139</v>
      </c>
      <c r="D8" s="569" t="str">
        <f>VLOOKUP(ROTATIONTBL[[#This Row],[FIELD]],FIELDACRE,3,FALSE)</f>
        <v>NE4 1-8-48</v>
      </c>
      <c r="E8" s="569">
        <f>VLOOKUP(ROTATIONTBL[[#This Row],[FIELD]],FIELDACRE,4,FALSE)</f>
        <v>4211</v>
      </c>
      <c r="F8" s="569">
        <f>VLOOKUP(ROTATIONTBL[[#This Row],[FIELD]],FIELDACRE,5,FALSE)</f>
        <v>4049</v>
      </c>
      <c r="G8" s="570">
        <f t="shared" si="1"/>
        <v>184.76</v>
      </c>
      <c r="H8" s="569" t="str">
        <f>IFERROR(VLOOKUP(ROTATIONTBL[[#This Row],[FIELD]],ROTATIONRG,6,FALSE)," ")</f>
        <v>PASTURE</v>
      </c>
      <c r="I8" s="569" t="str">
        <f>IFERROR(VLOOKUP(ROTATIONTBL[[#This Row],[FIELD]],FFTBL[[Field]:[COUNTY2]],7,FALSE)," ")</f>
        <v>LOGAN</v>
      </c>
      <c r="J8" s="569"/>
      <c r="K8" s="569"/>
      <c r="L8" s="569"/>
      <c r="M8" s="569"/>
      <c r="N8" s="569"/>
      <c r="O8" s="569" t="s">
        <v>108</v>
      </c>
      <c r="P8" s="569" t="s">
        <v>108</v>
      </c>
      <c r="Q8" s="569" t="s">
        <v>108</v>
      </c>
      <c r="R8" s="569"/>
      <c r="S8" s="569" t="s">
        <v>108</v>
      </c>
      <c r="T8" s="569" t="s">
        <v>108</v>
      </c>
      <c r="U8" s="569" t="s">
        <v>108</v>
      </c>
      <c r="V8" s="569" t="s">
        <v>108</v>
      </c>
      <c r="W8" s="572"/>
      <c r="X8" s="572"/>
      <c r="Y8" s="569"/>
      <c r="Z8" s="569"/>
      <c r="AA8" s="571"/>
      <c r="AB8" s="569"/>
      <c r="AC8" s="569"/>
    </row>
    <row r="9" spans="1:29" ht="15.75" x14ac:dyDescent="0.25">
      <c r="A9" s="568" t="s">
        <v>20</v>
      </c>
      <c r="B9" s="568" t="s">
        <v>21</v>
      </c>
      <c r="C9" s="568" t="s">
        <v>142</v>
      </c>
      <c r="D9" s="569" t="str">
        <f>VLOOKUP(ROTATIONTBL[[#This Row],[FIELD]],FIELDACRE,3,FALSE)</f>
        <v>E/2 7-9-46</v>
      </c>
      <c r="E9" s="569">
        <f>VLOOKUP(ROTATIONTBL[[#This Row],[FIELD]],FIELDACRE,4,FALSE)</f>
        <v>3939</v>
      </c>
      <c r="F9" s="569">
        <f>VLOOKUP(ROTATIONTBL[[#This Row],[FIELD]],FIELDACRE,5,FALSE)</f>
        <v>3938</v>
      </c>
      <c r="G9" s="570">
        <f t="shared" si="1"/>
        <v>134.9</v>
      </c>
      <c r="H9" s="569" t="str">
        <f>IFERROR(VLOOKUP(ROTATIONTBL[[#This Row],[FIELD]],ROTATIONRG,6,FALSE)," ")</f>
        <v>PASTURE</v>
      </c>
      <c r="I9" s="569" t="str">
        <f>IFERROR(VLOOKUP(ROTATIONTBL[[#This Row],[FIELD]],FFTBL[[Field]:[COUNTY2]],7,FALSE)," ")</f>
        <v>SEDGWICK</v>
      </c>
      <c r="J9" s="569"/>
      <c r="K9" s="569"/>
      <c r="L9" s="569"/>
      <c r="M9" s="569"/>
      <c r="N9" s="569"/>
      <c r="O9" s="569" t="s">
        <v>108</v>
      </c>
      <c r="P9" s="569" t="s">
        <v>108</v>
      </c>
      <c r="Q9" s="569" t="s">
        <v>108</v>
      </c>
      <c r="R9" s="569"/>
      <c r="S9" s="569" t="s">
        <v>108</v>
      </c>
      <c r="T9" s="569" t="s">
        <v>108</v>
      </c>
      <c r="U9" s="569" t="s">
        <v>108</v>
      </c>
      <c r="V9" s="569" t="s">
        <v>108</v>
      </c>
      <c r="W9" s="572"/>
      <c r="X9" s="572"/>
      <c r="Y9" s="569"/>
      <c r="Z9" s="569"/>
      <c r="AA9" s="571"/>
      <c r="AB9" s="569"/>
      <c r="AC9" s="569"/>
    </row>
    <row r="10" spans="1:29" ht="15.75" x14ac:dyDescent="0.25">
      <c r="A10" s="568" t="s">
        <v>20</v>
      </c>
      <c r="B10" s="568" t="s">
        <v>21</v>
      </c>
      <c r="C10" s="568" t="s">
        <v>145</v>
      </c>
      <c r="D10" s="569" t="str">
        <f>VLOOKUP(ROTATIONTBL[[#This Row],[FIELD]],FIELDACRE,3,FALSE)</f>
        <v>W/4 8-9-46</v>
      </c>
      <c r="E10" s="569">
        <f>VLOOKUP(ROTATIONTBL[[#This Row],[FIELD]],FIELDACRE,4,FALSE)</f>
        <v>3939</v>
      </c>
      <c r="F10" s="569">
        <f>VLOOKUP(ROTATIONTBL[[#This Row],[FIELD]],FIELDACRE,5,FALSE)</f>
        <v>3938</v>
      </c>
      <c r="G10" s="570">
        <f t="shared" si="1"/>
        <v>160.1</v>
      </c>
      <c r="H10" s="569" t="str">
        <f>IFERROR(VLOOKUP(ROTATIONTBL[[#This Row],[FIELD]],ROTATIONRG,6,FALSE)," ")</f>
        <v>PASTURE</v>
      </c>
      <c r="I10" s="569" t="str">
        <f>IFERROR(VLOOKUP(ROTATIONTBL[[#This Row],[FIELD]],FFTBL[[Field]:[COUNTY2]],7,FALSE)," ")</f>
        <v>SEDGWICK</v>
      </c>
      <c r="J10" s="569"/>
      <c r="K10" s="569"/>
      <c r="L10" s="569"/>
      <c r="M10" s="569"/>
      <c r="N10" s="569"/>
      <c r="O10" s="569" t="s">
        <v>108</v>
      </c>
      <c r="P10" s="569" t="s">
        <v>108</v>
      </c>
      <c r="Q10" s="569" t="s">
        <v>108</v>
      </c>
      <c r="R10" s="569"/>
      <c r="S10" s="569" t="s">
        <v>108</v>
      </c>
      <c r="T10" s="569" t="s">
        <v>108</v>
      </c>
      <c r="U10" s="569" t="s">
        <v>108</v>
      </c>
      <c r="V10" s="569" t="s">
        <v>108</v>
      </c>
      <c r="W10" s="572"/>
      <c r="X10" s="572"/>
      <c r="Y10" s="569"/>
      <c r="Z10" s="569"/>
      <c r="AA10" s="571"/>
      <c r="AB10" s="569"/>
      <c r="AC10" s="569"/>
    </row>
    <row r="11" spans="1:29" ht="15.75" x14ac:dyDescent="0.25">
      <c r="A11" s="568" t="s">
        <v>20</v>
      </c>
      <c r="B11" s="568" t="s">
        <v>21</v>
      </c>
      <c r="C11" s="568" t="s">
        <v>146</v>
      </c>
      <c r="D11" s="569" t="str">
        <f>VLOOKUP(ROTATIONTBL[[#This Row],[FIELD]],FIELDACRE,3,FALSE)</f>
        <v>SW4 14-7-48</v>
      </c>
      <c r="E11" s="569">
        <f>VLOOKUP(ROTATIONTBL[[#This Row],[FIELD]],FIELDACRE,4,FALSE)</f>
        <v>3438</v>
      </c>
      <c r="F11" s="569">
        <f>VLOOKUP(ROTATIONTBL[[#This Row],[FIELD]],FIELDACRE,5,FALSE)</f>
        <v>1750</v>
      </c>
      <c r="G11" s="570">
        <f t="shared" si="1"/>
        <v>157.1</v>
      </c>
      <c r="H11" s="569" t="str">
        <f>IFERROR(VLOOKUP(ROTATIONTBL[[#This Row],[FIELD]],ROTATIONRG,6,FALSE)," ")</f>
        <v xml:space="preserve">HARD </v>
      </c>
      <c r="I11" s="569" t="str">
        <f>IFERROR(VLOOKUP(ROTATIONTBL[[#This Row],[FIELD]],FFTBL[[Field]:[COUNTY2]],7,FALSE)," ")</f>
        <v>LOGAN</v>
      </c>
      <c r="J11" s="569" t="s">
        <v>113</v>
      </c>
      <c r="K11" s="569" t="s">
        <v>113</v>
      </c>
      <c r="L11" s="569" t="s">
        <v>113</v>
      </c>
      <c r="M11" s="569" t="s">
        <v>113</v>
      </c>
      <c r="N11" s="569" t="s">
        <v>113</v>
      </c>
      <c r="O11" s="569" t="s">
        <v>295</v>
      </c>
      <c r="P11" s="569" t="s">
        <v>117</v>
      </c>
      <c r="Q11" s="569" t="s">
        <v>117</v>
      </c>
      <c r="R11" s="569"/>
      <c r="S11" s="569" t="s">
        <v>117</v>
      </c>
      <c r="T11" s="569" t="s">
        <v>117</v>
      </c>
      <c r="U11" s="569" t="s">
        <v>117</v>
      </c>
      <c r="V11" s="569" t="s">
        <v>117</v>
      </c>
      <c r="W11" s="572"/>
      <c r="X11" s="572"/>
      <c r="Y11" s="569"/>
      <c r="Z11" s="569"/>
      <c r="AA11" s="571"/>
      <c r="AB11" s="569"/>
      <c r="AC11" s="569"/>
    </row>
    <row r="12" spans="1:29" ht="15.75" x14ac:dyDescent="0.25">
      <c r="A12" s="645" t="s">
        <v>20</v>
      </c>
      <c r="B12" s="645" t="s">
        <v>21</v>
      </c>
      <c r="C12" s="654" t="s">
        <v>157</v>
      </c>
      <c r="D12" s="569" t="str">
        <f>VLOOKUP(ROTATIONTBL[[#This Row],[FIELD]],FIELDACRE,3,FALSE)</f>
        <v>SW4 31-7-47</v>
      </c>
      <c r="E12" s="569">
        <f>VLOOKUP(ROTATIONTBL[[#This Row],[FIELD]],FIELDACRE,4,FALSE)</f>
        <v>4211</v>
      </c>
      <c r="F12" s="569">
        <f>VLOOKUP(ROTATIONTBL[[#This Row],[FIELD]],FIELDACRE,5,FALSE)</f>
        <v>1749</v>
      </c>
      <c r="G12" s="646">
        <f t="shared" si="1"/>
        <v>76.5</v>
      </c>
      <c r="H12" s="569" t="str">
        <f>IFERROR(VLOOKUP(ROTATIONTBL[[#This Row],[FIELD]],ROTATIONRG,6,FALSE)," ")</f>
        <v xml:space="preserve">HARD </v>
      </c>
      <c r="I12" s="569" t="str">
        <f>IFERROR(VLOOKUP(ROTATIONTBL[[#This Row],[FIELD]],FFTBL[[Field]:[COUNTY2]],7,FALSE)," ")</f>
        <v>PHILLIPS</v>
      </c>
      <c r="J12" s="569"/>
      <c r="K12" s="569"/>
      <c r="L12" s="569"/>
      <c r="M12" s="569"/>
      <c r="N12" s="569"/>
      <c r="O12" s="569" t="s">
        <v>117</v>
      </c>
      <c r="P12" s="569" t="s">
        <v>117</v>
      </c>
      <c r="Q12" s="569" t="s">
        <v>283</v>
      </c>
      <c r="R12" s="569"/>
      <c r="S12" s="569" t="s">
        <v>291</v>
      </c>
      <c r="T12" s="569" t="s">
        <v>285</v>
      </c>
      <c r="U12" s="569" t="s">
        <v>295</v>
      </c>
      <c r="V12" s="569" t="s">
        <v>283</v>
      </c>
      <c r="W12" s="572"/>
      <c r="X12" s="572"/>
      <c r="Y12" s="569"/>
      <c r="Z12" s="569"/>
      <c r="AA12" s="571"/>
      <c r="AB12" s="569"/>
      <c r="AC12" s="569"/>
    </row>
    <row r="13" spans="1:29" ht="15.75" x14ac:dyDescent="0.25">
      <c r="A13" s="651" t="s">
        <v>20</v>
      </c>
      <c r="B13" s="651" t="s">
        <v>21</v>
      </c>
      <c r="C13" s="652" t="s">
        <v>158</v>
      </c>
      <c r="D13" s="644" t="str">
        <f>VLOOKUP(ROTATIONTBL[[#This Row],[FIELD]],FIELDACRE,3,FALSE)</f>
        <v>SW4 31-7-47</v>
      </c>
      <c r="E13" s="569">
        <f>VLOOKUP(ROTATIONTBL[[#This Row],[FIELD]],FIELDACRE,4,FALSE)</f>
        <v>4211</v>
      </c>
      <c r="F13" s="643">
        <f>VLOOKUP(ROTATIONTBL[[#This Row],[FIELD]],FIELDACRE,5,FALSE)</f>
        <v>1749</v>
      </c>
      <c r="G13" s="570">
        <f t="shared" si="1"/>
        <v>76.5</v>
      </c>
      <c r="H13" s="644" t="str">
        <f>IFERROR(VLOOKUP(ROTATIONTBL[[#This Row],[FIELD]],ROTATIONRG,6,FALSE)," ")</f>
        <v xml:space="preserve">HARD </v>
      </c>
      <c r="I13" s="569" t="str">
        <f>IFERROR(VLOOKUP(ROTATIONTBL[[#This Row],[FIELD]],FFTBL[[Field]:[COUNTY2]],7,FALSE)," ")</f>
        <v>PHILLIPS</v>
      </c>
      <c r="J13" s="569"/>
      <c r="K13" s="569"/>
      <c r="L13" s="569"/>
      <c r="M13" s="569"/>
      <c r="N13" s="569"/>
      <c r="O13" s="569" t="s">
        <v>117</v>
      </c>
      <c r="P13" s="569" t="s">
        <v>117</v>
      </c>
      <c r="Q13" s="569" t="s">
        <v>283</v>
      </c>
      <c r="R13" s="569"/>
      <c r="S13" s="569" t="s">
        <v>285</v>
      </c>
      <c r="T13" s="569" t="s">
        <v>295</v>
      </c>
      <c r="U13" s="569" t="s">
        <v>283</v>
      </c>
      <c r="V13" s="569" t="s">
        <v>291</v>
      </c>
      <c r="W13" s="572"/>
      <c r="X13" s="572"/>
      <c r="Y13" s="569"/>
      <c r="Z13" s="569"/>
      <c r="AA13" s="571"/>
      <c r="AB13" s="569"/>
      <c r="AC13" s="569"/>
    </row>
    <row r="14" spans="1:29" ht="15.75" x14ac:dyDescent="0.25">
      <c r="A14" s="647" t="s">
        <v>20</v>
      </c>
      <c r="B14" s="647" t="s">
        <v>21</v>
      </c>
      <c r="C14" s="157" t="s">
        <v>150</v>
      </c>
      <c r="D14" s="569" t="str">
        <f>VLOOKUP(ROTATIONTBL[[#This Row],[FIELD]],FIELDACRE,3,FALSE)</f>
        <v>SE4 14-7-48</v>
      </c>
      <c r="E14" s="569">
        <f>VLOOKUP(ROTATIONTBL[[#This Row],[FIELD]],FIELDACRE,4,FALSE)</f>
        <v>3438</v>
      </c>
      <c r="F14" s="569">
        <f>VLOOKUP(ROTATIONTBL[[#This Row],[FIELD]],FIELDACRE,5,FALSE)</f>
        <v>3460</v>
      </c>
      <c r="G14" s="648">
        <f t="shared" si="1"/>
        <v>149.76</v>
      </c>
      <c r="H14" s="569" t="str">
        <f>IFERROR(VLOOKUP(ROTATIONTBL[[#This Row],[FIELD]],ROTATIONRG,6,FALSE)," ")</f>
        <v xml:space="preserve">HARD </v>
      </c>
      <c r="I14" s="569" t="str">
        <f>IFERROR(VLOOKUP(ROTATIONTBL[[#This Row],[FIELD]],FFTBL[[Field]:[COUNTY2]],7,FALSE)," ")</f>
        <v>LOGAN</v>
      </c>
      <c r="J14" s="569"/>
      <c r="K14" s="569"/>
      <c r="L14" s="569"/>
      <c r="M14" s="569"/>
      <c r="N14" s="569"/>
      <c r="O14" s="569" t="s">
        <v>283</v>
      </c>
      <c r="P14" s="569" t="s">
        <v>117</v>
      </c>
      <c r="Q14" s="569" t="s">
        <v>117</v>
      </c>
      <c r="R14" s="569"/>
      <c r="S14" s="569" t="s">
        <v>117</v>
      </c>
      <c r="T14" s="569" t="s">
        <v>117</v>
      </c>
      <c r="U14" s="569" t="s">
        <v>117</v>
      </c>
      <c r="V14" s="569" t="s">
        <v>117</v>
      </c>
      <c r="W14" s="572"/>
      <c r="X14" s="572"/>
      <c r="Y14" s="569"/>
      <c r="Z14" s="569"/>
      <c r="AA14" s="571"/>
      <c r="AB14" s="569"/>
      <c r="AC14" s="569"/>
    </row>
    <row r="15" spans="1:29" ht="15.75" x14ac:dyDescent="0.25">
      <c r="A15" s="568" t="s">
        <v>20</v>
      </c>
      <c r="B15" s="568" t="s">
        <v>21</v>
      </c>
      <c r="C15" s="637" t="s">
        <v>163</v>
      </c>
      <c r="D15" s="569" t="str">
        <f>VLOOKUP(ROTATIONTBL[[#This Row],[FIELD]],FIELDACRE,3,FALSE)</f>
        <v>E2 7-9-46</v>
      </c>
      <c r="E15" s="569">
        <f>VLOOKUP(ROTATIONTBL[[#This Row],[FIELD]],FIELDACRE,4,FALSE)</f>
        <v>3939</v>
      </c>
      <c r="F15" s="569">
        <f>VLOOKUP(ROTATIONTBL[[#This Row],[FIELD]],FIELDACRE,5,FALSE)</f>
        <v>3938</v>
      </c>
      <c r="G15" s="570">
        <f t="shared" si="1"/>
        <v>80.09</v>
      </c>
      <c r="H15" s="569" t="str">
        <f>IFERROR(VLOOKUP(ROTATIONTBL[[#This Row],[FIELD]],ROTATIONRG,6,FALSE)," ")</f>
        <v>SAND</v>
      </c>
      <c r="I15" s="569" t="str">
        <f>IFERROR(VLOOKUP(ROTATIONTBL[[#This Row],[FIELD]],FFTBL[[Field]:[COUNTY2]],7,FALSE)," ")</f>
        <v>SEDGWICK</v>
      </c>
      <c r="J15" s="569"/>
      <c r="K15" s="569"/>
      <c r="L15" s="569"/>
      <c r="M15" s="569"/>
      <c r="N15" s="569"/>
      <c r="O15" s="569" t="s">
        <v>117</v>
      </c>
      <c r="P15" s="569" t="s">
        <v>283</v>
      </c>
      <c r="Q15" s="569" t="s">
        <v>291</v>
      </c>
      <c r="R15" s="569"/>
      <c r="S15" s="569" t="s">
        <v>291</v>
      </c>
      <c r="T15" s="569" t="s">
        <v>289</v>
      </c>
      <c r="U15" s="569" t="s">
        <v>295</v>
      </c>
      <c r="V15" s="569" t="s">
        <v>283</v>
      </c>
      <c r="W15" s="572"/>
      <c r="X15" s="572"/>
      <c r="Y15" s="569"/>
      <c r="Z15" s="569"/>
      <c r="AA15" s="571"/>
      <c r="AB15" s="569"/>
      <c r="AC15" s="569"/>
    </row>
    <row r="16" spans="1:29" ht="15.75" x14ac:dyDescent="0.25">
      <c r="A16" s="645" t="s">
        <v>20</v>
      </c>
      <c r="B16" s="645" t="s">
        <v>21</v>
      </c>
      <c r="C16" s="654" t="s">
        <v>166</v>
      </c>
      <c r="D16" s="569" t="str">
        <f>VLOOKUP(ROTATIONTBL[[#This Row],[FIELD]],FIELDACRE,3,FALSE)</f>
        <v>E2 13-9-47</v>
      </c>
      <c r="E16" s="569">
        <f>VLOOKUP(ROTATIONTBL[[#This Row],[FIELD]],FIELDACRE,4,FALSE)</f>
        <v>3939</v>
      </c>
      <c r="F16" s="569">
        <f>VLOOKUP(ROTATIONTBL[[#This Row],[FIELD]],FIELDACRE,5,FALSE)</f>
        <v>3939</v>
      </c>
      <c r="G16" s="646">
        <f t="shared" si="1"/>
        <v>79.849999999999994</v>
      </c>
      <c r="H16" s="569" t="str">
        <f>IFERROR(VLOOKUP(ROTATIONTBL[[#This Row],[FIELD]],ROTATIONRG,6,FALSE)," ")</f>
        <v>SAND</v>
      </c>
      <c r="I16" s="569" t="str">
        <f>IFERROR(VLOOKUP(ROTATIONTBL[[#This Row],[FIELD]],FFTBL[[Field]:[COUNTY2]],7,FALSE)," ")</f>
        <v>SEDGWICK</v>
      </c>
      <c r="J16" s="569"/>
      <c r="K16" s="569"/>
      <c r="L16" s="569"/>
      <c r="M16" s="569"/>
      <c r="N16" s="569"/>
      <c r="O16" s="569" t="s">
        <v>117</v>
      </c>
      <c r="P16" s="569" t="s">
        <v>117</v>
      </c>
      <c r="Q16" s="569" t="s">
        <v>283</v>
      </c>
      <c r="R16" s="569"/>
      <c r="S16" s="569" t="s">
        <v>291</v>
      </c>
      <c r="T16" s="569" t="s">
        <v>289</v>
      </c>
      <c r="U16" s="569" t="s">
        <v>295</v>
      </c>
      <c r="V16" s="569" t="s">
        <v>283</v>
      </c>
      <c r="W16" s="572"/>
      <c r="X16" s="572"/>
      <c r="Y16" s="569"/>
      <c r="Z16" s="569"/>
      <c r="AA16" s="571"/>
      <c r="AB16" s="569"/>
      <c r="AC16" s="569"/>
    </row>
    <row r="17" spans="1:29" ht="15.75" x14ac:dyDescent="0.25">
      <c r="A17" s="651" t="s">
        <v>20</v>
      </c>
      <c r="B17" s="651" t="s">
        <v>21</v>
      </c>
      <c r="C17" s="651" t="s">
        <v>24</v>
      </c>
      <c r="D17" s="644" t="str">
        <f>VLOOKUP(ROTATIONTBL[[#This Row],[FIELD]],FIELDACRE,3,FALSE)</f>
        <v>SW4 31-7-47</v>
      </c>
      <c r="E17" s="569">
        <f>VLOOKUP(ROTATIONTBL[[#This Row],[FIELD]],FIELDACRE,4,FALSE)</f>
        <v>4211</v>
      </c>
      <c r="F17" s="643">
        <f>VLOOKUP(ROTATIONTBL[[#This Row],[FIELD]],FIELDACRE,5,FALSE)</f>
        <v>1749</v>
      </c>
      <c r="G17" s="570">
        <f t="shared" si="1"/>
        <v>153</v>
      </c>
      <c r="H17" s="644" t="str">
        <f>IFERROR(VLOOKUP(ROTATIONTBL[[#This Row],[FIELD]],ROTATIONRG,6,FALSE)," ")</f>
        <v xml:space="preserve">HARD </v>
      </c>
      <c r="I17" s="569" t="str">
        <f>IFERROR(VLOOKUP(ROTATIONTBL[[#This Row],[FIELD]],FFTBL[[Field]:[COUNTY2]],7,FALSE)," ")</f>
        <v>PHILLIPS</v>
      </c>
      <c r="J17" s="569"/>
      <c r="K17" s="569"/>
      <c r="L17" s="569"/>
      <c r="M17" s="569"/>
      <c r="N17" s="569"/>
      <c r="O17" s="569" t="s">
        <v>285</v>
      </c>
      <c r="P17" s="569" t="s">
        <v>295</v>
      </c>
      <c r="Q17" s="569" t="s">
        <v>117</v>
      </c>
      <c r="R17" s="569"/>
      <c r="S17" s="569" t="s">
        <v>117</v>
      </c>
      <c r="T17" s="569" t="s">
        <v>117</v>
      </c>
      <c r="U17" s="569" t="s">
        <v>117</v>
      </c>
      <c r="V17" s="569" t="s">
        <v>117</v>
      </c>
      <c r="W17" s="572"/>
      <c r="X17" s="572"/>
      <c r="Y17" s="569"/>
      <c r="Z17" s="569"/>
      <c r="AA17" s="571" t="s">
        <v>710</v>
      </c>
      <c r="AB17" s="572">
        <v>45206</v>
      </c>
      <c r="AC17" s="569"/>
    </row>
    <row r="18" spans="1:29" ht="15.75" x14ac:dyDescent="0.25">
      <c r="A18" s="647" t="s">
        <v>20</v>
      </c>
      <c r="B18" s="647" t="s">
        <v>21</v>
      </c>
      <c r="C18" s="655" t="s">
        <v>167</v>
      </c>
      <c r="D18" s="569" t="str">
        <f>VLOOKUP(ROTATIONTBL[[#This Row],[FIELD]],FIELDACRE,3,FALSE)</f>
        <v>E2 13-9-47</v>
      </c>
      <c r="E18" s="569">
        <f>VLOOKUP(ROTATIONTBL[[#This Row],[FIELD]],FIELDACRE,4,FALSE)</f>
        <v>3939</v>
      </c>
      <c r="F18" s="569">
        <f>VLOOKUP(ROTATIONTBL[[#This Row],[FIELD]],FIELDACRE,5,FALSE)</f>
        <v>3939</v>
      </c>
      <c r="G18" s="570">
        <f t="shared" si="1"/>
        <v>79.849999999999994</v>
      </c>
      <c r="H18" s="569" t="str">
        <f>IFERROR(VLOOKUP(ROTATIONTBL[[#This Row],[FIELD]],ROTATIONRG,6,FALSE)," ")</f>
        <v>SAND</v>
      </c>
      <c r="I18" s="569" t="str">
        <f>IFERROR(VLOOKUP(ROTATIONTBL[[#This Row],[FIELD]],FFTBL[[Field]:[COUNTY2]],7,FALSE)," ")</f>
        <v>SEDGWICK</v>
      </c>
      <c r="J18" s="569"/>
      <c r="K18" s="569"/>
      <c r="L18" s="569"/>
      <c r="M18" s="569"/>
      <c r="N18" s="569"/>
      <c r="O18" s="569" t="s">
        <v>117</v>
      </c>
      <c r="P18" s="569" t="s">
        <v>117</v>
      </c>
      <c r="Q18" s="569" t="s">
        <v>283</v>
      </c>
      <c r="R18" s="569"/>
      <c r="S18" s="569" t="s">
        <v>289</v>
      </c>
      <c r="T18" s="569" t="s">
        <v>295</v>
      </c>
      <c r="U18" s="569" t="s">
        <v>283</v>
      </c>
      <c r="V18" s="569" t="s">
        <v>291</v>
      </c>
      <c r="W18" s="572"/>
      <c r="X18" s="572"/>
      <c r="Y18" s="569"/>
      <c r="Z18" s="569"/>
      <c r="AA18" s="571"/>
      <c r="AB18" s="569"/>
      <c r="AC18" s="569"/>
    </row>
    <row r="19" spans="1:29" ht="15.75" x14ac:dyDescent="0.25">
      <c r="A19" s="568" t="s">
        <v>20</v>
      </c>
      <c r="B19" s="568" t="s">
        <v>26</v>
      </c>
      <c r="C19" s="637" t="s">
        <v>188</v>
      </c>
      <c r="D19" s="569" t="str">
        <f>VLOOKUP(ROTATIONTBL[[#This Row],[FIELD]],FIELDACRE,3,FALSE)</f>
        <v>SW 17-6-47</v>
      </c>
      <c r="E19" s="569">
        <f>VLOOKUP(ROTATIONTBL[[#This Row],[FIELD]],FIELDACRE,4,FALSE)</f>
        <v>3720</v>
      </c>
      <c r="F19" s="569">
        <f>VLOOKUP(ROTATIONTBL[[#This Row],[FIELD]],FIELDACRE,5,FALSE)</f>
        <v>3815</v>
      </c>
      <c r="G19" s="570">
        <v>38.6</v>
      </c>
      <c r="H19" s="569" t="str">
        <f>IFERROR(VLOOKUP(ROTATIONTBL[[#This Row],[FIELD]],ROTATIONRG,6,FALSE)," ")</f>
        <v xml:space="preserve">HARD </v>
      </c>
      <c r="I19" s="569" t="str">
        <f>IFERROR(VLOOKUP(ROTATIONTBL[[#This Row],[FIELD]],FFTBL[[Field]:[COUNTY2]],7,FALSE)," ")</f>
        <v>PHILLIPS</v>
      </c>
      <c r="J19" s="569"/>
      <c r="K19" s="569"/>
      <c r="L19" s="569"/>
      <c r="M19" s="569"/>
      <c r="N19" s="569"/>
      <c r="O19" s="569"/>
      <c r="P19" s="569" t="s">
        <v>117</v>
      </c>
      <c r="Q19" s="569" t="s">
        <v>283</v>
      </c>
      <c r="R19" s="569"/>
      <c r="S19" s="569" t="s">
        <v>283</v>
      </c>
      <c r="T19" s="569" t="s">
        <v>291</v>
      </c>
      <c r="U19" s="569" t="s">
        <v>285</v>
      </c>
      <c r="V19" s="569" t="s">
        <v>295</v>
      </c>
      <c r="W19" s="572"/>
      <c r="X19" s="572"/>
      <c r="Y19" s="569"/>
      <c r="Z19" s="569"/>
      <c r="AA19" s="571"/>
      <c r="AB19" s="572"/>
      <c r="AC19" s="569"/>
    </row>
    <row r="20" spans="1:29" ht="15.75" x14ac:dyDescent="0.25">
      <c r="A20" s="568" t="s">
        <v>20</v>
      </c>
      <c r="B20" s="568" t="s">
        <v>21</v>
      </c>
      <c r="C20" s="568" t="s">
        <v>99</v>
      </c>
      <c r="D20" s="569">
        <f>VLOOKUP(ROTATIONTBL[[#This Row],[FIELD]],FIELDACRE,3,FALSE)</f>
        <v>191.14</v>
      </c>
      <c r="E20" s="569">
        <f>VLOOKUP(ROTATIONTBL[[#This Row],[FIELD]],FIELDACRE,4,FALSE)</f>
        <v>3939</v>
      </c>
      <c r="F20" s="569">
        <f>VLOOKUP(ROTATIONTBL[[#This Row],[FIELD]],FIELDACRE,5,FALSE)</f>
        <v>3938</v>
      </c>
      <c r="G20" s="570">
        <f>IFERROR(VLOOKUP(C20,ROTATIONRG,2,FALSE)," ")</f>
        <v>191.14</v>
      </c>
      <c r="H20" s="569" t="str">
        <f>IFERROR(VLOOKUP(ROTATIONTBL[[#This Row],[FIELD]],ROTATIONRG,6,FALSE)," ")</f>
        <v>SAND</v>
      </c>
      <c r="I20" s="569" t="str">
        <f>IFERROR(VLOOKUP(ROTATIONTBL[[#This Row],[FIELD]],FFTBL[[Field]:[COUNTY2]],7,FALSE)," ")</f>
        <v>SEDGWICK</v>
      </c>
      <c r="J20" s="569"/>
      <c r="K20" s="569"/>
      <c r="L20" s="569"/>
      <c r="M20" s="569"/>
      <c r="N20" s="569"/>
      <c r="O20" s="569" t="s">
        <v>283</v>
      </c>
      <c r="P20" s="569" t="s">
        <v>117</v>
      </c>
      <c r="Q20" s="569" t="s">
        <v>117</v>
      </c>
      <c r="R20" s="569"/>
      <c r="S20" s="569" t="s">
        <v>117</v>
      </c>
      <c r="T20" s="569" t="s">
        <v>117</v>
      </c>
      <c r="U20" s="569" t="s">
        <v>117</v>
      </c>
      <c r="V20" s="569" t="s">
        <v>117</v>
      </c>
      <c r="W20" s="572"/>
      <c r="X20" s="572"/>
      <c r="Y20" s="569"/>
      <c r="Z20" s="569"/>
      <c r="AA20" s="571"/>
      <c r="AB20" s="569"/>
      <c r="AC20" s="569"/>
    </row>
    <row r="21" spans="1:29" ht="15.75" x14ac:dyDescent="0.25">
      <c r="A21" s="568" t="s">
        <v>20</v>
      </c>
      <c r="B21" s="568" t="s">
        <v>26</v>
      </c>
      <c r="C21" s="637" t="s">
        <v>58</v>
      </c>
      <c r="D21" s="569" t="str">
        <f>VLOOKUP(ROTATIONTBL[[#This Row],[FIELD]],FIELDACRE,3,FALSE)</f>
        <v>SW 17-6-47</v>
      </c>
      <c r="E21" s="569">
        <f>VLOOKUP(ROTATIONTBL[[#This Row],[FIELD]],FIELDACRE,4,FALSE)</f>
        <v>3720</v>
      </c>
      <c r="F21" s="569">
        <f>VLOOKUP(ROTATIONTBL[[#This Row],[FIELD]],FIELDACRE,5,FALSE)</f>
        <v>3815</v>
      </c>
      <c r="G21" s="570">
        <v>65.400000000000006</v>
      </c>
      <c r="H21" s="569" t="str">
        <f>IFERROR(VLOOKUP(ROTATIONTBL[[#This Row],[FIELD]],ROTATIONRG,6,FALSE)," ")</f>
        <v xml:space="preserve">HARD </v>
      </c>
      <c r="I21" s="569" t="str">
        <f>IFERROR(VLOOKUP(ROTATIONTBL[[#This Row],[FIELD]],FFTBL[[Field]:[COUNTY2]],7,FALSE)," ")</f>
        <v>PHILLIPS</v>
      </c>
      <c r="J21" s="569"/>
      <c r="K21" s="569"/>
      <c r="L21" s="569"/>
      <c r="M21" s="569"/>
      <c r="N21" s="569"/>
      <c r="O21" s="569"/>
      <c r="P21" s="569" t="s">
        <v>117</v>
      </c>
      <c r="Q21" s="569" t="s">
        <v>283</v>
      </c>
      <c r="R21" s="569"/>
      <c r="S21" s="569" t="s">
        <v>295</v>
      </c>
      <c r="T21" s="569" t="s">
        <v>283</v>
      </c>
      <c r="U21" s="569" t="s">
        <v>291</v>
      </c>
      <c r="V21" s="569" t="s">
        <v>285</v>
      </c>
      <c r="W21" s="572"/>
      <c r="X21" s="572"/>
      <c r="Y21" s="569"/>
      <c r="Z21" s="569"/>
      <c r="AA21" s="571"/>
      <c r="AB21" s="572"/>
      <c r="AC21" s="569"/>
    </row>
    <row r="22" spans="1:29" ht="15.75" x14ac:dyDescent="0.25">
      <c r="A22" s="568" t="s">
        <v>20</v>
      </c>
      <c r="B22" s="568" t="s">
        <v>26</v>
      </c>
      <c r="C22" s="637" t="s">
        <v>192</v>
      </c>
      <c r="D22" s="569" t="str">
        <f>VLOOKUP(ROTATIONTBL[[#This Row],[FIELD]],FIELDACRE,3,FALSE)</f>
        <v>SE 17-6-47</v>
      </c>
      <c r="E22" s="569">
        <f>VLOOKUP(ROTATIONTBL[[#This Row],[FIELD]],FIELDACRE,4,FALSE)</f>
        <v>3720</v>
      </c>
      <c r="F22" s="569">
        <f>VLOOKUP(ROTATIONTBL[[#This Row],[FIELD]],FIELDACRE,5,FALSE)</f>
        <v>3815</v>
      </c>
      <c r="G22" s="570">
        <v>64.2</v>
      </c>
      <c r="H22" s="569" t="str">
        <f>IFERROR(VLOOKUP(ROTATIONTBL[[#This Row],[FIELD]],ROTATIONRG,6,FALSE)," ")</f>
        <v xml:space="preserve">HARD </v>
      </c>
      <c r="I22" s="569" t="str">
        <f>IFERROR(VLOOKUP(ROTATIONTBL[[#This Row],[FIELD]],FFTBL[[Field]:[COUNTY2]],7,FALSE)," ")</f>
        <v>PHILLIPS</v>
      </c>
      <c r="J22" s="569"/>
      <c r="K22" s="569"/>
      <c r="L22" s="569"/>
      <c r="M22" s="569"/>
      <c r="N22" s="569"/>
      <c r="O22" s="569"/>
      <c r="P22" s="569" t="s">
        <v>117</v>
      </c>
      <c r="Q22" s="569" t="s">
        <v>283</v>
      </c>
      <c r="R22" s="569"/>
      <c r="S22" s="569" t="s">
        <v>291</v>
      </c>
      <c r="T22" s="569" t="s">
        <v>285</v>
      </c>
      <c r="U22" s="569" t="s">
        <v>295</v>
      </c>
      <c r="V22" s="569" t="s">
        <v>283</v>
      </c>
      <c r="W22" s="572"/>
      <c r="X22" s="572"/>
      <c r="Y22" s="569"/>
      <c r="Z22" s="569"/>
      <c r="AA22" s="571"/>
      <c r="AB22" s="572"/>
      <c r="AC22" s="569"/>
    </row>
    <row r="23" spans="1:29" ht="15.75" x14ac:dyDescent="0.25">
      <c r="A23" s="568" t="s">
        <v>20</v>
      </c>
      <c r="B23" s="568" t="s">
        <v>26</v>
      </c>
      <c r="C23" s="637" t="s">
        <v>59</v>
      </c>
      <c r="D23" s="569" t="str">
        <f>VLOOKUP(ROTATIONTBL[[#This Row],[FIELD]],FIELDACRE,3,FALSE)</f>
        <v>SE 17-6-47</v>
      </c>
      <c r="E23" s="569">
        <f>VLOOKUP(ROTATIONTBL[[#This Row],[FIELD]],FIELDACRE,4,FALSE)</f>
        <v>3720</v>
      </c>
      <c r="F23" s="569">
        <f>VLOOKUP(ROTATIONTBL[[#This Row],[FIELD]],FIELDACRE,5,FALSE)</f>
        <v>3815</v>
      </c>
      <c r="G23" s="570">
        <v>64.2</v>
      </c>
      <c r="H23" s="569" t="str">
        <f>IFERROR(VLOOKUP(ROTATIONTBL[[#This Row],[FIELD]],ROTATIONRG,6,FALSE)," ")</f>
        <v xml:space="preserve">HARD </v>
      </c>
      <c r="I23" s="569" t="str">
        <f>IFERROR(VLOOKUP(ROTATIONTBL[[#This Row],[FIELD]],FFTBL[[Field]:[COUNTY2]],7,FALSE)," ")</f>
        <v>PHILLIPS</v>
      </c>
      <c r="J23" s="569"/>
      <c r="K23" s="569"/>
      <c r="L23" s="569"/>
      <c r="M23" s="569"/>
      <c r="N23" s="569"/>
      <c r="O23" s="569"/>
      <c r="P23" s="569" t="s">
        <v>117</v>
      </c>
      <c r="Q23" s="569" t="s">
        <v>283</v>
      </c>
      <c r="R23" s="569"/>
      <c r="S23" s="569" t="s">
        <v>285</v>
      </c>
      <c r="T23" s="569" t="s">
        <v>295</v>
      </c>
      <c r="U23" s="569" t="s">
        <v>283</v>
      </c>
      <c r="V23" s="569" t="s">
        <v>291</v>
      </c>
      <c r="W23" s="572"/>
      <c r="X23" s="572"/>
      <c r="Y23" s="569"/>
      <c r="Z23" s="569"/>
      <c r="AA23" s="571"/>
      <c r="AB23" s="572"/>
      <c r="AC23" s="569"/>
    </row>
    <row r="24" spans="1:29" ht="15.75" x14ac:dyDescent="0.25">
      <c r="A24" s="568" t="s">
        <v>20</v>
      </c>
      <c r="B24" s="568" t="s">
        <v>21</v>
      </c>
      <c r="C24" s="568" t="s">
        <v>25</v>
      </c>
      <c r="D24" s="569" t="str">
        <f>VLOOKUP(ROTATIONTBL[[#This Row],[FIELD]],FIELDACRE,3,FALSE)</f>
        <v>E2 13-9-47</v>
      </c>
      <c r="E24" s="569">
        <f>VLOOKUP(ROTATIONTBL[[#This Row],[FIELD]],FIELDACRE,4,FALSE)</f>
        <v>3939</v>
      </c>
      <c r="F24" s="569">
        <f>VLOOKUP(ROTATIONTBL[[#This Row],[FIELD]],FIELDACRE,5,FALSE)</f>
        <v>3939</v>
      </c>
      <c r="G24" s="570">
        <f>IFERROR(VLOOKUP(C24,ROTATIONRG,2,FALSE)," ")</f>
        <v>159.69999999999999</v>
      </c>
      <c r="H24" s="569" t="str">
        <f>IFERROR(VLOOKUP(ROTATIONTBL[[#This Row],[FIELD]],ROTATIONRG,6,FALSE)," ")</f>
        <v>SAND</v>
      </c>
      <c r="I24" s="569" t="str">
        <f>IFERROR(VLOOKUP(ROTATIONTBL[[#This Row],[FIELD]],FFTBL[[Field]:[COUNTY2]],7,FALSE)," ")</f>
        <v>SEDGWICK</v>
      </c>
      <c r="J24" s="569"/>
      <c r="K24" s="569"/>
      <c r="L24" s="569"/>
      <c r="M24" s="569"/>
      <c r="N24" s="569"/>
      <c r="O24" s="569" t="s">
        <v>285</v>
      </c>
      <c r="P24" s="569" t="s">
        <v>295</v>
      </c>
      <c r="Q24" s="569" t="s">
        <v>117</v>
      </c>
      <c r="R24" s="569"/>
      <c r="S24" s="569" t="s">
        <v>117</v>
      </c>
      <c r="T24" s="569" t="s">
        <v>117</v>
      </c>
      <c r="U24" s="569" t="s">
        <v>117</v>
      </c>
      <c r="V24" s="569" t="s">
        <v>117</v>
      </c>
      <c r="W24" s="572"/>
      <c r="X24" s="572"/>
      <c r="Y24" s="569"/>
      <c r="Z24" s="569"/>
      <c r="AA24" s="571" t="s">
        <v>711</v>
      </c>
      <c r="AB24" s="572">
        <v>45210</v>
      </c>
      <c r="AC24" s="569"/>
    </row>
    <row r="25" spans="1:29" ht="15.75" x14ac:dyDescent="0.25">
      <c r="A25" s="568" t="s">
        <v>20</v>
      </c>
      <c r="B25" s="568" t="s">
        <v>28</v>
      </c>
      <c r="C25" s="637" t="s">
        <v>29</v>
      </c>
      <c r="D25" s="569" t="str">
        <f>VLOOKUP(ROTATIONTBL[[#This Row],[FIELD]],FIELDACRE,3,FALSE)</f>
        <v>SW4 35-7-47</v>
      </c>
      <c r="E25" s="569">
        <f>VLOOKUP(ROTATIONTBL[[#This Row],[FIELD]],FIELDACRE,4,FALSE)</f>
        <v>4063</v>
      </c>
      <c r="F25" s="569">
        <f>VLOOKUP(ROTATIONTBL[[#This Row],[FIELD]],FIELDACRE,5,FALSE)</f>
        <v>4015</v>
      </c>
      <c r="G25" s="570">
        <f>IFERROR(VLOOKUP(C25,ROTATIONRG,2,FALSE)," ")</f>
        <v>79.2</v>
      </c>
      <c r="H25" s="569" t="str">
        <f>IFERROR(VLOOKUP(ROTATIONTBL[[#This Row],[FIELD]],ROTATIONRG,6,FALSE)," ")</f>
        <v xml:space="preserve">HARD </v>
      </c>
      <c r="I25" s="569" t="str">
        <f>IFERROR(VLOOKUP(ROTATIONTBL[[#This Row],[FIELD]],FFTBL[[Field]:[COUNTY2]],7,FALSE)," ")</f>
        <v>PHILLIPS</v>
      </c>
      <c r="J25" s="569" t="s">
        <v>283</v>
      </c>
      <c r="K25" s="569" t="s">
        <v>283</v>
      </c>
      <c r="L25" s="569" t="s">
        <v>283</v>
      </c>
      <c r="M25" s="569" t="s">
        <v>283</v>
      </c>
      <c r="N25" s="569" t="s">
        <v>283</v>
      </c>
      <c r="O25" s="569" t="s">
        <v>117</v>
      </c>
      <c r="P25" s="569" t="s">
        <v>295</v>
      </c>
      <c r="Q25" s="569" t="s">
        <v>283</v>
      </c>
      <c r="R25" s="569"/>
      <c r="S25" s="569" t="s">
        <v>291</v>
      </c>
      <c r="T25" s="569" t="s">
        <v>285</v>
      </c>
      <c r="U25" s="569" t="s">
        <v>295</v>
      </c>
      <c r="V25" s="569" t="s">
        <v>283</v>
      </c>
      <c r="W25" s="572">
        <v>44333</v>
      </c>
      <c r="X25" s="569" t="s">
        <v>712</v>
      </c>
      <c r="Y25" s="569"/>
      <c r="Z25" s="569"/>
      <c r="AA25" s="571" t="s">
        <v>713</v>
      </c>
      <c r="AB25" s="572">
        <v>45204</v>
      </c>
      <c r="AC25" s="569"/>
    </row>
    <row r="26" spans="1:29" ht="15.75" x14ac:dyDescent="0.25">
      <c r="A26" s="568" t="s">
        <v>20</v>
      </c>
      <c r="B26" s="568" t="s">
        <v>28</v>
      </c>
      <c r="C26" s="637" t="s">
        <v>223</v>
      </c>
      <c r="D26" s="569" t="str">
        <f>VLOOKUP(ROTATIONTBL[[#This Row],[FIELD]],FIELDACRE,3,FALSE)</f>
        <v>NE 14-7-48</v>
      </c>
      <c r="E26" s="569">
        <f>VLOOKUP(ROTATIONTBL[[#This Row],[FIELD]],FIELDACRE,4,FALSE)</f>
        <v>4112</v>
      </c>
      <c r="F26" s="569">
        <f>VLOOKUP(ROTATIONTBL[[#This Row],[FIELD]],FIELDACRE,5,FALSE)</f>
        <v>4044</v>
      </c>
      <c r="G26" s="570">
        <v>51.9</v>
      </c>
      <c r="H26" s="569" t="str">
        <f>IFERROR(VLOOKUP(ROTATIONTBL[[#This Row],[FIELD]],ROTATIONRG,6,FALSE)," ")</f>
        <v xml:space="preserve">HARD </v>
      </c>
      <c r="I26" s="569" t="str">
        <f>IFERROR(VLOOKUP(ROTATIONTBL[[#This Row],[FIELD]],FFTBL[[Field]:[COUNTY2]],7,FALSE)," ")</f>
        <v>LOGAN</v>
      </c>
      <c r="J26" s="569"/>
      <c r="K26" s="569"/>
      <c r="L26" s="569"/>
      <c r="M26" s="569"/>
      <c r="N26" s="569"/>
      <c r="O26" s="569"/>
      <c r="P26" s="569" t="s">
        <v>117</v>
      </c>
      <c r="Q26" s="569" t="s">
        <v>283</v>
      </c>
      <c r="R26" s="569"/>
      <c r="S26" s="569" t="s">
        <v>283</v>
      </c>
      <c r="T26" s="569" t="s">
        <v>291</v>
      </c>
      <c r="U26" s="569" t="s">
        <v>285</v>
      </c>
      <c r="V26" s="569" t="s">
        <v>295</v>
      </c>
      <c r="W26" s="572"/>
      <c r="X26" s="569"/>
      <c r="Y26" s="569"/>
      <c r="Z26" s="569"/>
      <c r="AA26" s="571"/>
      <c r="AB26" s="569"/>
      <c r="AC26" s="569"/>
    </row>
    <row r="27" spans="1:29" ht="15.75" x14ac:dyDescent="0.25">
      <c r="A27" s="568" t="s">
        <v>20</v>
      </c>
      <c r="B27" s="568" t="s">
        <v>21</v>
      </c>
      <c r="C27" s="568" t="s">
        <v>168</v>
      </c>
      <c r="D27" s="569" t="str">
        <f>VLOOKUP(ROTATIONTBL[[#This Row],[FIELD]],FIELDACRE,3,FALSE)</f>
        <v>SE4 14-7-48</v>
      </c>
      <c r="E27" s="569">
        <f>VLOOKUP(ROTATIONTBL[[#This Row],[FIELD]],FIELDACRE,4,FALSE)</f>
        <v>4211</v>
      </c>
      <c r="F27" s="569">
        <f>VLOOKUP(ROTATIONTBL[[#This Row],[FIELD]],FIELDACRE,5,FALSE)</f>
        <v>3460</v>
      </c>
      <c r="G27" s="570">
        <f t="shared" ref="G27:G43" si="2">IFERROR(VLOOKUP(C27,ROTATIONRG,2,FALSE)," ")</f>
        <v>10.5</v>
      </c>
      <c r="H27" s="569" t="str">
        <f>IFERROR(VLOOKUP(ROTATIONTBL[[#This Row],[FIELD]],ROTATIONRG,6,FALSE)," ")</f>
        <v xml:space="preserve">WASTE  </v>
      </c>
      <c r="I27" s="569" t="str">
        <f>IFERROR(VLOOKUP(ROTATIONTBL[[#This Row],[FIELD]],FFTBL[[Field]:[COUNTY2]],7,FALSE)," ")</f>
        <v>LOGAN</v>
      </c>
      <c r="J27" s="569"/>
      <c r="K27" s="569"/>
      <c r="L27" s="569"/>
      <c r="M27" s="569"/>
      <c r="N27" s="569"/>
      <c r="O27" s="569" t="s">
        <v>113</v>
      </c>
      <c r="P27" s="569" t="s">
        <v>113</v>
      </c>
      <c r="Q27" s="569" t="s">
        <v>113</v>
      </c>
      <c r="R27" s="569"/>
      <c r="S27" s="569" t="s">
        <v>113</v>
      </c>
      <c r="T27" s="569" t="s">
        <v>113</v>
      </c>
      <c r="U27" s="569" t="s">
        <v>113</v>
      </c>
      <c r="V27" s="569" t="s">
        <v>113</v>
      </c>
      <c r="W27" s="572"/>
      <c r="X27" s="572"/>
      <c r="Y27" s="569"/>
      <c r="Z27" s="569"/>
      <c r="AA27" s="571"/>
      <c r="AB27" s="569"/>
      <c r="AC27" s="569"/>
    </row>
    <row r="28" spans="1:29" ht="15.75" x14ac:dyDescent="0.25">
      <c r="A28" s="568" t="s">
        <v>20</v>
      </c>
      <c r="B28" s="568" t="s">
        <v>21</v>
      </c>
      <c r="C28" s="568" t="s">
        <v>170</v>
      </c>
      <c r="D28" s="569" t="str">
        <f>VLOOKUP(ROTATIONTBL[[#This Row],[FIELD]],FIELDACRE,3,FALSE)</f>
        <v>SW4 31-7-47</v>
      </c>
      <c r="E28" s="569">
        <f>VLOOKUP(ROTATIONTBL[[#This Row],[FIELD]],FIELDACRE,4,FALSE)</f>
        <v>4211</v>
      </c>
      <c r="F28" s="569">
        <f>VLOOKUP(ROTATIONTBL[[#This Row],[FIELD]],FIELDACRE,5,FALSE)</f>
        <v>1749</v>
      </c>
      <c r="G28" s="570">
        <f t="shared" si="2"/>
        <v>12.32</v>
      </c>
      <c r="H28" s="569" t="str">
        <f>IFERROR(VLOOKUP(ROTATIONTBL[[#This Row],[FIELD]],ROTATIONRG,6,FALSE)," ")</f>
        <v>WASTE</v>
      </c>
      <c r="I28" s="569" t="str">
        <f>IFERROR(VLOOKUP(ROTATIONTBL[[#This Row],[FIELD]],FFTBL[[Field]:[COUNTY2]],7,FALSE)," ")</f>
        <v>PHILLIPS</v>
      </c>
      <c r="J28" s="569"/>
      <c r="K28" s="569"/>
      <c r="L28" s="569"/>
      <c r="M28" s="569"/>
      <c r="N28" s="569"/>
      <c r="O28" s="569" t="s">
        <v>113</v>
      </c>
      <c r="P28" s="569" t="s">
        <v>113</v>
      </c>
      <c r="Q28" s="569" t="s">
        <v>113</v>
      </c>
      <c r="R28" s="569"/>
      <c r="S28" s="569" t="s">
        <v>113</v>
      </c>
      <c r="T28" s="569" t="s">
        <v>113</v>
      </c>
      <c r="U28" s="569" t="s">
        <v>113</v>
      </c>
      <c r="V28" s="569" t="s">
        <v>113</v>
      </c>
      <c r="W28" s="572"/>
      <c r="X28" s="572"/>
      <c r="Y28" s="569"/>
      <c r="Z28" s="569"/>
      <c r="AA28" s="571"/>
      <c r="AB28" s="569"/>
      <c r="AC28" s="569"/>
    </row>
    <row r="29" spans="1:29" ht="15.75" x14ac:dyDescent="0.25">
      <c r="A29" s="568" t="s">
        <v>20</v>
      </c>
      <c r="B29" s="568" t="s">
        <v>32</v>
      </c>
      <c r="C29" s="637" t="s">
        <v>33</v>
      </c>
      <c r="D29" s="569" t="str">
        <f>VLOOKUP(ROTATIONTBL[[#This Row],[FIELD]],FIELDACRE,3,FALSE)</f>
        <v>SW4 12-8-47</v>
      </c>
      <c r="E29" s="569">
        <f>VLOOKUP(ROTATIONTBL[[#This Row],[FIELD]],FIELDACRE,4,FALSE)</f>
        <v>2522</v>
      </c>
      <c r="F29" s="569">
        <f>VLOOKUP(ROTATIONTBL[[#This Row],[FIELD]],FIELDACRE,5,FALSE)</f>
        <v>3251</v>
      </c>
      <c r="G29" s="570">
        <f t="shared" si="2"/>
        <v>79.099999999999994</v>
      </c>
      <c r="H29" s="569" t="str">
        <f>IFERROR(VLOOKUP(ROTATIONTBL[[#This Row],[FIELD]],ROTATIONRG,6,FALSE)," ")</f>
        <v>LOAM</v>
      </c>
      <c r="I29" s="569" t="str">
        <f>IFERROR(VLOOKUP(ROTATIONTBL[[#This Row],[FIELD]],FFTBL[[Field]:[COUNTY2]],7,FALSE)," ")</f>
        <v>PHILLIPS</v>
      </c>
      <c r="J29" s="569" t="s">
        <v>108</v>
      </c>
      <c r="K29" s="569" t="s">
        <v>108</v>
      </c>
      <c r="L29" s="569" t="s">
        <v>108</v>
      </c>
      <c r="M29" s="569" t="s">
        <v>108</v>
      </c>
      <c r="N29" s="569" t="s">
        <v>108</v>
      </c>
      <c r="O29" s="569" t="s">
        <v>117</v>
      </c>
      <c r="P29" s="569" t="s">
        <v>295</v>
      </c>
      <c r="Q29" s="569" t="s">
        <v>283</v>
      </c>
      <c r="R29" s="569"/>
      <c r="S29" s="569" t="s">
        <v>291</v>
      </c>
      <c r="T29" s="569" t="s">
        <v>285</v>
      </c>
      <c r="U29" s="569" t="s">
        <v>295</v>
      </c>
      <c r="V29" s="569" t="s">
        <v>283</v>
      </c>
      <c r="W29" s="572"/>
      <c r="X29" s="572"/>
      <c r="Y29" s="569"/>
      <c r="Z29" s="569"/>
      <c r="AA29" s="571" t="s">
        <v>714</v>
      </c>
      <c r="AB29" s="572">
        <v>45213</v>
      </c>
      <c r="AC29" s="569"/>
    </row>
    <row r="30" spans="1:29" ht="15.75" x14ac:dyDescent="0.25">
      <c r="A30" s="568" t="s">
        <v>20</v>
      </c>
      <c r="B30" s="568" t="s">
        <v>26</v>
      </c>
      <c r="C30" s="568" t="s">
        <v>174</v>
      </c>
      <c r="D30" s="569" t="str">
        <f>VLOOKUP(ROTATIONTBL[[#This Row],[FIELD]],FIELDACRE,3,FALSE)</f>
        <v>NW4 17-7-48</v>
      </c>
      <c r="E30" s="569">
        <f>VLOOKUP(ROTATIONTBL[[#This Row],[FIELD]],FIELDACRE,4,FALSE)</f>
        <v>4210</v>
      </c>
      <c r="F30" s="569">
        <f>VLOOKUP(ROTATIONTBL[[#This Row],[FIELD]],FIELDACRE,5,FALSE)</f>
        <v>4045</v>
      </c>
      <c r="G30" s="570">
        <f t="shared" si="2"/>
        <v>143.34</v>
      </c>
      <c r="H30" s="569" t="str">
        <f>IFERROR(VLOOKUP(ROTATIONTBL[[#This Row],[FIELD]],ROTATIONRG,6,FALSE)," ")</f>
        <v>PASTURE</v>
      </c>
      <c r="I30" s="569" t="str">
        <f>IFERROR(VLOOKUP(ROTATIONTBL[[#This Row],[FIELD]],FFTBL[[Field]:[COUNTY2]],7,FALSE)," ")</f>
        <v>LOGAN</v>
      </c>
      <c r="J30" s="569" t="s">
        <v>113</v>
      </c>
      <c r="K30" s="569" t="s">
        <v>113</v>
      </c>
      <c r="L30" s="569" t="s">
        <v>113</v>
      </c>
      <c r="M30" s="569" t="s">
        <v>113</v>
      </c>
      <c r="N30" s="569" t="s">
        <v>113</v>
      </c>
      <c r="O30" s="569" t="s">
        <v>108</v>
      </c>
      <c r="P30" s="569" t="s">
        <v>108</v>
      </c>
      <c r="Q30" s="569" t="s">
        <v>108</v>
      </c>
      <c r="R30" s="569"/>
      <c r="S30" s="569" t="s">
        <v>108</v>
      </c>
      <c r="T30" s="569" t="s">
        <v>108</v>
      </c>
      <c r="U30" s="569" t="s">
        <v>108</v>
      </c>
      <c r="V30" s="569" t="s">
        <v>108</v>
      </c>
      <c r="W30" s="572"/>
      <c r="X30" s="572"/>
      <c r="Y30" s="569"/>
      <c r="Z30" s="569"/>
      <c r="AA30" s="571"/>
      <c r="AB30" s="569"/>
      <c r="AC30" s="569"/>
    </row>
    <row r="31" spans="1:29" ht="15.75" x14ac:dyDescent="0.25">
      <c r="A31" s="568" t="s">
        <v>20</v>
      </c>
      <c r="B31" s="568" t="s">
        <v>26</v>
      </c>
      <c r="C31" s="568" t="s">
        <v>178</v>
      </c>
      <c r="D31" s="569" t="str">
        <f>VLOOKUP(ROTATIONTBL[[#This Row],[FIELD]],FIELDACRE,3,FALSE)</f>
        <v>17-6-47</v>
      </c>
      <c r="E31" s="569">
        <f>VLOOKUP(ROTATIONTBL[[#This Row],[FIELD]],FIELDACRE,4,FALSE)</f>
        <v>4210</v>
      </c>
      <c r="F31" s="569">
        <f>VLOOKUP(ROTATIONTBL[[#This Row],[FIELD]],FIELDACRE,5,FALSE)</f>
        <v>3815</v>
      </c>
      <c r="G31" s="570">
        <f t="shared" si="2"/>
        <v>114.65</v>
      </c>
      <c r="H31" s="569" t="str">
        <f>IFERROR(VLOOKUP(ROTATIONTBL[[#This Row],[FIELD]],ROTATIONRG,6,FALSE)," ")</f>
        <v>PASTURE</v>
      </c>
      <c r="I31" s="569" t="str">
        <f>IFERROR(VLOOKUP(ROTATIONTBL[[#This Row],[FIELD]],FFTBL[[Field]:[COUNTY2]],7,FALSE)," ")</f>
        <v>PHILLIPS</v>
      </c>
      <c r="J31" s="569" t="s">
        <v>113</v>
      </c>
      <c r="K31" s="569" t="s">
        <v>113</v>
      </c>
      <c r="L31" s="569" t="s">
        <v>113</v>
      </c>
      <c r="M31" s="569" t="s">
        <v>113</v>
      </c>
      <c r="N31" s="569" t="s">
        <v>113</v>
      </c>
      <c r="O31" s="569" t="s">
        <v>108</v>
      </c>
      <c r="P31" s="569" t="s">
        <v>108</v>
      </c>
      <c r="Q31" s="569" t="s">
        <v>108</v>
      </c>
      <c r="R31" s="569"/>
      <c r="S31" s="569" t="s">
        <v>108</v>
      </c>
      <c r="T31" s="569" t="s">
        <v>108</v>
      </c>
      <c r="U31" s="569" t="s">
        <v>108</v>
      </c>
      <c r="V31" s="569" t="s">
        <v>108</v>
      </c>
      <c r="W31" s="572"/>
      <c r="X31" s="572"/>
      <c r="Y31" s="569"/>
      <c r="Z31" s="569"/>
      <c r="AA31" s="571"/>
      <c r="AB31" s="569"/>
      <c r="AC31" s="569"/>
    </row>
    <row r="32" spans="1:29" ht="15.75" x14ac:dyDescent="0.25">
      <c r="A32" s="568" t="s">
        <v>20</v>
      </c>
      <c r="B32" s="568" t="s">
        <v>32</v>
      </c>
      <c r="C32" s="637" t="s">
        <v>34</v>
      </c>
      <c r="D32" s="569" t="str">
        <f>VLOOKUP(ROTATIONTBL[[#This Row],[FIELD]],FIELDACRE,3,FALSE)</f>
        <v>NE4 32-8-47</v>
      </c>
      <c r="E32" s="569">
        <f>VLOOKUP(ROTATIONTBL[[#This Row],[FIELD]],FIELDACRE,4,FALSE)</f>
        <v>2522</v>
      </c>
      <c r="F32" s="569">
        <f>VLOOKUP(ROTATIONTBL[[#This Row],[FIELD]],FIELDACRE,5,FALSE)</f>
        <v>1626</v>
      </c>
      <c r="G32" s="570">
        <f t="shared" si="2"/>
        <v>77.400000000000006</v>
      </c>
      <c r="H32" s="569" t="str">
        <f>IFERROR(VLOOKUP(ROTATIONTBL[[#This Row],[FIELD]],ROTATIONRG,6,FALSE)," ")</f>
        <v>LOAM</v>
      </c>
      <c r="I32" s="569" t="str">
        <f>IFERROR(VLOOKUP(ROTATIONTBL[[#This Row],[FIELD]],FFTBL[[Field]:[COUNTY2]],7,FALSE)," ")</f>
        <v>PHILLIPS</v>
      </c>
      <c r="J32" s="569" t="s">
        <v>283</v>
      </c>
      <c r="K32" s="569" t="s">
        <v>285</v>
      </c>
      <c r="L32" s="569" t="s">
        <v>295</v>
      </c>
      <c r="M32" s="569" t="s">
        <v>283</v>
      </c>
      <c r="N32" s="569" t="s">
        <v>285</v>
      </c>
      <c r="O32" s="569" t="s">
        <v>117</v>
      </c>
      <c r="P32" s="569" t="s">
        <v>295</v>
      </c>
      <c r="Q32" s="569" t="s">
        <v>283</v>
      </c>
      <c r="R32" s="569"/>
      <c r="S32" s="569" t="s">
        <v>291</v>
      </c>
      <c r="T32" s="569" t="s">
        <v>285</v>
      </c>
      <c r="U32" s="569" t="s">
        <v>295</v>
      </c>
      <c r="V32" s="569" t="s">
        <v>283</v>
      </c>
      <c r="W32" s="572">
        <v>44340</v>
      </c>
      <c r="X32" s="569"/>
      <c r="Y32" s="569"/>
      <c r="Z32" s="569"/>
      <c r="AA32" s="571" t="s">
        <v>714</v>
      </c>
      <c r="AB32" s="572">
        <v>45213</v>
      </c>
      <c r="AC32" s="569"/>
    </row>
    <row r="33" spans="1:29" ht="15.75" x14ac:dyDescent="0.25">
      <c r="A33" s="568" t="s">
        <v>20</v>
      </c>
      <c r="B33" s="568" t="s">
        <v>32</v>
      </c>
      <c r="C33" s="568" t="s">
        <v>250</v>
      </c>
      <c r="D33" s="569" t="str">
        <f>VLOOKUP(ROTATIONTBL[[#This Row],[FIELD]],FIELDACRE,3,FALSE)</f>
        <v>NW 4 8-8-47</v>
      </c>
      <c r="E33" s="569">
        <f>VLOOKUP(ROTATIONTBL[[#This Row],[FIELD]],FIELDACRE,4,FALSE)</f>
        <v>2522</v>
      </c>
      <c r="F33" s="569">
        <f>VLOOKUP(ROTATIONTBL[[#This Row],[FIELD]],FIELDACRE,5,FALSE)</f>
        <v>1534</v>
      </c>
      <c r="G33" s="570">
        <f t="shared" si="2"/>
        <v>68.260000000000005</v>
      </c>
      <c r="H33" s="569" t="str">
        <f>IFERROR(VLOOKUP(ROTATIONTBL[[#This Row],[FIELD]],ROTATIONRG,6,FALSE)," ")</f>
        <v>SAND</v>
      </c>
      <c r="I33" s="569" t="str">
        <f>IFERROR(VLOOKUP(ROTATIONTBL[[#This Row],[FIELD]],FFTBL[[Field]:[COUNTY2]],7,FALSE)," ")</f>
        <v>PHILLIPS</v>
      </c>
      <c r="J33" s="569" t="s">
        <v>285</v>
      </c>
      <c r="K33" s="569" t="s">
        <v>295</v>
      </c>
      <c r="L33" s="569" t="s">
        <v>287</v>
      </c>
      <c r="M33" s="569" t="s">
        <v>285</v>
      </c>
      <c r="N33" s="569" t="s">
        <v>295</v>
      </c>
      <c r="O33" s="569" t="s">
        <v>289</v>
      </c>
      <c r="P33" s="569" t="s">
        <v>283</v>
      </c>
      <c r="Q33" s="569" t="s">
        <v>291</v>
      </c>
      <c r="R33" s="569"/>
      <c r="S33" s="569" t="s">
        <v>291</v>
      </c>
      <c r="T33" s="569" t="s">
        <v>295</v>
      </c>
      <c r="U33" s="569" t="s">
        <v>283</v>
      </c>
      <c r="V33" s="569" t="s">
        <v>291</v>
      </c>
      <c r="W33" s="569"/>
      <c r="X33" s="572">
        <v>44469</v>
      </c>
      <c r="Y33" s="569"/>
      <c r="Z33" s="569"/>
      <c r="AA33" s="571" t="s">
        <v>715</v>
      </c>
      <c r="AB33" s="569" t="s">
        <v>716</v>
      </c>
      <c r="AC33" s="569"/>
    </row>
    <row r="34" spans="1:29" ht="15.75" x14ac:dyDescent="0.25">
      <c r="A34" s="645" t="s">
        <v>20</v>
      </c>
      <c r="B34" s="645" t="s">
        <v>26</v>
      </c>
      <c r="C34" s="645" t="s">
        <v>187</v>
      </c>
      <c r="D34" s="569" t="str">
        <f>VLOOKUP(ROTATIONTBL[[#This Row],[FIELD]],FIELDACRE,3,FALSE)</f>
        <v>SW 17-6-47</v>
      </c>
      <c r="E34" s="569">
        <f>VLOOKUP(ROTATIONTBL[[#This Row],[FIELD]],FIELDACRE,4,FALSE)</f>
        <v>3720</v>
      </c>
      <c r="F34" s="569">
        <f>VLOOKUP(ROTATIONTBL[[#This Row],[FIELD]],FIELDACRE,5,FALSE)</f>
        <v>3815</v>
      </c>
      <c r="G34" s="570">
        <f t="shared" si="2"/>
        <v>77.2</v>
      </c>
      <c r="H34" s="569" t="str">
        <f>IFERROR(VLOOKUP(ROTATIONTBL[[#This Row],[FIELD]],ROTATIONRG,6,FALSE)," ")</f>
        <v xml:space="preserve">HARD </v>
      </c>
      <c r="I34" s="569" t="str">
        <f>IFERROR(VLOOKUP(ROTATIONTBL[[#This Row],[FIELD]],FFTBL[[Field]:[COUNTY2]],7,FALSE)," ")</f>
        <v>PHILLIPS</v>
      </c>
      <c r="J34" s="569" t="s">
        <v>108</v>
      </c>
      <c r="K34" s="569" t="s">
        <v>108</v>
      </c>
      <c r="L34" s="569" t="s">
        <v>108</v>
      </c>
      <c r="M34" s="569" t="s">
        <v>108</v>
      </c>
      <c r="N34" s="569" t="s">
        <v>108</v>
      </c>
      <c r="O34" s="569" t="s">
        <v>285</v>
      </c>
      <c r="P34" s="569" t="s">
        <v>295</v>
      </c>
      <c r="Q34" s="569" t="s">
        <v>117</v>
      </c>
      <c r="R34" s="569"/>
      <c r="S34" s="569" t="s">
        <v>117</v>
      </c>
      <c r="T34" s="569" t="s">
        <v>117</v>
      </c>
      <c r="U34" s="569" t="s">
        <v>117</v>
      </c>
      <c r="V34" s="569" t="s">
        <v>117</v>
      </c>
      <c r="W34" s="572"/>
      <c r="X34" s="572"/>
      <c r="Y34" s="569"/>
      <c r="Z34" s="569"/>
      <c r="AA34" s="571" t="s">
        <v>714</v>
      </c>
      <c r="AB34" s="572">
        <v>45201</v>
      </c>
      <c r="AC34" s="569"/>
    </row>
    <row r="35" spans="1:29" ht="15.75" x14ac:dyDescent="0.25">
      <c r="A35" s="651" t="s">
        <v>20</v>
      </c>
      <c r="B35" s="651" t="s">
        <v>32</v>
      </c>
      <c r="C35" s="651" t="s">
        <v>252</v>
      </c>
      <c r="D35" s="644" t="str">
        <f>VLOOKUP(ROTATIONTBL[[#This Row],[FIELD]],FIELDACRE,3,FALSE)</f>
        <v>NE4 8-8-47</v>
      </c>
      <c r="E35" s="569">
        <f>VLOOKUP(ROTATIONTBL[[#This Row],[FIELD]],FIELDACRE,4,FALSE)</f>
        <v>2522</v>
      </c>
      <c r="F35" s="643">
        <f>VLOOKUP(ROTATIONTBL[[#This Row],[FIELD]],FIELDACRE,5,FALSE)</f>
        <v>1534</v>
      </c>
      <c r="G35" s="570">
        <f t="shared" si="2"/>
        <v>98.77</v>
      </c>
      <c r="H35" s="644" t="str">
        <f>IFERROR(VLOOKUP(ROTATIONTBL[[#This Row],[FIELD]],ROTATIONRG,6,FALSE)," ")</f>
        <v>SAND</v>
      </c>
      <c r="I35" s="569" t="str">
        <f>IFERROR(VLOOKUP(ROTATIONTBL[[#This Row],[FIELD]],FFTBL[[Field]:[COUNTY2]],7,FALSE)," ")</f>
        <v>PHILLIPS</v>
      </c>
      <c r="J35" s="569" t="s">
        <v>717</v>
      </c>
      <c r="K35" s="569" t="s">
        <v>283</v>
      </c>
      <c r="L35" s="569" t="s">
        <v>283</v>
      </c>
      <c r="M35" s="569" t="s">
        <v>283</v>
      </c>
      <c r="N35" s="569" t="s">
        <v>283</v>
      </c>
      <c r="O35" s="569" t="s">
        <v>289</v>
      </c>
      <c r="P35" s="569" t="s">
        <v>291</v>
      </c>
      <c r="Q35" s="569" t="s">
        <v>292</v>
      </c>
      <c r="R35" s="569"/>
      <c r="S35" s="569" t="s">
        <v>283</v>
      </c>
      <c r="T35" s="569" t="s">
        <v>291</v>
      </c>
      <c r="U35" s="569" t="s">
        <v>295</v>
      </c>
      <c r="V35" s="569" t="s">
        <v>283</v>
      </c>
      <c r="W35" s="572">
        <v>44336</v>
      </c>
      <c r="X35" s="572">
        <v>44703</v>
      </c>
      <c r="Y35" s="569"/>
      <c r="Z35" s="569"/>
      <c r="AA35" s="571"/>
      <c r="AB35" s="569"/>
      <c r="AC35" s="569"/>
    </row>
    <row r="36" spans="1:29" ht="15.75" x14ac:dyDescent="0.25">
      <c r="A36" s="651" t="s">
        <v>20</v>
      </c>
      <c r="B36" s="651" t="s">
        <v>35</v>
      </c>
      <c r="C36" s="651" t="s">
        <v>98</v>
      </c>
      <c r="D36" s="644" t="str">
        <f>VLOOKUP(ROTATIONTBL[[#This Row],[FIELD]],FIELDACRE,3,FALSE)</f>
        <v>NE 20-8-47</v>
      </c>
      <c r="E36" s="569">
        <f>VLOOKUP(ROTATIONTBL[[#This Row],[FIELD]],FIELDACRE,4,FALSE)</f>
        <v>4207</v>
      </c>
      <c r="F36" s="643">
        <f>VLOOKUP(ROTATIONTBL[[#This Row],[FIELD]],FIELDACRE,5,FALSE)</f>
        <v>5418</v>
      </c>
      <c r="G36" s="653">
        <f t="shared" si="2"/>
        <v>4.18</v>
      </c>
      <c r="H36" s="644" t="str">
        <f>IFERROR(VLOOKUP(ROTATIONTBL[[#This Row],[FIELD]],ROTATIONRG,6,FALSE)," ")</f>
        <v>SAND</v>
      </c>
      <c r="I36" s="569" t="str">
        <f>IFERROR(VLOOKUP(ROTATIONTBL[[#This Row],[FIELD]],FFTBL[[Field]:[COUNTY2]],7,FALSE)," ")</f>
        <v>PHILLIPS</v>
      </c>
      <c r="J36" s="569"/>
      <c r="K36" s="569"/>
      <c r="L36" s="569"/>
      <c r="M36" s="569"/>
      <c r="N36" s="569"/>
      <c r="O36" s="569" t="s">
        <v>283</v>
      </c>
      <c r="P36" s="569" t="s">
        <v>295</v>
      </c>
      <c r="Q36" s="569" t="s">
        <v>283</v>
      </c>
      <c r="R36" s="569"/>
      <c r="S36" s="569" t="s">
        <v>291</v>
      </c>
      <c r="T36" s="569" t="s">
        <v>285</v>
      </c>
      <c r="U36" s="569" t="s">
        <v>295</v>
      </c>
      <c r="V36" s="569" t="s">
        <v>283</v>
      </c>
      <c r="W36" s="572"/>
      <c r="X36" s="572"/>
      <c r="Y36" s="569"/>
      <c r="Z36" s="643"/>
      <c r="AA36" s="571"/>
      <c r="AB36" s="569"/>
      <c r="AC36" s="569"/>
    </row>
    <row r="37" spans="1:29" ht="15.75" x14ac:dyDescent="0.25">
      <c r="A37" s="651" t="s">
        <v>20</v>
      </c>
      <c r="B37" s="651" t="s">
        <v>26</v>
      </c>
      <c r="C37" s="651" t="s">
        <v>189</v>
      </c>
      <c r="D37" s="644" t="str">
        <f>VLOOKUP(ROTATIONTBL[[#This Row],[FIELD]],FIELDACRE,3,FALSE)</f>
        <v>SE 17-6-47</v>
      </c>
      <c r="E37" s="569">
        <f>VLOOKUP(ROTATIONTBL[[#This Row],[FIELD]],FIELDACRE,4,FALSE)</f>
        <v>3720</v>
      </c>
      <c r="F37" s="643">
        <f>VLOOKUP(ROTATIONTBL[[#This Row],[FIELD]],FIELDACRE,5,FALSE)</f>
        <v>3815</v>
      </c>
      <c r="G37" s="570">
        <f t="shared" si="2"/>
        <v>128.4</v>
      </c>
      <c r="H37" s="644" t="str">
        <f>IFERROR(VLOOKUP(ROTATIONTBL[[#This Row],[FIELD]],ROTATIONRG,6,FALSE)," ")</f>
        <v xml:space="preserve">HARD </v>
      </c>
      <c r="I37" s="569" t="str">
        <f>IFERROR(VLOOKUP(ROTATIONTBL[[#This Row],[FIELD]],FFTBL[[Field]:[COUNTY2]],7,FALSE)," ")</f>
        <v>PHILLIPS</v>
      </c>
      <c r="J37" s="569" t="str">
        <f>IFERROR(VLOOKUP(ROTATIONTBL[[#This Row],[FIELD]],ROTATIONRG,6,FALSE)," ")</f>
        <v xml:space="preserve">HARD </v>
      </c>
      <c r="K37" s="569" t="str">
        <f>IFERROR(VLOOKUP(ROTATIONTBL[[#This Row],[FIELD]],ROTATIONRG,6,FALSE)," ")</f>
        <v xml:space="preserve">HARD </v>
      </c>
      <c r="L37" s="569" t="str">
        <f>IFERROR(VLOOKUP(ROTATIONTBL[[#This Row],[FIELD]],ROTATIONRG,6,FALSE)," ")</f>
        <v xml:space="preserve">HARD </v>
      </c>
      <c r="M37" s="569" t="str">
        <f>IFERROR(VLOOKUP(ROTATIONTBL[[#This Row],[FIELD]],ROTATIONRG,6,FALSE)," ")</f>
        <v xml:space="preserve">HARD </v>
      </c>
      <c r="N37" s="569" t="str">
        <f>IFERROR(VLOOKUP(ROTATIONTBL[[#This Row],[FIELD]],ROTATIONRG,6,FALSE)," ")</f>
        <v xml:space="preserve">HARD </v>
      </c>
      <c r="O37" s="569" t="s">
        <v>285</v>
      </c>
      <c r="P37" s="569" t="s">
        <v>295</v>
      </c>
      <c r="Q37" s="569" t="s">
        <v>117</v>
      </c>
      <c r="R37" s="569"/>
      <c r="S37" s="569" t="s">
        <v>117</v>
      </c>
      <c r="T37" s="569" t="s">
        <v>117</v>
      </c>
      <c r="U37" s="569" t="s">
        <v>117</v>
      </c>
      <c r="V37" s="569" t="s">
        <v>117</v>
      </c>
      <c r="W37" s="572"/>
      <c r="X37" s="572"/>
      <c r="Y37" s="569"/>
      <c r="Z37" s="569"/>
      <c r="AA37" s="571" t="s">
        <v>718</v>
      </c>
      <c r="AB37" s="572">
        <v>45201</v>
      </c>
      <c r="AC37" s="569"/>
    </row>
    <row r="38" spans="1:29" ht="15.75" x14ac:dyDescent="0.25">
      <c r="A38" s="647" t="s">
        <v>20</v>
      </c>
      <c r="B38" s="647" t="s">
        <v>35</v>
      </c>
      <c r="C38" s="655" t="s">
        <v>36</v>
      </c>
      <c r="D38" s="569" t="str">
        <f>VLOOKUP(ROTATIONTBL[[#This Row],[FIELD]],FIELDACRE,3,FALSE)</f>
        <v>NE 20-8-47</v>
      </c>
      <c r="E38" s="569">
        <f>VLOOKUP(ROTATIONTBL[[#This Row],[FIELD]],FIELDACRE,4,FALSE)</f>
        <v>4207</v>
      </c>
      <c r="F38" s="569">
        <f>VLOOKUP(ROTATIONTBL[[#This Row],[FIELD]],FIELDACRE,5,FALSE)</f>
        <v>5418</v>
      </c>
      <c r="G38" s="648">
        <f t="shared" si="2"/>
        <v>71.5</v>
      </c>
      <c r="H38" s="569" t="str">
        <f>IFERROR(VLOOKUP(ROTATIONTBL[[#This Row],[FIELD]],ROTATIONRG,6,FALSE)," ")</f>
        <v>SAND</v>
      </c>
      <c r="I38" s="569" t="str">
        <f>IFERROR(VLOOKUP(ROTATIONTBL[[#This Row],[FIELD]],FFTBL[[Field]:[COUNTY2]],7,FALSE)," ")</f>
        <v>PHILLIPS</v>
      </c>
      <c r="J38" s="569"/>
      <c r="K38" s="569"/>
      <c r="L38" s="569"/>
      <c r="M38" s="569"/>
      <c r="N38" s="569"/>
      <c r="O38" s="569" t="s">
        <v>117</v>
      </c>
      <c r="P38" s="569" t="s">
        <v>295</v>
      </c>
      <c r="Q38" s="569" t="s">
        <v>283</v>
      </c>
      <c r="R38" s="569"/>
      <c r="S38" s="569" t="s">
        <v>291</v>
      </c>
      <c r="T38" s="569" t="s">
        <v>285</v>
      </c>
      <c r="U38" s="569" t="s">
        <v>295</v>
      </c>
      <c r="V38" s="569" t="s">
        <v>283</v>
      </c>
      <c r="W38" s="572"/>
      <c r="X38" s="572"/>
      <c r="Y38" s="569"/>
      <c r="Z38" s="569"/>
      <c r="AA38" s="571" t="s">
        <v>719</v>
      </c>
      <c r="AB38" s="572">
        <v>45211</v>
      </c>
      <c r="AC38" s="569"/>
    </row>
    <row r="39" spans="1:29" ht="15.75" x14ac:dyDescent="0.25">
      <c r="A39" s="568" t="s">
        <v>20</v>
      </c>
      <c r="B39" s="568" t="s">
        <v>35</v>
      </c>
      <c r="C39" s="637" t="s">
        <v>270</v>
      </c>
      <c r="D39" s="569" t="str">
        <f>VLOOKUP(ROTATIONTBL[[#This Row],[FIELD]],FIELDACRE,3,FALSE)</f>
        <v>NW 29-7-47</v>
      </c>
      <c r="E39" s="569">
        <f>VLOOKUP(ROTATIONTBL[[#This Row],[FIELD]],FIELDACRE,4,FALSE)</f>
        <v>4667</v>
      </c>
      <c r="F39" s="569">
        <f>VLOOKUP(ROTATIONTBL[[#This Row],[FIELD]],FIELDACRE,5,FALSE)</f>
        <v>5798</v>
      </c>
      <c r="G39" s="570">
        <f t="shared" si="2"/>
        <v>78.849999999999994</v>
      </c>
      <c r="H39" s="569" t="str">
        <f>IFERROR(VLOOKUP(ROTATIONTBL[[#This Row],[FIELD]],ROTATIONRG,6,FALSE)," ")</f>
        <v xml:space="preserve">HARD </v>
      </c>
      <c r="I39" s="569" t="str">
        <f>IFERROR(VLOOKUP(ROTATIONTBL[[#This Row],[FIELD]],FFTBL[[Field]:[COUNTY2]],7,FALSE)," ")</f>
        <v>PHILLIPS</v>
      </c>
      <c r="J39" s="569"/>
      <c r="K39" s="569"/>
      <c r="L39" s="569"/>
      <c r="M39" s="569"/>
      <c r="N39" s="569"/>
      <c r="O39" s="569" t="s">
        <v>117</v>
      </c>
      <c r="P39" s="569" t="s">
        <v>295</v>
      </c>
      <c r="Q39" s="569" t="s">
        <v>283</v>
      </c>
      <c r="R39" s="569"/>
      <c r="S39" s="569" t="s">
        <v>283</v>
      </c>
      <c r="T39" s="569" t="s">
        <v>291</v>
      </c>
      <c r="U39" s="569" t="s">
        <v>285</v>
      </c>
      <c r="V39" s="569" t="s">
        <v>295</v>
      </c>
      <c r="W39" s="572"/>
      <c r="X39" s="572"/>
      <c r="Y39" s="569"/>
      <c r="Z39" s="569"/>
      <c r="AA39" s="571" t="s">
        <v>720</v>
      </c>
      <c r="AB39" s="572">
        <v>45202</v>
      </c>
      <c r="AC39" s="569"/>
    </row>
    <row r="40" spans="1:29" ht="15.75" x14ac:dyDescent="0.25">
      <c r="A40" s="568" t="s">
        <v>20</v>
      </c>
      <c r="B40" s="568" t="s">
        <v>35</v>
      </c>
      <c r="C40" s="637" t="s">
        <v>271</v>
      </c>
      <c r="D40" s="569" t="str">
        <f>VLOOKUP(ROTATIONTBL[[#This Row],[FIELD]],FIELDACRE,3,FALSE)</f>
        <v>NW 29-7-47</v>
      </c>
      <c r="E40" s="569">
        <f>VLOOKUP(ROTATIONTBL[[#This Row],[FIELD]],FIELDACRE,4,FALSE)</f>
        <v>4667</v>
      </c>
      <c r="F40" s="569">
        <f>VLOOKUP(ROTATIONTBL[[#This Row],[FIELD]],FIELDACRE,5,FALSE)</f>
        <v>5798</v>
      </c>
      <c r="G40" s="570">
        <f t="shared" si="2"/>
        <v>78.8</v>
      </c>
      <c r="H40" s="569" t="str">
        <f>IFERROR(VLOOKUP(ROTATIONTBL[[#This Row],[FIELD]],ROTATIONRG,6,FALSE)," ")</f>
        <v xml:space="preserve">HARD </v>
      </c>
      <c r="I40" s="569" t="str">
        <f>IFERROR(VLOOKUP(ROTATIONTBL[[#This Row],[FIELD]],FFTBL[[Field]:[COUNTY2]],7,FALSE)," ")</f>
        <v>PHILLIPS</v>
      </c>
      <c r="J40" s="569"/>
      <c r="K40" s="569"/>
      <c r="L40" s="569"/>
      <c r="M40" s="569"/>
      <c r="N40" s="569"/>
      <c r="O40" s="569" t="s">
        <v>117</v>
      </c>
      <c r="P40" s="569" t="s">
        <v>295</v>
      </c>
      <c r="Q40" s="569" t="s">
        <v>283</v>
      </c>
      <c r="R40" s="569"/>
      <c r="S40" s="569" t="s">
        <v>291</v>
      </c>
      <c r="T40" s="569" t="s">
        <v>285</v>
      </c>
      <c r="U40" s="569" t="s">
        <v>295</v>
      </c>
      <c r="V40" s="569" t="s">
        <v>283</v>
      </c>
      <c r="W40" s="572"/>
      <c r="X40" s="572"/>
      <c r="Y40" s="569"/>
      <c r="Z40" s="569"/>
      <c r="AA40" s="571" t="s">
        <v>720</v>
      </c>
      <c r="AB40" s="572">
        <v>45202</v>
      </c>
      <c r="AC40" s="569"/>
    </row>
    <row r="41" spans="1:29" ht="15.75" x14ac:dyDescent="0.25">
      <c r="A41" s="568" t="s">
        <v>20</v>
      </c>
      <c r="B41" s="568" t="s">
        <v>26</v>
      </c>
      <c r="C41" s="568" t="s">
        <v>196</v>
      </c>
      <c r="D41" s="569" t="str">
        <f>VLOOKUP(ROTATIONTBL[[#This Row],[FIELD]],FIELDACRE,3,FALSE)</f>
        <v>NW13-9-47</v>
      </c>
      <c r="E41" s="569">
        <f>VLOOKUP(ROTATIONTBL[[#This Row],[FIELD]],FIELDACRE,4,FALSE)</f>
        <v>0</v>
      </c>
      <c r="F41" s="569">
        <f>VLOOKUP(ROTATIONTBL[[#This Row],[FIELD]],FIELDACRE,5,FALSE)</f>
        <v>0</v>
      </c>
      <c r="G41" s="570">
        <f t="shared" si="2"/>
        <v>52.1</v>
      </c>
      <c r="H41" s="569" t="str">
        <f>IFERROR(VLOOKUP(ROTATIONTBL[[#This Row],[FIELD]],ROTATIONRG,6,FALSE)," ")</f>
        <v>PASTURE</v>
      </c>
      <c r="I41" s="569" t="str">
        <f>IFERROR(VLOOKUP(ROTATIONTBL[[#This Row],[FIELD]],FFTBL[[Field]:[COUNTY2]],7,FALSE)," ")</f>
        <v>SEDGWICK</v>
      </c>
      <c r="J41" s="569"/>
      <c r="K41" s="569"/>
      <c r="L41" s="569"/>
      <c r="M41" s="569"/>
      <c r="N41" s="569"/>
      <c r="O41" s="569"/>
      <c r="P41" s="569" t="s">
        <v>108</v>
      </c>
      <c r="Q41" s="569" t="s">
        <v>108</v>
      </c>
      <c r="R41" s="569"/>
      <c r="S41" s="569" t="s">
        <v>108</v>
      </c>
      <c r="T41" s="569" t="s">
        <v>108</v>
      </c>
      <c r="U41" s="569" t="s">
        <v>108</v>
      </c>
      <c r="V41" s="569" t="s">
        <v>108</v>
      </c>
      <c r="W41" s="572"/>
      <c r="X41" s="572"/>
      <c r="Y41" s="569"/>
      <c r="Z41" s="569"/>
      <c r="AA41" s="571"/>
      <c r="AB41" s="572"/>
      <c r="AC41" s="569"/>
    </row>
    <row r="42" spans="1:29" ht="15.75" x14ac:dyDescent="0.25">
      <c r="A42" s="568" t="s">
        <v>20</v>
      </c>
      <c r="B42" s="568" t="s">
        <v>21</v>
      </c>
      <c r="C42" s="637" t="s">
        <v>154</v>
      </c>
      <c r="D42" s="569" t="str">
        <f>VLOOKUP(ROTATIONTBL[[#This Row],[FIELD]],FIELDACRE,3,FALSE)</f>
        <v>SE4 14-7-48</v>
      </c>
      <c r="E42" s="569">
        <f>VLOOKUP(ROTATIONTBL[[#This Row],[FIELD]],FIELDACRE,4,FALSE)</f>
        <v>3438</v>
      </c>
      <c r="F42" s="569">
        <f>VLOOKUP(ROTATIONTBL[[#This Row],[FIELD]],FIELDACRE,5,FALSE)</f>
        <v>3460</v>
      </c>
      <c r="G42" s="570">
        <f t="shared" si="2"/>
        <v>74.900000000000006</v>
      </c>
      <c r="H42" s="569" t="str">
        <f>IFERROR(VLOOKUP(ROTATIONTBL[[#This Row],[FIELD]],ROTATIONRG,6,FALSE)," ")</f>
        <v xml:space="preserve">HARD </v>
      </c>
      <c r="I42" s="569" t="str">
        <f>IFERROR(VLOOKUP(ROTATIONTBL[[#This Row],[FIELD]],FFTBL[[Field]:[COUNTY2]],7,FALSE)," ")</f>
        <v>LOGAN</v>
      </c>
      <c r="J42" s="569"/>
      <c r="K42" s="569"/>
      <c r="L42" s="569"/>
      <c r="M42" s="569"/>
      <c r="N42" s="569"/>
      <c r="O42" s="569" t="s">
        <v>117</v>
      </c>
      <c r="P42" s="569" t="s">
        <v>291</v>
      </c>
      <c r="Q42" s="569" t="s">
        <v>285</v>
      </c>
      <c r="R42" s="569"/>
      <c r="S42" s="569" t="s">
        <v>295</v>
      </c>
      <c r="T42" s="569" t="s">
        <v>283</v>
      </c>
      <c r="U42" s="569" t="s">
        <v>291</v>
      </c>
      <c r="V42" s="569" t="s">
        <v>285</v>
      </c>
      <c r="W42" s="572"/>
      <c r="X42" s="572"/>
      <c r="Y42" s="569"/>
      <c r="Z42" s="569"/>
      <c r="AA42" s="571"/>
      <c r="AB42" s="569"/>
      <c r="AC42" s="569"/>
    </row>
    <row r="43" spans="1:29" ht="15.75" x14ac:dyDescent="0.25">
      <c r="A43" s="568" t="s">
        <v>20</v>
      </c>
      <c r="B43" s="568" t="s">
        <v>28</v>
      </c>
      <c r="C43" s="637" t="s">
        <v>214</v>
      </c>
      <c r="D43" s="569" t="str">
        <f>VLOOKUP(ROTATIONTBL[[#This Row],[FIELD]],FIELDACRE,3,FALSE)</f>
        <v>SW4 35-7-47</v>
      </c>
      <c r="E43" s="569">
        <f>VLOOKUP(ROTATIONTBL[[#This Row],[FIELD]],FIELDACRE,4,FALSE)</f>
        <v>4063</v>
      </c>
      <c r="F43" s="569">
        <f>VLOOKUP(ROTATIONTBL[[#This Row],[FIELD]],FIELDACRE,5,FALSE)</f>
        <v>4015</v>
      </c>
      <c r="G43" s="570">
        <f t="shared" si="2"/>
        <v>79.2</v>
      </c>
      <c r="H43" s="569" t="str">
        <f>IFERROR(VLOOKUP(ROTATIONTBL[[#This Row],[FIELD]],ROTATIONRG,6,FALSE)," ")</f>
        <v xml:space="preserve">HARD </v>
      </c>
      <c r="I43" s="569" t="str">
        <f>IFERROR(VLOOKUP(ROTATIONTBL[[#This Row],[FIELD]],FFTBL[[Field]:[COUNTY2]],7,FALSE)," ")</f>
        <v>PHILLIPS</v>
      </c>
      <c r="J43" s="569" t="s">
        <v>283</v>
      </c>
      <c r="K43" s="569" t="s">
        <v>283</v>
      </c>
      <c r="L43" s="569" t="s">
        <v>283</v>
      </c>
      <c r="M43" s="569" t="s">
        <v>708</v>
      </c>
      <c r="N43" s="569" t="s">
        <v>283</v>
      </c>
      <c r="O43" s="569" t="s">
        <v>117</v>
      </c>
      <c r="P43" s="569" t="s">
        <v>291</v>
      </c>
      <c r="Q43" s="569" t="s">
        <v>285</v>
      </c>
      <c r="R43" s="569"/>
      <c r="S43" s="569" t="s">
        <v>295</v>
      </c>
      <c r="T43" s="569" t="s">
        <v>291</v>
      </c>
      <c r="U43" s="569" t="s">
        <v>285</v>
      </c>
      <c r="V43" s="569" t="s">
        <v>295</v>
      </c>
      <c r="W43" s="572">
        <v>44334</v>
      </c>
      <c r="X43" s="569" t="s">
        <v>721</v>
      </c>
      <c r="Y43" s="569"/>
      <c r="Z43" s="569"/>
      <c r="AA43" s="571"/>
      <c r="AB43" s="569"/>
      <c r="AC43" s="569"/>
    </row>
    <row r="44" spans="1:29" ht="15.75" x14ac:dyDescent="0.25">
      <c r="A44" s="568" t="s">
        <v>20</v>
      </c>
      <c r="B44" s="568" t="s">
        <v>28</v>
      </c>
      <c r="C44" s="637" t="s">
        <v>222</v>
      </c>
      <c r="D44" s="569" t="str">
        <f>VLOOKUP(ROTATIONTBL[[#This Row],[FIELD]],FIELDACRE,3,FALSE)</f>
        <v>NE 14-7-48</v>
      </c>
      <c r="E44" s="569">
        <f>VLOOKUP(ROTATIONTBL[[#This Row],[FIELD]],FIELDACRE,4,FALSE)</f>
        <v>4112</v>
      </c>
      <c r="F44" s="569">
        <f>VLOOKUP(ROTATIONTBL[[#This Row],[FIELD]],FIELDACRE,5,FALSE)</f>
        <v>4044</v>
      </c>
      <c r="G44" s="570">
        <v>50</v>
      </c>
      <c r="H44" s="569" t="str">
        <f>IFERROR(VLOOKUP(ROTATIONTBL[[#This Row],[FIELD]],ROTATIONRG,6,FALSE)," ")</f>
        <v xml:space="preserve">HARD </v>
      </c>
      <c r="I44" s="569" t="str">
        <f>IFERROR(VLOOKUP(ROTATIONTBL[[#This Row],[FIELD]],FFTBL[[Field]:[COUNTY2]],7,FALSE)," ")</f>
        <v>LOGAN</v>
      </c>
      <c r="J44" s="569"/>
      <c r="K44" s="569"/>
      <c r="L44" s="569"/>
      <c r="M44" s="569"/>
      <c r="N44" s="569"/>
      <c r="O44" s="569"/>
      <c r="P44" s="569" t="s">
        <v>117</v>
      </c>
      <c r="Q44" s="569" t="s">
        <v>291</v>
      </c>
      <c r="R44" s="569"/>
      <c r="S44" s="569" t="s">
        <v>285</v>
      </c>
      <c r="T44" s="569" t="s">
        <v>283</v>
      </c>
      <c r="U44" s="569" t="s">
        <v>291</v>
      </c>
      <c r="V44" s="569" t="s">
        <v>285</v>
      </c>
      <c r="W44" s="572"/>
      <c r="X44" s="569"/>
      <c r="Y44" s="569"/>
      <c r="Z44" s="569"/>
      <c r="AA44" s="571"/>
      <c r="AB44" s="569"/>
      <c r="AC44" s="569"/>
    </row>
    <row r="45" spans="1:29" ht="15.75" x14ac:dyDescent="0.25">
      <c r="A45" s="568" t="s">
        <v>20</v>
      </c>
      <c r="B45" s="568" t="s">
        <v>26</v>
      </c>
      <c r="C45" s="568" t="s">
        <v>203</v>
      </c>
      <c r="D45" s="569">
        <f>VLOOKUP(ROTATIONTBL[[#This Row],[FIELD]],FIELDACRE,3,FALSE)</f>
        <v>0</v>
      </c>
      <c r="E45" s="569">
        <f>VLOOKUP(ROTATIONTBL[[#This Row],[FIELD]],FIELDACRE,4,FALSE)</f>
        <v>0</v>
      </c>
      <c r="F45" s="569">
        <f>VLOOKUP(ROTATIONTBL[[#This Row],[FIELD]],FIELDACRE,5,FALSE)</f>
        <v>0</v>
      </c>
      <c r="G45" s="570">
        <f t="shared" ref="G45:G52" si="3">IFERROR(VLOOKUP(C45,ROTATIONRG,2,FALSE)," ")</f>
        <v>80</v>
      </c>
      <c r="H45" s="569" t="str">
        <f>IFERROR(VLOOKUP(ROTATIONTBL[[#This Row],[FIELD]],ROTATIONRG,6,FALSE)," ")</f>
        <v>SAND</v>
      </c>
      <c r="I45" s="569" t="str">
        <f>IFERROR(VLOOKUP(ROTATIONTBL[[#This Row],[FIELD]],FFTBL[[Field]:[COUNTY2]],7,FALSE)," ")</f>
        <v>SEDGWICK</v>
      </c>
      <c r="J45" s="569"/>
      <c r="K45" s="569"/>
      <c r="L45" s="569"/>
      <c r="M45" s="569"/>
      <c r="N45" s="569"/>
      <c r="O45" s="569"/>
      <c r="P45" s="569" t="s">
        <v>117</v>
      </c>
      <c r="Q45" s="569" t="s">
        <v>117</v>
      </c>
      <c r="R45" s="569"/>
      <c r="S45" s="569" t="s">
        <v>117</v>
      </c>
      <c r="T45" s="569" t="s">
        <v>117</v>
      </c>
      <c r="U45" s="569" t="s">
        <v>117</v>
      </c>
      <c r="V45" s="569" t="s">
        <v>117</v>
      </c>
      <c r="W45" s="572"/>
      <c r="X45" s="572"/>
      <c r="Y45" s="569"/>
      <c r="Z45" s="569"/>
      <c r="AA45" s="569"/>
      <c r="AB45" s="569"/>
      <c r="AC45" s="569"/>
    </row>
    <row r="46" spans="1:29" ht="15.75" x14ac:dyDescent="0.25">
      <c r="A46" s="568" t="s">
        <v>20</v>
      </c>
      <c r="B46" s="568" t="s">
        <v>32</v>
      </c>
      <c r="C46" s="637" t="s">
        <v>235</v>
      </c>
      <c r="D46" s="569" t="str">
        <f>VLOOKUP(ROTATIONTBL[[#This Row],[FIELD]],FIELDACRE,3,FALSE)</f>
        <v>NE4 11-8-47</v>
      </c>
      <c r="E46" s="569">
        <f>VLOOKUP(ROTATIONTBL[[#This Row],[FIELD]],FIELDACRE,4,FALSE)</f>
        <v>2522</v>
      </c>
      <c r="F46" s="569">
        <f>VLOOKUP(ROTATIONTBL[[#This Row],[FIELD]],FIELDACRE,5,FALSE)</f>
        <v>1521</v>
      </c>
      <c r="G46" s="570">
        <f t="shared" si="3"/>
        <v>78.400000000000006</v>
      </c>
      <c r="H46" s="569" t="str">
        <f>IFERROR(VLOOKUP(ROTATIONTBL[[#This Row],[FIELD]],ROTATIONRG,6,FALSE)," ")</f>
        <v>LOAM</v>
      </c>
      <c r="I46" s="569" t="str">
        <f>IFERROR(VLOOKUP(ROTATIONTBL[[#This Row],[FIELD]],FFTBL[[Field]:[COUNTY2]],7,FALSE)," ")</f>
        <v>PHILLIPS</v>
      </c>
      <c r="J46" s="569" t="s">
        <v>113</v>
      </c>
      <c r="K46" s="569" t="s">
        <v>295</v>
      </c>
      <c r="L46" s="569" t="s">
        <v>287</v>
      </c>
      <c r="M46" s="569" t="s">
        <v>284</v>
      </c>
      <c r="N46" s="569" t="s">
        <v>294</v>
      </c>
      <c r="O46" s="569" t="s">
        <v>117</v>
      </c>
      <c r="P46" s="569" t="s">
        <v>291</v>
      </c>
      <c r="Q46" s="569" t="s">
        <v>285</v>
      </c>
      <c r="R46" s="569"/>
      <c r="S46" s="569" t="s">
        <v>295</v>
      </c>
      <c r="T46" s="569" t="s">
        <v>283</v>
      </c>
      <c r="U46" s="569" t="s">
        <v>291</v>
      </c>
      <c r="V46" s="569" t="s">
        <v>285</v>
      </c>
      <c r="W46" s="569"/>
      <c r="X46" s="569"/>
      <c r="Y46" s="569"/>
      <c r="Z46" s="569"/>
      <c r="AA46" s="571"/>
      <c r="AB46" s="569"/>
      <c r="AC46" s="569"/>
    </row>
    <row r="47" spans="1:29" ht="15.75" x14ac:dyDescent="0.25">
      <c r="A47" s="568" t="s">
        <v>20</v>
      </c>
      <c r="B47" s="568" t="s">
        <v>32</v>
      </c>
      <c r="C47" s="637" t="s">
        <v>240</v>
      </c>
      <c r="D47" s="569" t="str">
        <f>VLOOKUP(ROTATIONTBL[[#This Row],[FIELD]],FIELDACRE,3,FALSE)</f>
        <v>NW4 12-8-47</v>
      </c>
      <c r="E47" s="569">
        <f>VLOOKUP(ROTATIONTBL[[#This Row],[FIELD]],FIELDACRE,4,FALSE)</f>
        <v>2522</v>
      </c>
      <c r="F47" s="569">
        <f>VLOOKUP(ROTATIONTBL[[#This Row],[FIELD]],FIELDACRE,5,FALSE)</f>
        <v>3251</v>
      </c>
      <c r="G47" s="570">
        <f t="shared" si="3"/>
        <v>79.099999999999994</v>
      </c>
      <c r="H47" s="569" t="str">
        <f>IFERROR(VLOOKUP(ROTATIONTBL[[#This Row],[FIELD]],ROTATIONRG,6,FALSE)," ")</f>
        <v>LOAM</v>
      </c>
      <c r="I47" s="569" t="str">
        <f>IFERROR(VLOOKUP(ROTATIONTBL[[#This Row],[FIELD]],FFTBL[[Field]:[COUNTY2]],7,FALSE)," ")</f>
        <v>PHILLIPS</v>
      </c>
      <c r="J47" s="569" t="s">
        <v>293</v>
      </c>
      <c r="K47" s="569" t="s">
        <v>293</v>
      </c>
      <c r="L47" s="569" t="s">
        <v>284</v>
      </c>
      <c r="M47" s="569" t="s">
        <v>293</v>
      </c>
      <c r="N47" s="569" t="s">
        <v>284</v>
      </c>
      <c r="O47" s="569" t="s">
        <v>117</v>
      </c>
      <c r="P47" s="569" t="s">
        <v>291</v>
      </c>
      <c r="Q47" s="569" t="s">
        <v>285</v>
      </c>
      <c r="R47" s="569"/>
      <c r="S47" s="569" t="s">
        <v>295</v>
      </c>
      <c r="T47" s="569" t="s">
        <v>283</v>
      </c>
      <c r="U47" s="569" t="s">
        <v>291</v>
      </c>
      <c r="V47" s="569" t="s">
        <v>285</v>
      </c>
      <c r="W47" s="569"/>
      <c r="X47" s="569"/>
      <c r="Y47" s="569"/>
      <c r="Z47" s="569"/>
      <c r="AA47" s="571"/>
      <c r="AB47" s="569"/>
      <c r="AC47" s="569"/>
    </row>
    <row r="48" spans="1:29" ht="15.75" x14ac:dyDescent="0.25">
      <c r="A48" s="568" t="s">
        <v>20</v>
      </c>
      <c r="B48" s="568" t="s">
        <v>26</v>
      </c>
      <c r="C48" s="568" t="s">
        <v>208</v>
      </c>
      <c r="D48" s="569" t="str">
        <f>VLOOKUP(ROTATIONTBL[[#This Row],[FIELD]],FIELDACRE,3,FALSE)</f>
        <v>SW13-9-47</v>
      </c>
      <c r="E48" s="569">
        <f>VLOOKUP(ROTATIONTBL[[#This Row],[FIELD]],FIELDACRE,4,FALSE)</f>
        <v>0</v>
      </c>
      <c r="F48" s="569">
        <f>VLOOKUP(ROTATIONTBL[[#This Row],[FIELD]],FIELDACRE,5,FALSE)</f>
        <v>0</v>
      </c>
      <c r="G48" s="570">
        <f t="shared" si="3"/>
        <v>8</v>
      </c>
      <c r="H48" s="569" t="str">
        <f>IFERROR(VLOOKUP(ROTATIONTBL[[#This Row],[FIELD]],ROTATIONRG,6,FALSE)," ")</f>
        <v>BUILDING SITE</v>
      </c>
      <c r="I48" s="569" t="str">
        <f>IFERROR(VLOOKUP(ROTATIONTBL[[#This Row],[FIELD]],FFTBL[[Field]:[COUNTY2]],7,FALSE)," ")</f>
        <v>SEDGWICK</v>
      </c>
      <c r="J48" s="569"/>
      <c r="K48" s="569"/>
      <c r="L48" s="569"/>
      <c r="M48" s="569"/>
      <c r="N48" s="569"/>
      <c r="O48" s="569"/>
      <c r="P48" s="569" t="s">
        <v>102</v>
      </c>
      <c r="Q48" s="569" t="s">
        <v>102</v>
      </c>
      <c r="R48" s="569"/>
      <c r="S48" s="569" t="s">
        <v>102</v>
      </c>
      <c r="T48" s="569" t="s">
        <v>102</v>
      </c>
      <c r="U48" s="569" t="s">
        <v>102</v>
      </c>
      <c r="V48" s="569" t="s">
        <v>102</v>
      </c>
      <c r="W48" s="572"/>
      <c r="X48" s="572"/>
      <c r="Y48" s="569"/>
      <c r="Z48" s="569"/>
      <c r="AA48" s="571"/>
      <c r="AB48" s="572"/>
      <c r="AC48" s="569"/>
    </row>
    <row r="49" spans="1:29" ht="15.75" x14ac:dyDescent="0.25">
      <c r="A49" s="568" t="s">
        <v>20</v>
      </c>
      <c r="B49" s="568" t="s">
        <v>26</v>
      </c>
      <c r="C49" s="568" t="s">
        <v>209</v>
      </c>
      <c r="D49" s="569" t="str">
        <f>VLOOKUP(ROTATIONTBL[[#This Row],[FIELD]],FIELDACRE,3,FALSE)</f>
        <v>NW4 17-7-48</v>
      </c>
      <c r="E49" s="569">
        <f>VLOOKUP(ROTATIONTBL[[#This Row],[FIELD]],FIELDACRE,4,FALSE)</f>
        <v>4210</v>
      </c>
      <c r="F49" s="569">
        <f>VLOOKUP(ROTATIONTBL[[#This Row],[FIELD]],FIELDACRE,5,FALSE)</f>
        <v>4045</v>
      </c>
      <c r="G49" s="570">
        <f t="shared" si="3"/>
        <v>6.38</v>
      </c>
      <c r="H49" s="569" t="str">
        <f>IFERROR(VLOOKUP(ROTATIONTBL[[#This Row],[FIELD]],ROTATIONRG,6,FALSE)," ")</f>
        <v xml:space="preserve">WASTE </v>
      </c>
      <c r="I49" s="569" t="str">
        <f>IFERROR(VLOOKUP(ROTATIONTBL[[#This Row],[FIELD]],FFTBL[[Field]:[COUNTY2]],7,FALSE)," ")</f>
        <v>LOGAN</v>
      </c>
      <c r="J49" s="569"/>
      <c r="K49" s="569"/>
      <c r="L49" s="569"/>
      <c r="M49" s="569"/>
      <c r="N49" s="569"/>
      <c r="O49" s="569"/>
      <c r="P49" s="569" t="s">
        <v>113</v>
      </c>
      <c r="Q49" s="569" t="s">
        <v>113</v>
      </c>
      <c r="R49" s="569"/>
      <c r="S49" s="569" t="s">
        <v>113</v>
      </c>
      <c r="T49" s="569" t="s">
        <v>113</v>
      </c>
      <c r="U49" s="569" t="s">
        <v>113</v>
      </c>
      <c r="V49" s="569" t="s">
        <v>113</v>
      </c>
      <c r="W49" s="572"/>
      <c r="X49" s="572"/>
      <c r="Y49" s="569"/>
      <c r="Z49" s="569"/>
      <c r="AA49" s="571"/>
      <c r="AB49" s="569"/>
      <c r="AC49" s="569"/>
    </row>
    <row r="50" spans="1:29" ht="15.75" x14ac:dyDescent="0.25">
      <c r="A50" s="568" t="s">
        <v>20</v>
      </c>
      <c r="B50" s="568" t="s">
        <v>28</v>
      </c>
      <c r="C50" s="568" t="s">
        <v>211</v>
      </c>
      <c r="D50" s="569" t="str">
        <f>VLOOKUP(ROTATIONTBL[[#This Row],[FIELD]],FIELDACRE,3,FALSE)</f>
        <v>SW4 35-7-47</v>
      </c>
      <c r="E50" s="569">
        <f>VLOOKUP(ROTATIONTBL[[#This Row],[FIELD]],FIELDACRE,4,FALSE)</f>
        <v>4063</v>
      </c>
      <c r="F50" s="569">
        <f>VLOOKUP(ROTATIONTBL[[#This Row],[FIELD]],FIELDACRE,5,FALSE)</f>
        <v>4015</v>
      </c>
      <c r="G50" s="570">
        <f t="shared" si="3"/>
        <v>158.4</v>
      </c>
      <c r="H50" s="569" t="str">
        <f>IFERROR(VLOOKUP(ROTATIONTBL[[#This Row],[FIELD]],ROTATIONRG,6,FALSE)," ")</f>
        <v xml:space="preserve">HARD </v>
      </c>
      <c r="I50" s="569" t="str">
        <f>IFERROR(VLOOKUP(ROTATIONTBL[[#This Row],[FIELD]],FFTBL[[Field]:[COUNTY2]],7,FALSE)," ")</f>
        <v>PHILLIPS</v>
      </c>
      <c r="J50" s="569" t="s">
        <v>316</v>
      </c>
      <c r="K50" s="569" t="s">
        <v>283</v>
      </c>
      <c r="L50" s="569" t="s">
        <v>287</v>
      </c>
      <c r="M50" s="569" t="s">
        <v>295</v>
      </c>
      <c r="N50" s="569" t="s">
        <v>283</v>
      </c>
      <c r="O50" s="569" t="s">
        <v>295</v>
      </c>
      <c r="P50" s="569" t="s">
        <v>117</v>
      </c>
      <c r="Q50" s="569" t="s">
        <v>117</v>
      </c>
      <c r="R50" s="569"/>
      <c r="S50" s="569" t="s">
        <v>117</v>
      </c>
      <c r="T50" s="569" t="s">
        <v>117</v>
      </c>
      <c r="U50" s="569" t="s">
        <v>117</v>
      </c>
      <c r="V50" s="569" t="s">
        <v>117</v>
      </c>
      <c r="W50" s="572">
        <v>44089</v>
      </c>
      <c r="X50" s="569" t="s">
        <v>722</v>
      </c>
      <c r="Y50" s="569"/>
      <c r="Z50" s="569"/>
      <c r="AA50" s="572" t="s">
        <v>706</v>
      </c>
      <c r="AB50" s="569" t="s">
        <v>707</v>
      </c>
      <c r="AC50" s="569"/>
    </row>
    <row r="51" spans="1:29" ht="15.75" x14ac:dyDescent="0.25">
      <c r="A51" s="568" t="s">
        <v>20</v>
      </c>
      <c r="B51" s="568" t="s">
        <v>35</v>
      </c>
      <c r="C51" s="637" t="s">
        <v>264</v>
      </c>
      <c r="D51" s="569" t="str">
        <f>VLOOKUP(ROTATIONTBL[[#This Row],[FIELD]],FIELDACRE,3,FALSE)</f>
        <v>SW 33-7-46</v>
      </c>
      <c r="E51" s="569">
        <f>VLOOKUP(ROTATIONTBL[[#This Row],[FIELD]],FIELDACRE,4,FALSE)</f>
        <v>247</v>
      </c>
      <c r="F51" s="569">
        <f>VLOOKUP(ROTATIONTBL[[#This Row],[FIELD]],FIELDACRE,5,FALSE)</f>
        <v>1311</v>
      </c>
      <c r="G51" s="570">
        <f t="shared" si="3"/>
        <v>68.010000000000005</v>
      </c>
      <c r="H51" s="569" t="str">
        <f>IFERROR(VLOOKUP(ROTATIONTBL[[#This Row],[FIELD]],ROTATIONRG,6,FALSE)," ")</f>
        <v xml:space="preserve">HARD </v>
      </c>
      <c r="I51" s="569" t="str">
        <f>IFERROR(VLOOKUP(ROTATIONTBL[[#This Row],[FIELD]],FFTBL[[Field]:[COUNTY2]],7,FALSE)," ")</f>
        <v>PHILLIPS</v>
      </c>
      <c r="J51" s="569"/>
      <c r="K51" s="569"/>
      <c r="L51" s="569"/>
      <c r="M51" s="569"/>
      <c r="N51" s="569"/>
      <c r="O51" s="569" t="s">
        <v>117</v>
      </c>
      <c r="P51" s="569" t="s">
        <v>291</v>
      </c>
      <c r="Q51" s="569" t="s">
        <v>285</v>
      </c>
      <c r="R51" s="569"/>
      <c r="S51" s="569" t="s">
        <v>295</v>
      </c>
      <c r="T51" s="569" t="s">
        <v>283</v>
      </c>
      <c r="U51" s="569" t="s">
        <v>291</v>
      </c>
      <c r="V51" s="569" t="s">
        <v>285</v>
      </c>
      <c r="W51" s="572"/>
      <c r="X51" s="572"/>
      <c r="Y51" s="569"/>
      <c r="Z51" s="569"/>
      <c r="AA51" s="571"/>
      <c r="AB51" s="569"/>
      <c r="AC51" s="569"/>
    </row>
    <row r="52" spans="1:29" ht="15.75" x14ac:dyDescent="0.25">
      <c r="A52" s="568" t="s">
        <v>20</v>
      </c>
      <c r="B52" s="568" t="s">
        <v>35</v>
      </c>
      <c r="C52" s="637" t="s">
        <v>267</v>
      </c>
      <c r="D52" s="569" t="str">
        <f>VLOOKUP(ROTATIONTBL[[#This Row],[FIELD]],FIELDACRE,3,FALSE)</f>
        <v>NE 20-8-47</v>
      </c>
      <c r="E52" s="569">
        <f>VLOOKUP(ROTATIONTBL[[#This Row],[FIELD]],FIELDACRE,4,FALSE)</f>
        <v>4207</v>
      </c>
      <c r="F52" s="569">
        <f>VLOOKUP(ROTATIONTBL[[#This Row],[FIELD]],FIELDACRE,5,FALSE)</f>
        <v>5418</v>
      </c>
      <c r="G52" s="570">
        <f t="shared" si="3"/>
        <v>82.75</v>
      </c>
      <c r="H52" s="569" t="str">
        <f>IFERROR(VLOOKUP(ROTATIONTBL[[#This Row],[FIELD]],ROTATIONRG,6,FALSE)," ")</f>
        <v>SAND</v>
      </c>
      <c r="I52" s="569" t="str">
        <f>IFERROR(VLOOKUP(ROTATIONTBL[[#This Row],[FIELD]],FFTBL[[Field]:[COUNTY2]],7,FALSE)," ")</f>
        <v>PHILLIPS</v>
      </c>
      <c r="J52" s="569"/>
      <c r="K52" s="569"/>
      <c r="L52" s="569"/>
      <c r="M52" s="569"/>
      <c r="N52" s="569"/>
      <c r="O52" s="569" t="s">
        <v>117</v>
      </c>
      <c r="P52" s="569" t="s">
        <v>291</v>
      </c>
      <c r="Q52" s="569" t="s">
        <v>285</v>
      </c>
      <c r="R52" s="569"/>
      <c r="S52" s="569" t="s">
        <v>295</v>
      </c>
      <c r="T52" s="569" t="s">
        <v>283</v>
      </c>
      <c r="U52" s="569" t="s">
        <v>291</v>
      </c>
      <c r="V52" s="569" t="s">
        <v>285</v>
      </c>
      <c r="W52" s="572"/>
      <c r="X52" s="572"/>
      <c r="Y52" s="569"/>
      <c r="Z52" s="569"/>
      <c r="AA52" s="571"/>
      <c r="AB52" s="569"/>
      <c r="AC52" s="569"/>
    </row>
    <row r="53" spans="1:29" ht="15.75" x14ac:dyDescent="0.25">
      <c r="A53" s="568" t="s">
        <v>20</v>
      </c>
      <c r="B53" s="568" t="s">
        <v>28</v>
      </c>
      <c r="C53" s="568" t="s">
        <v>215</v>
      </c>
      <c r="D53" s="569" t="str">
        <f>VLOOKUP(ROTATIONTBL[[#This Row],[FIELD]],FIELDACRE,3,FALSE)</f>
        <v>NE4 6-6-46</v>
      </c>
      <c r="E53" s="569">
        <f>VLOOKUP(ROTATIONTBL[[#This Row],[FIELD]],FIELDACRE,4,FALSE)</f>
        <v>50</v>
      </c>
      <c r="F53" s="569">
        <f>VLOOKUP(ROTATIONTBL[[#This Row],[FIELD]],FIELDACRE,5,FALSE)</f>
        <v>1339</v>
      </c>
      <c r="G53" s="570">
        <v>68.260000000000005</v>
      </c>
      <c r="H53" s="569" t="str">
        <f>IFERROR(VLOOKUP(ROTATIONTBL[[#This Row],[FIELD]],ROTATIONRG,6,FALSE)," ")</f>
        <v xml:space="preserve">HARD </v>
      </c>
      <c r="I53" s="569" t="str">
        <f>IFERROR(VLOOKUP(ROTATIONTBL[[#This Row],[FIELD]],FFTBL[[Field]:[COUNTY2]],7,FALSE)," ")</f>
        <v>PHILLIPS</v>
      </c>
      <c r="J53" s="569" t="s">
        <v>717</v>
      </c>
      <c r="K53" s="569" t="s">
        <v>316</v>
      </c>
      <c r="L53" s="569" t="s">
        <v>293</v>
      </c>
      <c r="M53" s="569" t="s">
        <v>294</v>
      </c>
      <c r="N53" s="569" t="s">
        <v>293</v>
      </c>
      <c r="O53" s="569" t="s">
        <v>295</v>
      </c>
      <c r="P53" s="569" t="s">
        <v>117</v>
      </c>
      <c r="Q53" s="569" t="s">
        <v>117</v>
      </c>
      <c r="R53" s="569"/>
      <c r="S53" s="569" t="s">
        <v>117</v>
      </c>
      <c r="T53" s="569" t="s">
        <v>117</v>
      </c>
      <c r="U53" s="569" t="s">
        <v>117</v>
      </c>
      <c r="V53" s="569" t="s">
        <v>117</v>
      </c>
      <c r="W53" s="569"/>
      <c r="X53" s="569"/>
      <c r="Y53" s="569"/>
      <c r="Z53" s="569"/>
      <c r="AA53" s="571"/>
      <c r="AB53" s="569"/>
      <c r="AC53" s="569"/>
    </row>
    <row r="54" spans="1:29" ht="15.75" x14ac:dyDescent="0.25">
      <c r="A54" s="568" t="s">
        <v>20</v>
      </c>
      <c r="B54" s="568" t="s">
        <v>80</v>
      </c>
      <c r="C54" s="637" t="s">
        <v>276</v>
      </c>
      <c r="D54" s="569" t="str">
        <f>VLOOKUP(ROTATIONTBL[[#This Row],[FIELD]],FIELDACRE,3,FALSE)</f>
        <v>NE4 28-7-48</v>
      </c>
      <c r="E54" s="569">
        <f>VLOOKUP(ROTATIONTBL[[#This Row],[FIELD]],FIELDACRE,4,FALSE)</f>
        <v>4114</v>
      </c>
      <c r="F54" s="569">
        <f>VLOOKUP(ROTATIONTBL[[#This Row],[FIELD]],FIELDACRE,5,FALSE)</f>
        <v>4048</v>
      </c>
      <c r="G54" s="570">
        <f t="shared" ref="G54:G59" si="4">IFERROR(VLOOKUP(C54,ROTATIONRG,2,FALSE)," ")</f>
        <v>78.8</v>
      </c>
      <c r="H54" s="569" t="str">
        <f>IFERROR(VLOOKUP(ROTATIONTBL[[#This Row],[FIELD]],ROTATIONRG,6,FALSE)," ")</f>
        <v xml:space="preserve">HARD </v>
      </c>
      <c r="I54" s="569" t="str">
        <f>IFERROR(VLOOKUP(ROTATIONTBL[[#This Row],[FIELD]],FFTBL[[Field]:[COUNTY2]],7,FALSE)," ")</f>
        <v>LOGAN</v>
      </c>
      <c r="J54" s="569"/>
      <c r="K54" s="569"/>
      <c r="L54" s="569"/>
      <c r="M54" s="569"/>
      <c r="N54" s="569"/>
      <c r="O54" s="569" t="s">
        <v>117</v>
      </c>
      <c r="P54" s="569" t="s">
        <v>291</v>
      </c>
      <c r="Q54" s="569" t="s">
        <v>285</v>
      </c>
      <c r="R54" s="569"/>
      <c r="S54" s="569" t="s">
        <v>295</v>
      </c>
      <c r="T54" s="569" t="s">
        <v>283</v>
      </c>
      <c r="U54" s="569" t="s">
        <v>291</v>
      </c>
      <c r="V54" s="569" t="s">
        <v>285</v>
      </c>
      <c r="W54" s="569"/>
      <c r="X54" s="572"/>
      <c r="Y54" s="569"/>
      <c r="Z54" s="569"/>
      <c r="AA54" s="571"/>
      <c r="AB54" s="569"/>
      <c r="AC54" s="569"/>
    </row>
    <row r="55" spans="1:29" ht="15.75" x14ac:dyDescent="0.25">
      <c r="A55" s="568" t="s">
        <v>20</v>
      </c>
      <c r="B55" s="568" t="s">
        <v>80</v>
      </c>
      <c r="C55" s="637" t="s">
        <v>281</v>
      </c>
      <c r="D55" s="569" t="str">
        <f>VLOOKUP(ROTATIONTBL[[#This Row],[FIELD]],FIELDACRE,3,FALSE)</f>
        <v>SE4 35-7-47</v>
      </c>
      <c r="E55" s="569">
        <f>VLOOKUP(ROTATIONTBL[[#This Row],[FIELD]],FIELDACRE,4,FALSE)</f>
        <v>6759</v>
      </c>
      <c r="F55" s="569">
        <f>VLOOKUP(ROTATIONTBL[[#This Row],[FIELD]],FIELDACRE,5,FALSE)</f>
        <v>3794</v>
      </c>
      <c r="G55" s="570">
        <f t="shared" si="4"/>
        <v>78.900000000000006</v>
      </c>
      <c r="H55" s="569" t="str">
        <f>IFERROR(VLOOKUP(ROTATIONTBL[[#This Row],[FIELD]],ROTATIONRG,6,FALSE)," ")</f>
        <v xml:space="preserve">HARD </v>
      </c>
      <c r="I55" s="569" t="str">
        <f>IFERROR(VLOOKUP(ROTATIONTBL[[#This Row],[FIELD]],FFTBL[[Field]:[COUNTY2]],7,FALSE)," ")</f>
        <v>PHILLIPS</v>
      </c>
      <c r="J55" s="569" t="s">
        <v>283</v>
      </c>
      <c r="K55" s="569" t="s">
        <v>285</v>
      </c>
      <c r="L55" s="569" t="s">
        <v>295</v>
      </c>
      <c r="M55" s="569" t="s">
        <v>283</v>
      </c>
      <c r="N55" s="569" t="s">
        <v>285</v>
      </c>
      <c r="O55" s="569" t="s">
        <v>295</v>
      </c>
      <c r="P55" s="569" t="s">
        <v>291</v>
      </c>
      <c r="Q55" s="569" t="s">
        <v>285</v>
      </c>
      <c r="R55" s="569"/>
      <c r="S55" s="569" t="s">
        <v>295</v>
      </c>
      <c r="T55" s="569" t="s">
        <v>283</v>
      </c>
      <c r="U55" s="569" t="s">
        <v>291</v>
      </c>
      <c r="V55" s="569" t="s">
        <v>285</v>
      </c>
      <c r="W55" s="572">
        <v>44341</v>
      </c>
      <c r="X55" s="569"/>
      <c r="Y55" s="569"/>
      <c r="Z55" s="569"/>
      <c r="AA55" s="571"/>
      <c r="AB55" s="569"/>
      <c r="AC55" s="569"/>
    </row>
    <row r="56" spans="1:29" ht="15.75" x14ac:dyDescent="0.25">
      <c r="A56" s="568" t="s">
        <v>20</v>
      </c>
      <c r="B56" s="568" t="s">
        <v>28</v>
      </c>
      <c r="C56" s="568" t="s">
        <v>30</v>
      </c>
      <c r="D56" s="569" t="str">
        <f>VLOOKUP(ROTATIONTBL[[#This Row],[FIELD]],FIELDACRE,3,FALSE)</f>
        <v>NE 14-7-48</v>
      </c>
      <c r="E56" s="569">
        <f>VLOOKUP(ROTATIONTBL[[#This Row],[FIELD]],FIELDACRE,4,FALSE)</f>
        <v>4112</v>
      </c>
      <c r="F56" s="569">
        <f>VLOOKUP(ROTATIONTBL[[#This Row],[FIELD]],FIELDACRE,5,FALSE)</f>
        <v>4044</v>
      </c>
      <c r="G56" s="570">
        <f t="shared" si="4"/>
        <v>101.9</v>
      </c>
      <c r="H56" s="569" t="str">
        <f>IFERROR(VLOOKUP(ROTATIONTBL[[#This Row],[FIELD]],ROTATIONRG,6,FALSE)," ")</f>
        <v xml:space="preserve">HARD </v>
      </c>
      <c r="I56" s="569" t="str">
        <f>IFERROR(VLOOKUP(ROTATIONTBL[[#This Row],[FIELD]],FFTBL[[Field]:[COUNTY2]],7,FALSE)," ")</f>
        <v>LOGAN</v>
      </c>
      <c r="J56" s="569"/>
      <c r="K56" s="569"/>
      <c r="L56" s="569"/>
      <c r="M56" s="569"/>
      <c r="N56" s="569"/>
      <c r="O56" s="569" t="s">
        <v>285</v>
      </c>
      <c r="P56" s="569" t="s">
        <v>295</v>
      </c>
      <c r="Q56" s="569" t="s">
        <v>117</v>
      </c>
      <c r="R56" s="569"/>
      <c r="S56" s="569" t="s">
        <v>117</v>
      </c>
      <c r="T56" s="569" t="s">
        <v>117</v>
      </c>
      <c r="U56" s="569" t="s">
        <v>117</v>
      </c>
      <c r="V56" s="569" t="s">
        <v>117</v>
      </c>
      <c r="W56" s="572"/>
      <c r="X56" s="569"/>
      <c r="Y56" s="569"/>
      <c r="Z56" s="569"/>
      <c r="AA56" s="571" t="s">
        <v>723</v>
      </c>
      <c r="AB56" s="572">
        <v>45203</v>
      </c>
      <c r="AC56" s="569"/>
    </row>
    <row r="57" spans="1:29" ht="15.75" x14ac:dyDescent="0.25">
      <c r="A57" s="568" t="s">
        <v>20</v>
      </c>
      <c r="B57" s="568" t="s">
        <v>21</v>
      </c>
      <c r="C57" s="637" t="s">
        <v>162</v>
      </c>
      <c r="D57" s="569" t="str">
        <f>VLOOKUP(ROTATIONTBL[[#This Row],[FIELD]],FIELDACRE,3,FALSE)</f>
        <v>E2 7-9-46</v>
      </c>
      <c r="E57" s="569">
        <f>VLOOKUP(ROTATIONTBL[[#This Row],[FIELD]],FIELDACRE,4,FALSE)</f>
        <v>3939</v>
      </c>
      <c r="F57" s="569">
        <f>VLOOKUP(ROTATIONTBL[[#This Row],[FIELD]],FIELDACRE,5,FALSE)</f>
        <v>3938</v>
      </c>
      <c r="G57" s="570">
        <f t="shared" si="4"/>
        <v>62.85</v>
      </c>
      <c r="H57" s="569" t="str">
        <f>IFERROR(VLOOKUP(ROTATIONTBL[[#This Row],[FIELD]],ROTATIONRG,6,FALSE)," ")</f>
        <v>SAND</v>
      </c>
      <c r="I57" s="569" t="str">
        <f>IFERROR(VLOOKUP(ROTATIONTBL[[#This Row],[FIELD]],FFTBL[[Field]:[COUNTY2]],7,FALSE)," ")</f>
        <v>SEDGWICK</v>
      </c>
      <c r="J57" s="569"/>
      <c r="K57" s="569"/>
      <c r="L57" s="569"/>
      <c r="M57" s="569"/>
      <c r="N57" s="569"/>
      <c r="O57" s="569" t="s">
        <v>117</v>
      </c>
      <c r="P57" s="569" t="s">
        <v>291</v>
      </c>
      <c r="Q57" s="569" t="s">
        <v>289</v>
      </c>
      <c r="R57" s="569"/>
      <c r="S57" s="569" t="s">
        <v>283</v>
      </c>
      <c r="T57" s="569" t="s">
        <v>283</v>
      </c>
      <c r="U57" s="569" t="s">
        <v>291</v>
      </c>
      <c r="V57" s="569" t="s">
        <v>289</v>
      </c>
      <c r="W57" s="572"/>
      <c r="X57" s="572"/>
      <c r="Y57" s="569"/>
      <c r="Z57" s="569"/>
      <c r="AA57" s="571"/>
      <c r="AB57" s="569"/>
      <c r="AC57" s="569"/>
    </row>
    <row r="58" spans="1:29" ht="15.75" x14ac:dyDescent="0.25">
      <c r="A58" s="568" t="s">
        <v>20</v>
      </c>
      <c r="B58" s="568" t="s">
        <v>21</v>
      </c>
      <c r="C58" s="637" t="s">
        <v>149</v>
      </c>
      <c r="D58" s="569" t="str">
        <f>VLOOKUP(ROTATIONTBL[[#This Row],[FIELD]],FIELDACRE,3,FALSE)</f>
        <v>SW4 14-7-48</v>
      </c>
      <c r="E58" s="569">
        <f>VLOOKUP(ROTATIONTBL[[#This Row],[FIELD]],FIELDACRE,4,FALSE)</f>
        <v>3438</v>
      </c>
      <c r="F58" s="569">
        <f>VLOOKUP(ROTATIONTBL[[#This Row],[FIELD]],FIELDACRE,5,FALSE)</f>
        <v>1750</v>
      </c>
      <c r="G58" s="570">
        <f t="shared" si="4"/>
        <v>78.599999999999994</v>
      </c>
      <c r="H58" s="569" t="str">
        <f>IFERROR(VLOOKUP(ROTATIONTBL[[#This Row],[FIELD]],ROTATIONRG,6,FALSE)," ")</f>
        <v xml:space="preserve">HARD </v>
      </c>
      <c r="I58" s="569" t="str">
        <f>IFERROR(VLOOKUP(ROTATIONTBL[[#This Row],[FIELD]],FFTBL[[Field]:[COUNTY2]],7,FALSE)," ")</f>
        <v>LOGAN</v>
      </c>
      <c r="J58" s="569"/>
      <c r="K58" s="569"/>
      <c r="L58" s="569"/>
      <c r="M58" s="569"/>
      <c r="N58" s="569"/>
      <c r="O58" s="569" t="s">
        <v>117</v>
      </c>
      <c r="P58" s="569" t="s">
        <v>283</v>
      </c>
      <c r="Q58" s="569" t="s">
        <v>291</v>
      </c>
      <c r="R58" s="569"/>
      <c r="S58" s="569" t="s">
        <v>285</v>
      </c>
      <c r="T58" s="569" t="s">
        <v>295</v>
      </c>
      <c r="U58" s="569" t="s">
        <v>283</v>
      </c>
      <c r="V58" s="569" t="s">
        <v>291</v>
      </c>
      <c r="W58" s="572"/>
      <c r="X58" s="572"/>
      <c r="Y58" s="569"/>
      <c r="Z58" s="569"/>
      <c r="AA58" s="571"/>
      <c r="AB58" s="569"/>
      <c r="AC58" s="569"/>
    </row>
    <row r="59" spans="1:29" ht="15.75" x14ac:dyDescent="0.25">
      <c r="A59" s="568" t="s">
        <v>20</v>
      </c>
      <c r="B59" s="568" t="s">
        <v>28</v>
      </c>
      <c r="C59" s="568" t="s">
        <v>31</v>
      </c>
      <c r="D59" s="569" t="str">
        <f>VLOOKUP(ROTATIONTBL[[#This Row],[FIELD]],FIELDACRE,3,FALSE)</f>
        <v>NE 15-7-48</v>
      </c>
      <c r="E59" s="569">
        <f>VLOOKUP(ROTATIONTBL[[#This Row],[FIELD]],FIELDACRE,4,FALSE)</f>
        <v>4062</v>
      </c>
      <c r="F59" s="569">
        <f>VLOOKUP(ROTATIONTBL[[#This Row],[FIELD]],FIELDACRE,5,FALSE)</f>
        <v>4014</v>
      </c>
      <c r="G59" s="570">
        <f t="shared" si="4"/>
        <v>157.5</v>
      </c>
      <c r="H59" s="569" t="str">
        <f>IFERROR(VLOOKUP(ROTATIONTBL[[#This Row],[FIELD]],ROTATIONRG,6,FALSE)," ")</f>
        <v xml:space="preserve">HARD </v>
      </c>
      <c r="I59" s="569" t="str">
        <f>IFERROR(VLOOKUP(ROTATIONTBL[[#This Row],[FIELD]],FFTBL[[Field]:[COUNTY2]],7,FALSE)," ")</f>
        <v>LOGAN</v>
      </c>
      <c r="J59" s="569" t="s">
        <v>295</v>
      </c>
      <c r="K59" s="569" t="s">
        <v>283</v>
      </c>
      <c r="L59" s="569" t="s">
        <v>287</v>
      </c>
      <c r="M59" s="569" t="s">
        <v>295</v>
      </c>
      <c r="N59" s="569" t="s">
        <v>285</v>
      </c>
      <c r="O59" s="569" t="s">
        <v>285</v>
      </c>
      <c r="P59" s="569" t="s">
        <v>295</v>
      </c>
      <c r="Q59" s="569" t="s">
        <v>117</v>
      </c>
      <c r="R59" s="569"/>
      <c r="S59" s="569" t="s">
        <v>117</v>
      </c>
      <c r="T59" s="569" t="s">
        <v>117</v>
      </c>
      <c r="U59" s="569" t="s">
        <v>117</v>
      </c>
      <c r="V59" s="569" t="s">
        <v>117</v>
      </c>
      <c r="W59" s="572">
        <v>44090</v>
      </c>
      <c r="X59" s="569"/>
      <c r="Y59" s="569"/>
      <c r="Z59" s="569"/>
      <c r="AA59" s="572" t="s">
        <v>724</v>
      </c>
      <c r="AB59" s="572">
        <v>45203</v>
      </c>
      <c r="AC59" s="569"/>
    </row>
    <row r="60" spans="1:29" ht="15.75" x14ac:dyDescent="0.25">
      <c r="A60" s="568" t="s">
        <v>20</v>
      </c>
      <c r="B60" s="568" t="s">
        <v>28</v>
      </c>
      <c r="C60" s="568" t="s">
        <v>610</v>
      </c>
      <c r="D60" s="569" t="e">
        <f>VLOOKUP(ROTATIONTBL[[#This Row],[FIELD]],FIELDACRE,3,FALSE)</f>
        <v>#N/A</v>
      </c>
      <c r="E60" s="569" t="e">
        <f>VLOOKUP(ROTATIONTBL[[#This Row],[FIELD]],FIELDACRE,4,FALSE)</f>
        <v>#N/A</v>
      </c>
      <c r="F60" s="569" t="e">
        <f>VLOOKUP(ROTATIONTBL[[#This Row],[FIELD]],FIELDACRE,5,FALSE)</f>
        <v>#N/A</v>
      </c>
      <c r="G60" s="570">
        <v>78.75</v>
      </c>
      <c r="H60" s="569" t="str">
        <f>IFERROR(VLOOKUP(ROTATIONTBL[[#This Row],[FIELD]],ROTATIONRG,6,FALSE)," ")</f>
        <v xml:space="preserve"> </v>
      </c>
      <c r="I60" s="569" t="str">
        <f>IFERROR(VLOOKUP(ROTATIONTBL[[#This Row],[FIELD]],FFTBL[[Field]:[COUNTY2]],7,FALSE)," ")</f>
        <v xml:space="preserve"> </v>
      </c>
      <c r="J60" s="569"/>
      <c r="K60" s="569"/>
      <c r="L60" s="569"/>
      <c r="M60" s="569"/>
      <c r="N60" s="569"/>
      <c r="O60" s="569"/>
      <c r="P60" s="569" t="s">
        <v>117</v>
      </c>
      <c r="Q60" s="569" t="s">
        <v>117</v>
      </c>
      <c r="R60" s="569"/>
      <c r="S60" s="569" t="s">
        <v>291</v>
      </c>
      <c r="T60" s="569" t="s">
        <v>285</v>
      </c>
      <c r="U60" s="569" t="s">
        <v>295</v>
      </c>
      <c r="V60" s="569" t="s">
        <v>283</v>
      </c>
      <c r="W60" s="572"/>
      <c r="X60" s="569"/>
      <c r="Y60" s="569"/>
      <c r="Z60" s="569"/>
      <c r="AA60" s="572"/>
      <c r="AB60" s="569"/>
      <c r="AC60" s="569"/>
    </row>
    <row r="61" spans="1:29" ht="15.75" x14ac:dyDescent="0.25">
      <c r="A61" s="568" t="s">
        <v>20</v>
      </c>
      <c r="B61" s="568" t="s">
        <v>28</v>
      </c>
      <c r="C61" s="637" t="s">
        <v>226</v>
      </c>
      <c r="D61" s="569" t="str">
        <f>VLOOKUP(ROTATIONTBL[[#This Row],[FIELD]],FIELDACRE,3,FALSE)</f>
        <v>NE 15-7-48</v>
      </c>
      <c r="E61" s="569">
        <f>VLOOKUP(ROTATIONTBL[[#This Row],[FIELD]],FIELDACRE,4,FALSE)</f>
        <v>4062</v>
      </c>
      <c r="F61" s="569">
        <f>VLOOKUP(ROTATIONTBL[[#This Row],[FIELD]],FIELDACRE,5,FALSE)</f>
        <v>4014</v>
      </c>
      <c r="G61" s="570">
        <f t="shared" ref="G61:G98" si="5">IFERROR(VLOOKUP(C61,ROTATIONRG,2,FALSE)," ")</f>
        <v>78</v>
      </c>
      <c r="H61" s="569" t="str">
        <f>IFERROR(VLOOKUP(ROTATIONTBL[[#This Row],[FIELD]],ROTATIONRG,6,FALSE)," ")</f>
        <v xml:space="preserve">HARD </v>
      </c>
      <c r="I61" s="569" t="str">
        <f>IFERROR(VLOOKUP(ROTATIONTBL[[#This Row],[FIELD]],FFTBL[[Field]:[COUNTY2]],7,FALSE)," ")</f>
        <v>LOGAN</v>
      </c>
      <c r="J61" s="569"/>
      <c r="K61" s="569"/>
      <c r="L61" s="569"/>
      <c r="M61" s="569"/>
      <c r="N61" s="569"/>
      <c r="O61" s="569"/>
      <c r="P61" s="569"/>
      <c r="Q61" s="569" t="s">
        <v>283</v>
      </c>
      <c r="R61" s="569"/>
      <c r="S61" s="569" t="s">
        <v>295</v>
      </c>
      <c r="T61" s="569"/>
      <c r="U61" s="569"/>
      <c r="V61" s="569"/>
      <c r="W61" s="572"/>
      <c r="X61" s="569"/>
      <c r="Y61" s="569"/>
      <c r="Z61" s="643"/>
      <c r="AA61" s="572"/>
      <c r="AB61" s="569"/>
      <c r="AC61" s="569"/>
    </row>
    <row r="62" spans="1:29" ht="15.75" x14ac:dyDescent="0.25">
      <c r="A62" s="568" t="s">
        <v>20</v>
      </c>
      <c r="B62" s="568" t="s">
        <v>21</v>
      </c>
      <c r="C62" s="568" t="s">
        <v>227</v>
      </c>
      <c r="D62" s="569" t="str">
        <f>VLOOKUP(ROTATIONTBL[[#This Row],[FIELD]],FIELDACRE,3,FALSE)</f>
        <v>NW 4 8-8-47</v>
      </c>
      <c r="E62" s="569">
        <f>VLOOKUP(ROTATIONTBL[[#This Row],[FIELD]],FIELDACRE,4,FALSE)</f>
        <v>2522</v>
      </c>
      <c r="F62" s="569">
        <f>VLOOKUP(ROTATIONTBL[[#This Row],[FIELD]],FIELDACRE,5,FALSE)</f>
        <v>1534</v>
      </c>
      <c r="G62" s="570">
        <f t="shared" si="5"/>
        <v>8</v>
      </c>
      <c r="H62" s="569" t="str">
        <f>IFERROR(VLOOKUP(ROTATIONTBL[[#This Row],[FIELD]],ROTATIONRG,6,FALSE)," ")</f>
        <v>BUILDING SITE</v>
      </c>
      <c r="I62" s="569" t="str">
        <f>IFERROR(VLOOKUP(ROTATIONTBL[[#This Row],[FIELD]],FFTBL[[Field]:[COUNTY2]],7,FALSE)," ")</f>
        <v>PHILLIPS</v>
      </c>
      <c r="J62" s="569" t="s">
        <v>283</v>
      </c>
      <c r="K62" s="569" t="s">
        <v>294</v>
      </c>
      <c r="L62" s="569" t="s">
        <v>294</v>
      </c>
      <c r="M62" s="569" t="s">
        <v>294</v>
      </c>
      <c r="N62" s="569" t="s">
        <v>294</v>
      </c>
      <c r="O62" s="569" t="s">
        <v>725</v>
      </c>
      <c r="P62" s="569" t="s">
        <v>102</v>
      </c>
      <c r="Q62" s="569" t="s">
        <v>102</v>
      </c>
      <c r="R62" s="569"/>
      <c r="S62" s="569" t="s">
        <v>102</v>
      </c>
      <c r="T62" s="569" t="s">
        <v>102</v>
      </c>
      <c r="U62" s="569" t="s">
        <v>102</v>
      </c>
      <c r="V62" s="569" t="s">
        <v>102</v>
      </c>
      <c r="W62" s="572"/>
      <c r="X62" s="572">
        <v>44703</v>
      </c>
      <c r="Y62" s="569"/>
      <c r="Z62" s="569"/>
      <c r="AA62" s="571"/>
      <c r="AB62" s="569"/>
      <c r="AC62" s="569"/>
    </row>
    <row r="63" spans="1:29" ht="15.75" x14ac:dyDescent="0.25">
      <c r="A63" s="645" t="s">
        <v>20</v>
      </c>
      <c r="B63" s="645" t="s">
        <v>32</v>
      </c>
      <c r="C63" s="645" t="s">
        <v>230</v>
      </c>
      <c r="D63" s="569" t="str">
        <f>VLOOKUP(ROTATIONTBL[[#This Row],[FIELD]],FIELDACRE,3,FALSE)</f>
        <v>NW 4 8-8-47</v>
      </c>
      <c r="E63" s="569">
        <f>VLOOKUP(ROTATIONTBL[[#This Row],[FIELD]],FIELDACRE,4,FALSE)</f>
        <v>2522</v>
      </c>
      <c r="F63" s="569">
        <f>VLOOKUP(ROTATIONTBL[[#This Row],[FIELD]],FIELDACRE,5,FALSE)</f>
        <v>1534</v>
      </c>
      <c r="G63" s="646">
        <f t="shared" si="5"/>
        <v>136.35</v>
      </c>
      <c r="H63" s="569" t="str">
        <f>IFERROR(VLOOKUP(ROTATIONTBL[[#This Row],[FIELD]],ROTATIONRG,6,FALSE)," ")</f>
        <v>PASTURE</v>
      </c>
      <c r="I63" s="569" t="str">
        <f>IFERROR(VLOOKUP(ROTATIONTBL[[#This Row],[FIELD]],FFTBL[[Field]:[COUNTY2]],7,FALSE)," ")</f>
        <v>PHILLIPS</v>
      </c>
      <c r="J63" s="569" t="s">
        <v>283</v>
      </c>
      <c r="K63" s="569" t="s">
        <v>295</v>
      </c>
      <c r="L63" s="569" t="s">
        <v>294</v>
      </c>
      <c r="M63" s="569" t="s">
        <v>283</v>
      </c>
      <c r="N63" s="569" t="s">
        <v>283</v>
      </c>
      <c r="O63" s="569" t="s">
        <v>108</v>
      </c>
      <c r="P63" s="569" t="s">
        <v>108</v>
      </c>
      <c r="Q63" s="569" t="s">
        <v>108</v>
      </c>
      <c r="R63" s="569"/>
      <c r="S63" s="569" t="s">
        <v>108</v>
      </c>
      <c r="T63" s="569" t="s">
        <v>108</v>
      </c>
      <c r="U63" s="569" t="s">
        <v>108</v>
      </c>
      <c r="V63" s="569" t="s">
        <v>108</v>
      </c>
      <c r="W63" s="572">
        <v>44336</v>
      </c>
      <c r="X63" s="569" t="s">
        <v>726</v>
      </c>
      <c r="Y63" s="569"/>
      <c r="Z63" s="569"/>
      <c r="AA63" s="571"/>
      <c r="AB63" s="569"/>
      <c r="AC63" s="569"/>
    </row>
    <row r="64" spans="1:29" ht="15.75" x14ac:dyDescent="0.25">
      <c r="A64" s="651" t="s">
        <v>20</v>
      </c>
      <c r="B64" s="651" t="s">
        <v>32</v>
      </c>
      <c r="C64" s="651" t="s">
        <v>231</v>
      </c>
      <c r="D64" s="644" t="str">
        <f>VLOOKUP(ROTATIONTBL[[#This Row],[FIELD]],FIELDACRE,3,FALSE)</f>
        <v>NE4 11-8-47</v>
      </c>
      <c r="E64" s="569">
        <f>VLOOKUP(ROTATIONTBL[[#This Row],[FIELD]],FIELDACRE,4,FALSE)</f>
        <v>2522</v>
      </c>
      <c r="F64" s="643">
        <f>VLOOKUP(ROTATIONTBL[[#This Row],[FIELD]],FIELDACRE,5,FALSE)</f>
        <v>1521</v>
      </c>
      <c r="G64" s="653">
        <f t="shared" si="5"/>
        <v>156.78</v>
      </c>
      <c r="H64" s="644" t="str">
        <f>IFERROR(VLOOKUP(ROTATIONTBL[[#This Row],[FIELD]],ROTATIONRG,6,FALSE)," ")</f>
        <v>LOAM</v>
      </c>
      <c r="I64" s="569" t="str">
        <f>IFERROR(VLOOKUP(ROTATIONTBL[[#This Row],[FIELD]],FFTBL[[Field]:[COUNTY2]],7,FALSE)," ")</f>
        <v>PHILLIPS</v>
      </c>
      <c r="J64" s="569" t="s">
        <v>113</v>
      </c>
      <c r="K64" s="569" t="s">
        <v>113</v>
      </c>
      <c r="L64" s="569" t="s">
        <v>113</v>
      </c>
      <c r="M64" s="569" t="s">
        <v>113</v>
      </c>
      <c r="N64" s="569" t="s">
        <v>113</v>
      </c>
      <c r="O64" s="569" t="s">
        <v>283</v>
      </c>
      <c r="P64" s="569" t="s">
        <v>117</v>
      </c>
      <c r="Q64" s="569" t="s">
        <v>117</v>
      </c>
      <c r="R64" s="569"/>
      <c r="S64" s="569" t="s">
        <v>117</v>
      </c>
      <c r="T64" s="569" t="s">
        <v>117</v>
      </c>
      <c r="U64" s="569" t="s">
        <v>117</v>
      </c>
      <c r="V64" s="569" t="s">
        <v>117</v>
      </c>
      <c r="W64" s="572"/>
      <c r="X64" s="572"/>
      <c r="Y64" s="569"/>
      <c r="Z64" s="643"/>
      <c r="AA64" s="571"/>
      <c r="AB64" s="569"/>
      <c r="AC64" s="569"/>
    </row>
    <row r="65" spans="1:29" ht="15.75" x14ac:dyDescent="0.25">
      <c r="A65" s="651" t="s">
        <v>20</v>
      </c>
      <c r="B65" s="651" t="s">
        <v>26</v>
      </c>
      <c r="C65" s="652" t="s">
        <v>639</v>
      </c>
      <c r="D65" s="644" t="e">
        <f>VLOOKUP(ROTATIONTBL[[#This Row],[FIELD]],FIELDACRE,3,FALSE)</f>
        <v>#N/A</v>
      </c>
      <c r="E65" s="569" t="e">
        <f>VLOOKUP(ROTATIONTBL[[#This Row],[FIELD]],FIELDACRE,4,FALSE)</f>
        <v>#N/A</v>
      </c>
      <c r="F65" s="643" t="e">
        <f>VLOOKUP(ROTATIONTBL[[#This Row],[FIELD]],FIELDACRE,5,FALSE)</f>
        <v>#N/A</v>
      </c>
      <c r="G65" s="570" t="str">
        <f t="shared" si="5"/>
        <v xml:space="preserve"> </v>
      </c>
      <c r="H65" s="644" t="str">
        <f>IFERROR(VLOOKUP(ROTATIONTBL[[#This Row],[FIELD]],ROTATIONRG,6,FALSE)," ")</f>
        <v xml:space="preserve"> </v>
      </c>
      <c r="I65" s="569" t="str">
        <f>IFERROR(VLOOKUP(ROTATIONTBL[[#This Row],[FIELD]],FFTBL[[Field]:[COUNTY2]],7,FALSE)," ")</f>
        <v xml:space="preserve"> </v>
      </c>
      <c r="J65" s="569"/>
      <c r="K65" s="569"/>
      <c r="L65" s="569"/>
      <c r="M65" s="569"/>
      <c r="N65" s="569"/>
      <c r="O65" s="569"/>
      <c r="P65" s="569" t="s">
        <v>283</v>
      </c>
      <c r="Q65" s="569" t="s">
        <v>108</v>
      </c>
      <c r="R65" s="569"/>
      <c r="S65" s="569" t="s">
        <v>292</v>
      </c>
      <c r="T65" s="569" t="s">
        <v>295</v>
      </c>
      <c r="U65" s="569" t="s">
        <v>283</v>
      </c>
      <c r="V65" s="569" t="s">
        <v>292</v>
      </c>
      <c r="W65" s="572"/>
      <c r="X65" s="572"/>
      <c r="Y65" s="569"/>
      <c r="Z65" s="569"/>
      <c r="AA65" s="571"/>
      <c r="AB65" s="572"/>
      <c r="AC65" s="569"/>
    </row>
    <row r="66" spans="1:29" ht="15.75" x14ac:dyDescent="0.25">
      <c r="A66" s="651" t="s">
        <v>20</v>
      </c>
      <c r="B66" s="651" t="s">
        <v>28</v>
      </c>
      <c r="C66" s="652" t="s">
        <v>218</v>
      </c>
      <c r="D66" s="644" t="str">
        <f>VLOOKUP(ROTATIONTBL[[#This Row],[FIELD]],FIELDACRE,3,FALSE)</f>
        <v>NE4 6-6-46</v>
      </c>
      <c r="E66" s="569">
        <f>VLOOKUP(ROTATIONTBL[[#This Row],[FIELD]],FIELDACRE,4,FALSE)</f>
        <v>50</v>
      </c>
      <c r="F66" s="643">
        <f>VLOOKUP(ROTATIONTBL[[#This Row],[FIELD]],FIELDACRE,5,FALSE)</f>
        <v>1339</v>
      </c>
      <c r="G66" s="570">
        <f t="shared" si="5"/>
        <v>79.3</v>
      </c>
      <c r="H66" s="644" t="str">
        <f>IFERROR(VLOOKUP(ROTATIONTBL[[#This Row],[FIELD]],ROTATIONRG,6,FALSE)," ")</f>
        <v xml:space="preserve">HARD </v>
      </c>
      <c r="I66" s="569" t="str">
        <f>IFERROR(VLOOKUP(ROTATIONTBL[[#This Row],[FIELD]],FFTBL[[Field]:[COUNTY2]],7,FALSE)," ")</f>
        <v>PHILLIPS</v>
      </c>
      <c r="J66" s="569" t="s">
        <v>717</v>
      </c>
      <c r="K66" s="569" t="s">
        <v>283</v>
      </c>
      <c r="L66" s="569" t="s">
        <v>284</v>
      </c>
      <c r="M66" s="569" t="s">
        <v>294</v>
      </c>
      <c r="N66" s="569" t="s">
        <v>294</v>
      </c>
      <c r="O66" s="569" t="s">
        <v>117</v>
      </c>
      <c r="P66" s="569" t="s">
        <v>283</v>
      </c>
      <c r="Q66" s="569" t="s">
        <v>291</v>
      </c>
      <c r="R66" s="569"/>
      <c r="S66" s="569" t="s">
        <v>285</v>
      </c>
      <c r="T66" s="569" t="s">
        <v>295</v>
      </c>
      <c r="U66" s="569" t="s">
        <v>283</v>
      </c>
      <c r="V66" s="569" t="s">
        <v>291</v>
      </c>
      <c r="W66" s="569"/>
      <c r="X66" s="569"/>
      <c r="Y66" s="569"/>
      <c r="Z66" s="569"/>
      <c r="AA66" s="571"/>
      <c r="AB66" s="569"/>
      <c r="AC66" s="569"/>
    </row>
    <row r="67" spans="1:29" ht="15.75" x14ac:dyDescent="0.25">
      <c r="A67" s="649" t="s">
        <v>20</v>
      </c>
      <c r="B67" s="649" t="s">
        <v>32</v>
      </c>
      <c r="C67" s="649" t="s">
        <v>237</v>
      </c>
      <c r="D67" s="569" t="str">
        <f>VLOOKUP(ROTATIONTBL[[#This Row],[FIELD]],FIELDACRE,3,FALSE)</f>
        <v>NW4 12-8-47</v>
      </c>
      <c r="E67" s="569">
        <f>VLOOKUP(ROTATIONTBL[[#This Row],[FIELD]],FIELDACRE,4,FALSE)</f>
        <v>2522</v>
      </c>
      <c r="F67" s="569">
        <f>VLOOKUP(ROTATIONTBL[[#This Row],[FIELD]],FIELDACRE,5,FALSE)</f>
        <v>3251</v>
      </c>
      <c r="G67" s="650">
        <f t="shared" si="5"/>
        <v>158.16999999999999</v>
      </c>
      <c r="H67" s="569" t="str">
        <f>IFERROR(VLOOKUP(ROTATIONTBL[[#This Row],[FIELD]],ROTATIONRG,6,FALSE)," ")</f>
        <v>LOAM</v>
      </c>
      <c r="I67" s="569" t="str">
        <f>IFERROR(VLOOKUP(ROTATIONTBL[[#This Row],[FIELD]],FFTBL[[Field]:[COUNTY2]],7,FALSE)," ")</f>
        <v>PHILLIPS</v>
      </c>
      <c r="J67" s="569" t="s">
        <v>169</v>
      </c>
      <c r="K67" s="569" t="s">
        <v>285</v>
      </c>
      <c r="L67" s="569" t="s">
        <v>295</v>
      </c>
      <c r="M67" s="569" t="s">
        <v>293</v>
      </c>
      <c r="N67" s="569" t="s">
        <v>293</v>
      </c>
      <c r="O67" s="569" t="s">
        <v>295</v>
      </c>
      <c r="P67" s="569" t="s">
        <v>117</v>
      </c>
      <c r="Q67" s="569" t="s">
        <v>117</v>
      </c>
      <c r="R67" s="569"/>
      <c r="S67" s="569" t="s">
        <v>117</v>
      </c>
      <c r="T67" s="569" t="s">
        <v>117</v>
      </c>
      <c r="U67" s="569" t="s">
        <v>117</v>
      </c>
      <c r="V67" s="569" t="s">
        <v>117</v>
      </c>
      <c r="W67" s="569"/>
      <c r="X67" s="569"/>
      <c r="Y67" s="569"/>
      <c r="Z67" s="569"/>
      <c r="AA67" s="571"/>
      <c r="AB67" s="569"/>
      <c r="AC67" s="569"/>
    </row>
    <row r="68" spans="1:29" ht="15.75" x14ac:dyDescent="0.25">
      <c r="A68" s="651" t="s">
        <v>20</v>
      </c>
      <c r="B68" s="651" t="s">
        <v>28</v>
      </c>
      <c r="C68" s="652" t="s">
        <v>225</v>
      </c>
      <c r="D68" s="644" t="str">
        <f>VLOOKUP(ROTATIONTBL[[#This Row],[FIELD]],FIELDACRE,3,FALSE)</f>
        <v>NE 15-7-48</v>
      </c>
      <c r="E68" s="569">
        <f>VLOOKUP(ROTATIONTBL[[#This Row],[FIELD]],FIELDACRE,4,FALSE)</f>
        <v>4062</v>
      </c>
      <c r="F68" s="643">
        <f>VLOOKUP(ROTATIONTBL[[#This Row],[FIELD]],FIELDACRE,5,FALSE)</f>
        <v>4014</v>
      </c>
      <c r="G68" s="570">
        <f t="shared" si="5"/>
        <v>78.7</v>
      </c>
      <c r="H68" s="644" t="str">
        <f>IFERROR(VLOOKUP(ROTATIONTBL[[#This Row],[FIELD]],ROTATIONRG,6,FALSE)," ")</f>
        <v xml:space="preserve">HARD </v>
      </c>
      <c r="I68" s="569" t="str">
        <f>IFERROR(VLOOKUP(ROTATIONTBL[[#This Row],[FIELD]],FFTBL[[Field]:[COUNTY2]],7,FALSE)," ")</f>
        <v>LOGAN</v>
      </c>
      <c r="J68" s="569"/>
      <c r="K68" s="569"/>
      <c r="L68" s="569"/>
      <c r="M68" s="569"/>
      <c r="N68" s="569"/>
      <c r="O68" s="569"/>
      <c r="P68" s="569" t="s">
        <v>117</v>
      </c>
      <c r="Q68" s="569" t="s">
        <v>291</v>
      </c>
      <c r="R68" s="569"/>
      <c r="S68" s="569" t="s">
        <v>285</v>
      </c>
      <c r="T68" s="569" t="s">
        <v>295</v>
      </c>
      <c r="U68" s="569" t="s">
        <v>283</v>
      </c>
      <c r="V68" s="569" t="s">
        <v>291</v>
      </c>
      <c r="W68" s="572"/>
      <c r="X68" s="569"/>
      <c r="Y68" s="569"/>
      <c r="Z68" s="569"/>
      <c r="AA68" s="572"/>
      <c r="AB68" s="569"/>
      <c r="AC68" s="569"/>
    </row>
    <row r="69" spans="1:29" ht="15.75" x14ac:dyDescent="0.25">
      <c r="A69" s="647" t="s">
        <v>20</v>
      </c>
      <c r="B69" s="647" t="s">
        <v>32</v>
      </c>
      <c r="C69" s="655" t="s">
        <v>239</v>
      </c>
      <c r="D69" s="569" t="str">
        <f>VLOOKUP(ROTATIONTBL[[#This Row],[FIELD]],FIELDACRE,3,FALSE)</f>
        <v>NW4 12-8-47</v>
      </c>
      <c r="E69" s="569">
        <f>VLOOKUP(ROTATIONTBL[[#This Row],[FIELD]],FIELDACRE,4,FALSE)</f>
        <v>2522</v>
      </c>
      <c r="F69" s="569">
        <f>VLOOKUP(ROTATIONTBL[[#This Row],[FIELD]],FIELDACRE,5,FALSE)</f>
        <v>3251</v>
      </c>
      <c r="G69" s="570">
        <f t="shared" si="5"/>
        <v>79.099999999999994</v>
      </c>
      <c r="H69" s="569" t="str">
        <f>IFERROR(VLOOKUP(ROTATIONTBL[[#This Row],[FIELD]],ROTATIONRG,6,FALSE)," ")</f>
        <v>LOAM</v>
      </c>
      <c r="I69" s="569" t="str">
        <f>IFERROR(VLOOKUP(ROTATIONTBL[[#This Row],[FIELD]],FFTBL[[Field]:[COUNTY2]],7,FALSE)," ")</f>
        <v>PHILLIPS</v>
      </c>
      <c r="J69" s="569" t="s">
        <v>113</v>
      </c>
      <c r="K69" s="569" t="s">
        <v>293</v>
      </c>
      <c r="L69" s="569" t="s">
        <v>293</v>
      </c>
      <c r="M69" s="569" t="s">
        <v>284</v>
      </c>
      <c r="N69" s="569" t="s">
        <v>293</v>
      </c>
      <c r="O69" s="569" t="s">
        <v>117</v>
      </c>
      <c r="P69" s="569" t="s">
        <v>283</v>
      </c>
      <c r="Q69" s="569" t="s">
        <v>291</v>
      </c>
      <c r="R69" s="569"/>
      <c r="S69" s="569" t="s">
        <v>285</v>
      </c>
      <c r="T69" s="569" t="s">
        <v>295</v>
      </c>
      <c r="U69" s="569" t="s">
        <v>283</v>
      </c>
      <c r="V69" s="569" t="s">
        <v>291</v>
      </c>
      <c r="W69" s="569"/>
      <c r="X69" s="569"/>
      <c r="Y69" s="569"/>
      <c r="Z69" s="569"/>
      <c r="AA69" s="571"/>
      <c r="AB69" s="569"/>
      <c r="AC69" s="569"/>
    </row>
    <row r="70" spans="1:29" ht="15.75" x14ac:dyDescent="0.25">
      <c r="A70" s="568" t="s">
        <v>20</v>
      </c>
      <c r="B70" s="568" t="s">
        <v>32</v>
      </c>
      <c r="C70" s="568" t="s">
        <v>94</v>
      </c>
      <c r="D70" s="569" t="str">
        <f>VLOOKUP(ROTATIONTBL[[#This Row],[FIELD]],FIELDACRE,3,FALSE)</f>
        <v>SW4 12-8-47</v>
      </c>
      <c r="E70" s="569">
        <f>VLOOKUP(ROTATIONTBL[[#This Row],[FIELD]],FIELDACRE,4,FALSE)</f>
        <v>2522</v>
      </c>
      <c r="F70" s="569">
        <f>VLOOKUP(ROTATIONTBL[[#This Row],[FIELD]],FIELDACRE,5,FALSE)</f>
        <v>3251</v>
      </c>
      <c r="G70" s="570">
        <f t="shared" si="5"/>
        <v>158.18</v>
      </c>
      <c r="H70" s="569" t="str">
        <f>IFERROR(VLOOKUP(ROTATIONTBL[[#This Row],[FIELD]],ROTATIONRG,6,FALSE)," ")</f>
        <v>LOAM</v>
      </c>
      <c r="I70" s="569" t="str">
        <f>IFERROR(VLOOKUP(ROTATIONTBL[[#This Row],[FIELD]],FFTBL[[Field]:[COUNTY2]],7,FALSE)," ")</f>
        <v>PHILLIPS</v>
      </c>
      <c r="J70" s="569" t="s">
        <v>293</v>
      </c>
      <c r="K70" s="569" t="s">
        <v>293</v>
      </c>
      <c r="L70" s="569" t="s">
        <v>293</v>
      </c>
      <c r="M70" s="569" t="s">
        <v>294</v>
      </c>
      <c r="N70" s="569" t="s">
        <v>293</v>
      </c>
      <c r="O70" s="569" t="s">
        <v>708</v>
      </c>
      <c r="P70" s="569" t="s">
        <v>117</v>
      </c>
      <c r="Q70" s="569" t="s">
        <v>117</v>
      </c>
      <c r="R70" s="569"/>
      <c r="S70" s="569" t="s">
        <v>117</v>
      </c>
      <c r="T70" s="569" t="s">
        <v>117</v>
      </c>
      <c r="U70" s="569" t="s">
        <v>117</v>
      </c>
      <c r="V70" s="569" t="s">
        <v>117</v>
      </c>
      <c r="W70" s="569"/>
      <c r="X70" s="569"/>
      <c r="Y70" s="569"/>
      <c r="Z70" s="569"/>
      <c r="AA70" s="571"/>
      <c r="AB70" s="569"/>
      <c r="AC70" s="569"/>
    </row>
    <row r="71" spans="1:29" ht="15.75" x14ac:dyDescent="0.25">
      <c r="A71" s="568" t="s">
        <v>20</v>
      </c>
      <c r="B71" s="568" t="s">
        <v>32</v>
      </c>
      <c r="C71" s="637" t="s">
        <v>247</v>
      </c>
      <c r="D71" s="569" t="str">
        <f>VLOOKUP(ROTATIONTBL[[#This Row],[FIELD]],FIELDACRE,3,FALSE)</f>
        <v>NE4 32-8-47</v>
      </c>
      <c r="E71" s="569">
        <f>VLOOKUP(ROTATIONTBL[[#This Row],[FIELD]],FIELDACRE,4,FALSE)</f>
        <v>2522</v>
      </c>
      <c r="F71" s="569">
        <f>VLOOKUP(ROTATIONTBL[[#This Row],[FIELD]],FIELDACRE,5,FALSE)</f>
        <v>1626</v>
      </c>
      <c r="G71" s="570">
        <f t="shared" si="5"/>
        <v>77.5</v>
      </c>
      <c r="H71" s="569" t="str">
        <f>IFERROR(VLOOKUP(ROTATIONTBL[[#This Row],[FIELD]],ROTATIONRG,6,FALSE)," ")</f>
        <v>LOAM</v>
      </c>
      <c r="I71" s="569" t="str">
        <f>IFERROR(VLOOKUP(ROTATIONTBL[[#This Row],[FIELD]],FFTBL[[Field]:[COUNTY2]],7,FALSE)," ")</f>
        <v>PHILLIPS</v>
      </c>
      <c r="J71" s="569" t="s">
        <v>295</v>
      </c>
      <c r="K71" s="569" t="s">
        <v>283</v>
      </c>
      <c r="L71" s="569" t="s">
        <v>287</v>
      </c>
      <c r="M71" s="569" t="s">
        <v>295</v>
      </c>
      <c r="N71" s="569" t="s">
        <v>285</v>
      </c>
      <c r="O71" s="569" t="s">
        <v>283</v>
      </c>
      <c r="P71" s="569" t="s">
        <v>283</v>
      </c>
      <c r="Q71" s="569" t="s">
        <v>291</v>
      </c>
      <c r="R71" s="569"/>
      <c r="S71" s="569" t="s">
        <v>285</v>
      </c>
      <c r="T71" s="569" t="s">
        <v>295</v>
      </c>
      <c r="U71" s="569" t="s">
        <v>283</v>
      </c>
      <c r="V71" s="569" t="s">
        <v>291</v>
      </c>
      <c r="W71" s="572">
        <v>44091</v>
      </c>
      <c r="X71" s="569"/>
      <c r="Y71" s="569"/>
      <c r="Z71" s="569"/>
      <c r="AA71" s="571" t="s">
        <v>706</v>
      </c>
      <c r="AB71" s="569" t="s">
        <v>707</v>
      </c>
      <c r="AC71" s="569"/>
    </row>
    <row r="72" spans="1:29" ht="15.75" x14ac:dyDescent="0.25">
      <c r="A72" s="568" t="s">
        <v>20</v>
      </c>
      <c r="B72" s="568" t="s">
        <v>32</v>
      </c>
      <c r="C72" s="568" t="s">
        <v>96</v>
      </c>
      <c r="D72" s="569" t="str">
        <f>VLOOKUP(ROTATIONTBL[[#This Row],[FIELD]],FIELDACRE,3,FALSE)</f>
        <v>SW4 20-8-47</v>
      </c>
      <c r="E72" s="569">
        <f>VLOOKUP(ROTATIONTBL[[#This Row],[FIELD]],FIELDACRE,4,FALSE)</f>
        <v>2522</v>
      </c>
      <c r="F72" s="569">
        <f>VLOOKUP(ROTATIONTBL[[#This Row],[FIELD]],FIELDACRE,5,FALSE)</f>
        <v>1586</v>
      </c>
      <c r="G72" s="570">
        <f t="shared" si="5"/>
        <v>117.25</v>
      </c>
      <c r="H72" s="569" t="str">
        <f>IFERROR(VLOOKUP(ROTATIONTBL[[#This Row],[FIELD]],ROTATIONRG,6,FALSE)," ")</f>
        <v>LOAM</v>
      </c>
      <c r="I72" s="569" t="str">
        <f>IFERROR(VLOOKUP(ROTATIONTBL[[#This Row],[FIELD]],FFTBL[[Field]:[COUNTY2]],7,FALSE)," ")</f>
        <v>PHILLIPS</v>
      </c>
      <c r="J72" s="569" t="s">
        <v>295</v>
      </c>
      <c r="K72" s="569" t="s">
        <v>283</v>
      </c>
      <c r="L72" s="569" t="s">
        <v>287</v>
      </c>
      <c r="M72" s="569" t="s">
        <v>285</v>
      </c>
      <c r="N72" s="569" t="s">
        <v>295</v>
      </c>
      <c r="O72" s="569" t="s">
        <v>283</v>
      </c>
      <c r="P72" s="569" t="s">
        <v>283</v>
      </c>
      <c r="Q72" s="569" t="s">
        <v>291</v>
      </c>
      <c r="R72" s="569"/>
      <c r="S72" s="569" t="s">
        <v>283</v>
      </c>
      <c r="T72" s="569" t="s">
        <v>283</v>
      </c>
      <c r="U72" s="569" t="s">
        <v>291</v>
      </c>
      <c r="V72" s="569" t="s">
        <v>295</v>
      </c>
      <c r="W72" s="569"/>
      <c r="X72" s="572">
        <v>44466</v>
      </c>
      <c r="Y72" s="569"/>
      <c r="Z72" s="569"/>
      <c r="AA72" s="571" t="s">
        <v>715</v>
      </c>
      <c r="AB72" s="569" t="s">
        <v>716</v>
      </c>
      <c r="AC72" s="569"/>
    </row>
    <row r="73" spans="1:29" ht="15.75" x14ac:dyDescent="0.25">
      <c r="A73" s="568" t="s">
        <v>20</v>
      </c>
      <c r="B73" s="568" t="s">
        <v>32</v>
      </c>
      <c r="C73" s="568" t="s">
        <v>244</v>
      </c>
      <c r="D73" s="569" t="str">
        <f>VLOOKUP(ROTATIONTBL[[#This Row],[FIELD]],FIELDACRE,3,FALSE)</f>
        <v>NE4 32-8-47</v>
      </c>
      <c r="E73" s="569">
        <f>VLOOKUP(ROTATIONTBL[[#This Row],[FIELD]],FIELDACRE,4,FALSE)</f>
        <v>2522</v>
      </c>
      <c r="F73" s="569">
        <f>VLOOKUP(ROTATIONTBL[[#This Row],[FIELD]],FIELDACRE,5,FALSE)</f>
        <v>1626</v>
      </c>
      <c r="G73" s="570">
        <f t="shared" si="5"/>
        <v>154.85</v>
      </c>
      <c r="H73" s="569" t="str">
        <f>IFERROR(VLOOKUP(ROTATIONTBL[[#This Row],[FIELD]],ROTATIONRG,6,FALSE)," ")</f>
        <v>LOAM</v>
      </c>
      <c r="I73" s="569" t="str">
        <f>IFERROR(VLOOKUP(ROTATIONTBL[[#This Row],[FIELD]],FFTBL[[Field]:[COUNTY2]],7,FALSE)," ")</f>
        <v>PHILLIPS</v>
      </c>
      <c r="J73" s="569" t="s">
        <v>113</v>
      </c>
      <c r="K73" s="569" t="s">
        <v>113</v>
      </c>
      <c r="L73" s="569" t="s">
        <v>113</v>
      </c>
      <c r="M73" s="569" t="s">
        <v>113</v>
      </c>
      <c r="N73" s="569" t="s">
        <v>113</v>
      </c>
      <c r="O73" s="569" t="s">
        <v>283</v>
      </c>
      <c r="P73" s="569" t="s">
        <v>117</v>
      </c>
      <c r="Q73" s="569" t="s">
        <v>117</v>
      </c>
      <c r="R73" s="569"/>
      <c r="S73" s="569" t="s">
        <v>117</v>
      </c>
      <c r="T73" s="569" t="s">
        <v>117</v>
      </c>
      <c r="U73" s="569" t="s">
        <v>117</v>
      </c>
      <c r="V73" s="569" t="s">
        <v>117</v>
      </c>
      <c r="W73" s="572"/>
      <c r="X73" s="572"/>
      <c r="Y73" s="569"/>
      <c r="Z73" s="569"/>
      <c r="AA73" s="571"/>
      <c r="AB73" s="569"/>
      <c r="AC73" s="569"/>
    </row>
    <row r="74" spans="1:29" ht="15.75" x14ac:dyDescent="0.25">
      <c r="A74" s="568" t="s">
        <v>20</v>
      </c>
      <c r="B74" s="568" t="s">
        <v>35</v>
      </c>
      <c r="C74" s="637" t="s">
        <v>263</v>
      </c>
      <c r="D74" s="569" t="str">
        <f>VLOOKUP(ROTATIONTBL[[#This Row],[FIELD]],FIELDACRE,3,FALSE)</f>
        <v>SW 33-7-46</v>
      </c>
      <c r="E74" s="569">
        <f>VLOOKUP(ROTATIONTBL[[#This Row],[FIELD]],FIELDACRE,4,FALSE)</f>
        <v>247</v>
      </c>
      <c r="F74" s="569">
        <f>VLOOKUP(ROTATIONTBL[[#This Row],[FIELD]],FIELDACRE,5,FALSE)</f>
        <v>1311</v>
      </c>
      <c r="G74" s="570">
        <f t="shared" si="5"/>
        <v>78.39</v>
      </c>
      <c r="H74" s="569" t="str">
        <f>IFERROR(VLOOKUP(ROTATIONTBL[[#This Row],[FIELD]],ROTATIONRG,6,FALSE)," ")</f>
        <v xml:space="preserve">HARD </v>
      </c>
      <c r="I74" s="569" t="str">
        <f>IFERROR(VLOOKUP(ROTATIONTBL[[#This Row],[FIELD]],FFTBL[[Field]:[COUNTY2]],7,FALSE)," ")</f>
        <v>PHILLIPS</v>
      </c>
      <c r="J74" s="569"/>
      <c r="K74" s="569"/>
      <c r="L74" s="569"/>
      <c r="M74" s="569"/>
      <c r="N74" s="569"/>
      <c r="O74" s="569" t="s">
        <v>117</v>
      </c>
      <c r="P74" s="569" t="s">
        <v>283</v>
      </c>
      <c r="Q74" s="569" t="s">
        <v>291</v>
      </c>
      <c r="R74" s="569"/>
      <c r="S74" s="569" t="s">
        <v>285</v>
      </c>
      <c r="T74" s="569" t="s">
        <v>295</v>
      </c>
      <c r="U74" s="569" t="s">
        <v>283</v>
      </c>
      <c r="V74" s="569" t="s">
        <v>291</v>
      </c>
      <c r="W74" s="572"/>
      <c r="X74" s="572"/>
      <c r="Y74" s="569"/>
      <c r="Z74" s="569"/>
      <c r="AA74" s="571"/>
      <c r="AB74" s="569"/>
      <c r="AC74" s="569"/>
    </row>
    <row r="75" spans="1:29" ht="15.75" x14ac:dyDescent="0.25">
      <c r="A75" s="568" t="s">
        <v>20</v>
      </c>
      <c r="B75" s="568" t="s">
        <v>80</v>
      </c>
      <c r="C75" s="637" t="s">
        <v>280</v>
      </c>
      <c r="D75" s="569" t="str">
        <f>VLOOKUP(ROTATIONTBL[[#This Row],[FIELD]],FIELDACRE,3,FALSE)</f>
        <v>SE4 35-7-47</v>
      </c>
      <c r="E75" s="569">
        <f>VLOOKUP(ROTATIONTBL[[#This Row],[FIELD]],FIELDACRE,4,FALSE)</f>
        <v>6759</v>
      </c>
      <c r="F75" s="569">
        <f>VLOOKUP(ROTATIONTBL[[#This Row],[FIELD]],FIELDACRE,5,FALSE)</f>
        <v>3794</v>
      </c>
      <c r="G75" s="570">
        <f t="shared" si="5"/>
        <v>78.900000000000006</v>
      </c>
      <c r="H75" s="569" t="str">
        <f>IFERROR(VLOOKUP(ROTATIONTBL[[#This Row],[FIELD]],ROTATIONRG,6,FALSE)," ")</f>
        <v xml:space="preserve">HARD </v>
      </c>
      <c r="I75" s="569" t="str">
        <f>IFERROR(VLOOKUP(ROTATIONTBL[[#This Row],[FIELD]],FFTBL[[Field]:[COUNTY2]],7,FALSE)," ")</f>
        <v>PHILLIPS</v>
      </c>
      <c r="J75" s="569" t="s">
        <v>295</v>
      </c>
      <c r="K75" s="569" t="s">
        <v>283</v>
      </c>
      <c r="L75" s="569" t="s">
        <v>287</v>
      </c>
      <c r="M75" s="569" t="s">
        <v>285</v>
      </c>
      <c r="N75" s="569" t="s">
        <v>295</v>
      </c>
      <c r="O75" s="569" t="s">
        <v>295</v>
      </c>
      <c r="P75" s="569" t="s">
        <v>283</v>
      </c>
      <c r="Q75" s="569" t="s">
        <v>291</v>
      </c>
      <c r="R75" s="569"/>
      <c r="S75" s="569" t="s">
        <v>285</v>
      </c>
      <c r="T75" s="569" t="s">
        <v>295</v>
      </c>
      <c r="U75" s="569" t="s">
        <v>285</v>
      </c>
      <c r="V75" s="569" t="s">
        <v>295</v>
      </c>
      <c r="W75" s="569"/>
      <c r="X75" s="572">
        <v>44468</v>
      </c>
      <c r="Y75" s="569"/>
      <c r="Z75" s="569"/>
      <c r="AA75" s="571" t="s">
        <v>715</v>
      </c>
      <c r="AB75" s="569" t="s">
        <v>716</v>
      </c>
      <c r="AC75" s="569"/>
    </row>
    <row r="76" spans="1:29" ht="15.75" x14ac:dyDescent="0.25">
      <c r="A76" s="645" t="s">
        <v>20</v>
      </c>
      <c r="B76" s="645" t="s">
        <v>26</v>
      </c>
      <c r="C76" s="645" t="s">
        <v>171</v>
      </c>
      <c r="D76" s="569" t="str">
        <f>VLOOKUP(ROTATIONTBL[[#This Row],[FIELD]],FIELDACRE,3,FALSE)</f>
        <v>N/2 17-6-47</v>
      </c>
      <c r="E76" s="569">
        <f>VLOOKUP(ROTATIONTBL[[#This Row],[FIELD]],FIELDACRE,4,FALSE)</f>
        <v>3720</v>
      </c>
      <c r="F76" s="569">
        <f>VLOOKUP(ROTATIONTBL[[#This Row],[FIELD]],FIELDACRE,5,FALSE)</f>
        <v>3815</v>
      </c>
      <c r="G76" s="570">
        <f t="shared" si="5"/>
        <v>64.8</v>
      </c>
      <c r="H76" s="569" t="str">
        <f>IFERROR(VLOOKUP(ROTATIONTBL[[#This Row],[FIELD]],ROTATIONRG,6,FALSE)," ")</f>
        <v xml:space="preserve">HARD </v>
      </c>
      <c r="I76" s="569" t="str">
        <f>IFERROR(VLOOKUP(ROTATIONTBL[[#This Row],[FIELD]],FFTBL[[Field]:[COUNTY2]],7,FALSE)," ")</f>
        <v>PHILLIPS</v>
      </c>
      <c r="J76" s="569" t="s">
        <v>295</v>
      </c>
      <c r="K76" s="569" t="s">
        <v>283</v>
      </c>
      <c r="L76" s="569" t="s">
        <v>283</v>
      </c>
      <c r="M76" s="569" t="s">
        <v>283</v>
      </c>
      <c r="N76" s="569" t="s">
        <v>283</v>
      </c>
      <c r="O76" s="569" t="s">
        <v>294</v>
      </c>
      <c r="P76" s="569" t="s">
        <v>294</v>
      </c>
      <c r="Q76" s="569" t="s">
        <v>292</v>
      </c>
      <c r="R76" s="569"/>
      <c r="S76" s="569" t="s">
        <v>292</v>
      </c>
      <c r="T76" s="569" t="s">
        <v>294</v>
      </c>
      <c r="U76" s="569" t="s">
        <v>294</v>
      </c>
      <c r="V76" s="569" t="s">
        <v>294</v>
      </c>
      <c r="W76" s="572">
        <v>44335</v>
      </c>
      <c r="X76" s="569" t="s">
        <v>727</v>
      </c>
      <c r="Y76" s="569"/>
      <c r="Z76" s="569"/>
      <c r="AA76" s="571"/>
      <c r="AB76" s="569"/>
      <c r="AC76" s="569"/>
    </row>
    <row r="77" spans="1:29" ht="15.75" x14ac:dyDescent="0.25">
      <c r="A77" s="647" t="s">
        <v>20</v>
      </c>
      <c r="B77" s="647" t="s">
        <v>26</v>
      </c>
      <c r="C77" s="655" t="s">
        <v>640</v>
      </c>
      <c r="D77" s="569" t="e">
        <f>VLOOKUP(ROTATIONTBL[[#This Row],[FIELD]],FIELDACRE,3,FALSE)</f>
        <v>#N/A</v>
      </c>
      <c r="E77" s="569" t="e">
        <f>VLOOKUP(ROTATIONTBL[[#This Row],[FIELD]],FIELDACRE,4,FALSE)</f>
        <v>#N/A</v>
      </c>
      <c r="F77" s="569" t="e">
        <f>VLOOKUP(ROTATIONTBL[[#This Row],[FIELD]],FIELDACRE,5,FALSE)</f>
        <v>#N/A</v>
      </c>
      <c r="G77" s="648" t="str">
        <f t="shared" si="5"/>
        <v xml:space="preserve"> </v>
      </c>
      <c r="H77" s="569" t="str">
        <f>IFERROR(VLOOKUP(ROTATIONTBL[[#This Row],[FIELD]],ROTATIONRG,6,FALSE)," ")</f>
        <v xml:space="preserve"> </v>
      </c>
      <c r="I77" s="569" t="str">
        <f>IFERROR(VLOOKUP(ROTATIONTBL[[#This Row],[FIELD]],FFTBL[[Field]:[COUNTY2]],7,FALSE)," ")</f>
        <v xml:space="preserve"> </v>
      </c>
      <c r="J77" s="569"/>
      <c r="K77" s="569"/>
      <c r="L77" s="569"/>
      <c r="M77" s="569"/>
      <c r="N77" s="569"/>
      <c r="O77" s="569"/>
      <c r="P77" s="569" t="s">
        <v>283</v>
      </c>
      <c r="Q77" s="569" t="s">
        <v>292</v>
      </c>
      <c r="R77" s="569"/>
      <c r="S77" s="569" t="s">
        <v>283</v>
      </c>
      <c r="T77" s="569" t="s">
        <v>291</v>
      </c>
      <c r="U77" s="569" t="s">
        <v>292</v>
      </c>
      <c r="V77" s="569" t="s">
        <v>295</v>
      </c>
      <c r="W77" s="572"/>
      <c r="X77" s="572"/>
      <c r="Y77" s="569"/>
      <c r="Z77" s="569"/>
      <c r="AA77" s="571"/>
      <c r="AB77" s="572"/>
      <c r="AC77" s="569"/>
    </row>
    <row r="78" spans="1:29" ht="15.75" x14ac:dyDescent="0.25">
      <c r="A78" s="568" t="s">
        <v>20</v>
      </c>
      <c r="B78" s="568" t="s">
        <v>26</v>
      </c>
      <c r="C78" s="637" t="s">
        <v>204</v>
      </c>
      <c r="D78" s="569" t="str">
        <f>VLOOKUP(ROTATIONTBL[[#This Row],[FIELD]],FIELDACRE,3,FALSE)</f>
        <v>SE13-9-47</v>
      </c>
      <c r="E78" s="569">
        <f>VLOOKUP(ROTATIONTBL[[#This Row],[FIELD]],FIELDACRE,4,FALSE)</f>
        <v>0</v>
      </c>
      <c r="F78" s="569">
        <f>VLOOKUP(ROTATIONTBL[[#This Row],[FIELD]],FIELDACRE,5,FALSE)</f>
        <v>0</v>
      </c>
      <c r="G78" s="570">
        <f t="shared" si="5"/>
        <v>40.9</v>
      </c>
      <c r="H78" s="569" t="str">
        <f>IFERROR(VLOOKUP(ROTATIONTBL[[#This Row],[FIELD]],ROTATIONRG,6,FALSE)," ")</f>
        <v>SAND</v>
      </c>
      <c r="I78" s="569" t="str">
        <f>IFERROR(VLOOKUP(ROTATIONTBL[[#This Row],[FIELD]],FFTBL[[Field]:[COUNTY2]],7,FALSE)," ")</f>
        <v>SEDGWICK</v>
      </c>
      <c r="J78" s="569"/>
      <c r="K78" s="569"/>
      <c r="L78" s="569"/>
      <c r="M78" s="569"/>
      <c r="N78" s="569"/>
      <c r="O78" s="569"/>
      <c r="P78" s="569" t="s">
        <v>289</v>
      </c>
      <c r="Q78" s="569" t="s">
        <v>292</v>
      </c>
      <c r="R78" s="569"/>
      <c r="S78" s="569" t="s">
        <v>289</v>
      </c>
      <c r="T78" s="569" t="s">
        <v>292</v>
      </c>
      <c r="U78" s="569" t="s">
        <v>289</v>
      </c>
      <c r="V78" s="569" t="s">
        <v>292</v>
      </c>
      <c r="W78" s="572"/>
      <c r="X78" s="572"/>
      <c r="Y78" s="569"/>
      <c r="Z78" s="569"/>
      <c r="AA78" s="571"/>
      <c r="AB78" s="569"/>
      <c r="AC78" s="569"/>
    </row>
    <row r="79" spans="1:29" ht="15.75" x14ac:dyDescent="0.25">
      <c r="A79" s="568" t="s">
        <v>20</v>
      </c>
      <c r="B79" s="568" t="s">
        <v>32</v>
      </c>
      <c r="C79" s="568" t="s">
        <v>254</v>
      </c>
      <c r="D79" s="569" t="str">
        <f>VLOOKUP(ROTATIONTBL[[#This Row],[FIELD]],FIELDACRE,3,FALSE)</f>
        <v>NE4 32-8-47</v>
      </c>
      <c r="E79" s="569">
        <f>VLOOKUP(ROTATIONTBL[[#This Row],[FIELD]],FIELDACRE,4,FALSE)</f>
        <v>2522</v>
      </c>
      <c r="F79" s="569">
        <f>VLOOKUP(ROTATIONTBL[[#This Row],[FIELD]],FIELDACRE,5,FALSE)</f>
        <v>1626</v>
      </c>
      <c r="G79" s="570">
        <f t="shared" si="5"/>
        <v>4.74</v>
      </c>
      <c r="H79" s="569" t="str">
        <f>IFERROR(VLOOKUP(ROTATIONTBL[[#This Row],[FIELD]],ROTATIONRG,6,FALSE)," ")</f>
        <v>WASTE</v>
      </c>
      <c r="I79" s="569" t="str">
        <f>IFERROR(VLOOKUP(ROTATIONTBL[[#This Row],[FIELD]],FFTBL[[Field]:[COUNTY2]],7,FALSE)," ")</f>
        <v>PHILLIPS</v>
      </c>
      <c r="J79" s="569" t="s">
        <v>295</v>
      </c>
      <c r="K79" s="569" t="s">
        <v>283</v>
      </c>
      <c r="L79" s="569" t="s">
        <v>283</v>
      </c>
      <c r="M79" s="569" t="s">
        <v>283</v>
      </c>
      <c r="N79" s="569" t="s">
        <v>283</v>
      </c>
      <c r="O79" s="569" t="s">
        <v>113</v>
      </c>
      <c r="P79" s="569" t="s">
        <v>113</v>
      </c>
      <c r="Q79" s="569" t="s">
        <v>113</v>
      </c>
      <c r="R79" s="569"/>
      <c r="S79" s="569" t="s">
        <v>113</v>
      </c>
      <c r="T79" s="569" t="s">
        <v>113</v>
      </c>
      <c r="U79" s="569" t="s">
        <v>113</v>
      </c>
      <c r="V79" s="569" t="s">
        <v>113</v>
      </c>
      <c r="W79" s="572">
        <v>44336</v>
      </c>
      <c r="X79" s="572">
        <v>44703</v>
      </c>
      <c r="Y79" s="569"/>
      <c r="Z79" s="569"/>
      <c r="AA79" s="571"/>
      <c r="AB79" s="569"/>
      <c r="AC79" s="569"/>
    </row>
    <row r="80" spans="1:29" ht="15.75" x14ac:dyDescent="0.25">
      <c r="A80" s="568" t="s">
        <v>20</v>
      </c>
      <c r="B80" s="568" t="s">
        <v>26</v>
      </c>
      <c r="C80" s="637" t="s">
        <v>207</v>
      </c>
      <c r="D80" s="569" t="str">
        <f>VLOOKUP(ROTATIONTBL[[#This Row],[FIELD]],FIELDACRE,3,FALSE)</f>
        <v>SE13-9-47</v>
      </c>
      <c r="E80" s="569">
        <f>VLOOKUP(ROTATIONTBL[[#This Row],[FIELD]],FIELDACRE,4,FALSE)</f>
        <v>0</v>
      </c>
      <c r="F80" s="569">
        <f>VLOOKUP(ROTATIONTBL[[#This Row],[FIELD]],FIELDACRE,5,FALSE)</f>
        <v>0</v>
      </c>
      <c r="G80" s="570">
        <f t="shared" si="5"/>
        <v>39.1</v>
      </c>
      <c r="H80" s="569" t="str">
        <f>IFERROR(VLOOKUP(ROTATIONTBL[[#This Row],[FIELD]],ROTATIONRG,6,FALSE)," ")</f>
        <v>SAND</v>
      </c>
      <c r="I80" s="569" t="str">
        <f>IFERROR(VLOOKUP(ROTATIONTBL[[#This Row],[FIELD]],FFTBL[[Field]:[COUNTY2]],7,FALSE)," ")</f>
        <v>SEDGWICK</v>
      </c>
      <c r="J80" s="569"/>
      <c r="K80" s="569"/>
      <c r="L80" s="569"/>
      <c r="M80" s="569"/>
      <c r="N80" s="569"/>
      <c r="O80" s="569"/>
      <c r="P80" s="569" t="s">
        <v>289</v>
      </c>
      <c r="Q80" s="569" t="s">
        <v>292</v>
      </c>
      <c r="R80" s="569"/>
      <c r="S80" s="569" t="s">
        <v>289</v>
      </c>
      <c r="T80" s="569" t="s">
        <v>292</v>
      </c>
      <c r="U80" s="569" t="s">
        <v>289</v>
      </c>
      <c r="V80" s="569" t="s">
        <v>292</v>
      </c>
      <c r="W80" s="572"/>
      <c r="X80" s="572"/>
      <c r="Y80" s="569"/>
      <c r="Z80" s="569"/>
      <c r="AA80" s="571"/>
      <c r="AB80" s="572"/>
      <c r="AC80" s="569"/>
    </row>
    <row r="81" spans="1:29" ht="15.75" x14ac:dyDescent="0.25">
      <c r="A81" s="568" t="s">
        <v>20</v>
      </c>
      <c r="B81" s="568" t="s">
        <v>21</v>
      </c>
      <c r="C81" s="637" t="s">
        <v>160</v>
      </c>
      <c r="D81" s="569" t="str">
        <f>VLOOKUP(ROTATIONTBL[[#This Row],[FIELD]],FIELDACRE,3,FALSE)</f>
        <v>E2 7-9-46</v>
      </c>
      <c r="E81" s="569">
        <f>VLOOKUP(ROTATIONTBL[[#This Row],[FIELD]],FIELDACRE,4,FALSE)</f>
        <v>3939</v>
      </c>
      <c r="F81" s="569">
        <f>VLOOKUP(ROTATIONTBL[[#This Row],[FIELD]],FIELDACRE,5,FALSE)</f>
        <v>3938</v>
      </c>
      <c r="G81" s="570">
        <f t="shared" si="5"/>
        <v>48.2</v>
      </c>
      <c r="H81" s="569" t="str">
        <f>IFERROR(VLOOKUP(ROTATIONTBL[[#This Row],[FIELD]],ROTATIONRG,6,FALSE)," ")</f>
        <v>SAND</v>
      </c>
      <c r="I81" s="569" t="str">
        <f>IFERROR(VLOOKUP(ROTATIONTBL[[#This Row],[FIELD]],FFTBL[[Field]:[COUNTY2]],7,FALSE)," ")</f>
        <v>SEDGWICK</v>
      </c>
      <c r="J81" s="569"/>
      <c r="K81" s="569"/>
      <c r="L81" s="569"/>
      <c r="M81" s="569"/>
      <c r="N81" s="569"/>
      <c r="O81" s="569" t="s">
        <v>117</v>
      </c>
      <c r="P81" s="569" t="s">
        <v>289</v>
      </c>
      <c r="Q81" s="569" t="s">
        <v>294</v>
      </c>
      <c r="R81" s="569"/>
      <c r="S81" s="569" t="s">
        <v>283</v>
      </c>
      <c r="T81" s="569" t="s">
        <v>291</v>
      </c>
      <c r="U81" s="569" t="s">
        <v>289</v>
      </c>
      <c r="V81" s="569" t="s">
        <v>295</v>
      </c>
      <c r="W81" s="572"/>
      <c r="X81" s="572"/>
      <c r="Y81" s="569"/>
      <c r="Z81" s="569"/>
      <c r="AA81" s="571"/>
      <c r="AB81" s="569"/>
      <c r="AC81" s="569"/>
    </row>
    <row r="82" spans="1:29" ht="15.75" x14ac:dyDescent="0.25">
      <c r="A82" s="568" t="s">
        <v>20</v>
      </c>
      <c r="B82" s="568" t="s">
        <v>35</v>
      </c>
      <c r="C82" s="568" t="s">
        <v>260</v>
      </c>
      <c r="D82" s="569" t="str">
        <f>VLOOKUP(ROTATIONTBL[[#This Row],[FIELD]],FIELDACRE,3,FALSE)</f>
        <v>SW 33-7-46</v>
      </c>
      <c r="E82" s="569">
        <f>VLOOKUP(ROTATIONTBL[[#This Row],[FIELD]],FIELDACRE,4,FALSE)</f>
        <v>247</v>
      </c>
      <c r="F82" s="569">
        <f>VLOOKUP(ROTATIONTBL[[#This Row],[FIELD]],FIELDACRE,5,FALSE)</f>
        <v>1311</v>
      </c>
      <c r="G82" s="570">
        <f t="shared" si="5"/>
        <v>149.6</v>
      </c>
      <c r="H82" s="569" t="str">
        <f>IFERROR(VLOOKUP(ROTATIONTBL[[#This Row],[FIELD]],ROTATIONRG,6,FALSE)," ")</f>
        <v xml:space="preserve">HARD </v>
      </c>
      <c r="I82" s="569" t="str">
        <f>IFERROR(VLOOKUP(ROTATIONTBL[[#This Row],[FIELD]],FFTBL[[Field]:[COUNTY2]],7,FALSE)," ")</f>
        <v>PHILLIPS</v>
      </c>
      <c r="J82" s="569"/>
      <c r="K82" s="569"/>
      <c r="L82" s="569"/>
      <c r="M82" s="569"/>
      <c r="N82" s="569"/>
      <c r="O82" s="569" t="s">
        <v>295</v>
      </c>
      <c r="P82" s="569" t="s">
        <v>117</v>
      </c>
      <c r="Q82" s="569" t="s">
        <v>117</v>
      </c>
      <c r="R82" s="569"/>
      <c r="S82" s="569" t="s">
        <v>117</v>
      </c>
      <c r="T82" s="569" t="s">
        <v>117</v>
      </c>
      <c r="U82" s="569" t="s">
        <v>117</v>
      </c>
      <c r="V82" s="569" t="s">
        <v>117</v>
      </c>
      <c r="W82" s="572"/>
      <c r="X82" s="572"/>
      <c r="Y82" s="569"/>
      <c r="Z82" s="569"/>
      <c r="AA82" s="571"/>
      <c r="AB82" s="569"/>
      <c r="AC82" s="569"/>
    </row>
    <row r="83" spans="1:29" ht="15.75" x14ac:dyDescent="0.25">
      <c r="A83" s="568" t="s">
        <v>20</v>
      </c>
      <c r="B83" s="568" t="s">
        <v>26</v>
      </c>
      <c r="C83" s="568" t="s">
        <v>180</v>
      </c>
      <c r="D83" s="569" t="str">
        <f>VLOOKUP(ROTATIONTBL[[#This Row],[FIELD]],FIELDACRE,3,FALSE)</f>
        <v>NE 17-6-47</v>
      </c>
      <c r="E83" s="569">
        <f>VLOOKUP(ROTATIONTBL[[#This Row],[FIELD]],FIELDACRE,4,FALSE)</f>
        <v>3720</v>
      </c>
      <c r="F83" s="569">
        <f>VLOOKUP(ROTATIONTBL[[#This Row],[FIELD]],FIELDACRE,5,FALSE)</f>
        <v>3815</v>
      </c>
      <c r="G83" s="570">
        <f t="shared" si="5"/>
        <v>44.69</v>
      </c>
      <c r="H83" s="569" t="str">
        <f>IFERROR(VLOOKUP(ROTATIONTBL[[#This Row],[FIELD]],ROTATIONRG,6,FALSE)," ")</f>
        <v xml:space="preserve">HARD </v>
      </c>
      <c r="I83" s="569" t="str">
        <f>IFERROR(VLOOKUP(ROTATIONTBL[[#This Row],[FIELD]],FFTBL[[Field]:[COUNTY2]],7,FALSE)," ")</f>
        <v>PHILLIPS</v>
      </c>
      <c r="J83" s="569" t="s">
        <v>108</v>
      </c>
      <c r="K83" s="569" t="s">
        <v>108</v>
      </c>
      <c r="L83" s="569" t="s">
        <v>108</v>
      </c>
      <c r="M83" s="569" t="s">
        <v>108</v>
      </c>
      <c r="N83" s="569" t="s">
        <v>108</v>
      </c>
      <c r="O83" s="569" t="s">
        <v>294</v>
      </c>
      <c r="P83" s="569" t="s">
        <v>292</v>
      </c>
      <c r="Q83" s="569" t="s">
        <v>294</v>
      </c>
      <c r="R83" s="569"/>
      <c r="S83" s="569" t="s">
        <v>294</v>
      </c>
      <c r="T83" s="569" t="s">
        <v>294</v>
      </c>
      <c r="U83" s="569" t="s">
        <v>294</v>
      </c>
      <c r="V83" s="569" t="s">
        <v>294</v>
      </c>
      <c r="W83" s="572"/>
      <c r="X83" s="572"/>
      <c r="Y83" s="569"/>
      <c r="Z83" s="569"/>
      <c r="AA83" s="571"/>
      <c r="AB83" s="569"/>
      <c r="AC83" s="569"/>
    </row>
    <row r="84" spans="1:29" ht="15.75" x14ac:dyDescent="0.25">
      <c r="A84" s="645" t="s">
        <v>20</v>
      </c>
      <c r="B84" s="645" t="s">
        <v>26</v>
      </c>
      <c r="C84" s="645" t="s">
        <v>182</v>
      </c>
      <c r="D84" s="569" t="str">
        <f>VLOOKUP(ROTATIONTBL[[#This Row],[FIELD]],FIELDACRE,3,FALSE)</f>
        <v>N2 17-6-47</v>
      </c>
      <c r="E84" s="569">
        <f>VLOOKUP(ROTATIONTBL[[#This Row],[FIELD]],FIELDACRE,4,FALSE)</f>
        <v>3720</v>
      </c>
      <c r="F84" s="569">
        <f>VLOOKUP(ROTATIONTBL[[#This Row],[FIELD]],FIELDACRE,5,FALSE)</f>
        <v>3815</v>
      </c>
      <c r="G84" s="646">
        <f t="shared" si="5"/>
        <v>160</v>
      </c>
      <c r="H84" s="569" t="str">
        <f>IFERROR(VLOOKUP(ROTATIONTBL[[#This Row],[FIELD]],ROTATIONRG,6,FALSE)," ")</f>
        <v xml:space="preserve">HARD </v>
      </c>
      <c r="I84" s="569" t="str">
        <f>IFERROR(VLOOKUP(ROTATIONTBL[[#This Row],[FIELD]],FFTBL[[Field]:[COUNTY2]],7,FALSE)," ")</f>
        <v>PHILLIPS</v>
      </c>
      <c r="J84" s="569" t="s">
        <v>108</v>
      </c>
      <c r="K84" s="569" t="s">
        <v>108</v>
      </c>
      <c r="L84" s="569" t="s">
        <v>108</v>
      </c>
      <c r="M84" s="569" t="s">
        <v>108</v>
      </c>
      <c r="N84" s="569" t="s">
        <v>108</v>
      </c>
      <c r="O84" s="569" t="s">
        <v>294</v>
      </c>
      <c r="P84" s="569" t="s">
        <v>294</v>
      </c>
      <c r="Q84" s="569" t="s">
        <v>294</v>
      </c>
      <c r="R84" s="569"/>
      <c r="S84" s="569" t="s">
        <v>294</v>
      </c>
      <c r="T84" s="569" t="s">
        <v>294</v>
      </c>
      <c r="U84" s="569" t="s">
        <v>294</v>
      </c>
      <c r="V84" s="569" t="s">
        <v>294</v>
      </c>
      <c r="W84" s="572"/>
      <c r="X84" s="572"/>
      <c r="Y84" s="569"/>
      <c r="Z84" s="569"/>
      <c r="AA84" s="571"/>
      <c r="AB84" s="569"/>
      <c r="AC84" s="569"/>
    </row>
    <row r="85" spans="1:29" ht="15.75" x14ac:dyDescent="0.25">
      <c r="A85" s="651" t="s">
        <v>20</v>
      </c>
      <c r="B85" s="651" t="s">
        <v>35</v>
      </c>
      <c r="C85" s="651" t="s">
        <v>97</v>
      </c>
      <c r="D85" s="644" t="str">
        <f>VLOOKUP(ROTATIONTBL[[#This Row],[FIELD]],FIELDACRE,3,FALSE)</f>
        <v>NE 20-8-47</v>
      </c>
      <c r="E85" s="569">
        <f>VLOOKUP(ROTATIONTBL[[#This Row],[FIELD]],FIELDACRE,4,FALSE)</f>
        <v>4207</v>
      </c>
      <c r="F85" s="643">
        <f>VLOOKUP(ROTATIONTBL[[#This Row],[FIELD]],FIELDACRE,5,FALSE)</f>
        <v>5418</v>
      </c>
      <c r="G85" s="570">
        <f t="shared" si="5"/>
        <v>147.16</v>
      </c>
      <c r="H85" s="644" t="str">
        <f>IFERROR(VLOOKUP(ROTATIONTBL[[#This Row],[FIELD]],ROTATIONRG,6,FALSE)," ")</f>
        <v>SAND</v>
      </c>
      <c r="I85" s="569" t="str">
        <f>IFERROR(VLOOKUP(ROTATIONTBL[[#This Row],[FIELD]],FFTBL[[Field]:[COUNTY2]],7,FALSE)," ")</f>
        <v>PHILLIPS</v>
      </c>
      <c r="J85" s="569"/>
      <c r="K85" s="569"/>
      <c r="L85" s="569"/>
      <c r="M85" s="569"/>
      <c r="N85" s="569"/>
      <c r="O85" s="569" t="s">
        <v>283</v>
      </c>
      <c r="P85" s="569" t="s">
        <v>117</v>
      </c>
      <c r="Q85" s="569" t="s">
        <v>117</v>
      </c>
      <c r="R85" s="569"/>
      <c r="S85" s="569" t="s">
        <v>117</v>
      </c>
      <c r="T85" s="569" t="s">
        <v>117</v>
      </c>
      <c r="U85" s="569" t="s">
        <v>117</v>
      </c>
      <c r="V85" s="569" t="s">
        <v>117</v>
      </c>
      <c r="W85" s="572"/>
      <c r="X85" s="572"/>
      <c r="Y85" s="569"/>
      <c r="Z85" s="569"/>
      <c r="AA85" s="571"/>
      <c r="AB85" s="569"/>
      <c r="AC85" s="569"/>
    </row>
    <row r="86" spans="1:29" ht="15.75" x14ac:dyDescent="0.25">
      <c r="A86" s="647" t="s">
        <v>20</v>
      </c>
      <c r="B86" s="647" t="s">
        <v>26</v>
      </c>
      <c r="C86" s="647" t="s">
        <v>193</v>
      </c>
      <c r="D86" s="569" t="str">
        <f>VLOOKUP(ROTATIONTBL[[#This Row],[FIELD]],FIELDACRE,3,FALSE)</f>
        <v>NW13-9-47</v>
      </c>
      <c r="E86" s="569">
        <f>VLOOKUP(ROTATIONTBL[[#This Row],[FIELD]],FIELDACRE,4,FALSE)</f>
        <v>0</v>
      </c>
      <c r="F86" s="569">
        <f>VLOOKUP(ROTATIONTBL[[#This Row],[FIELD]],FIELDACRE,5,FALSE)</f>
        <v>0</v>
      </c>
      <c r="G86" s="570">
        <f t="shared" si="5"/>
        <v>107.9</v>
      </c>
      <c r="H86" s="569" t="str">
        <f>IFERROR(VLOOKUP(ROTATIONTBL[[#This Row],[FIELD]],ROTATIONRG,6,FALSE)," ")</f>
        <v>SAND</v>
      </c>
      <c r="I86" s="569" t="str">
        <f>IFERROR(VLOOKUP(ROTATIONTBL[[#This Row],[FIELD]],FFTBL[[Field]:[COUNTY2]],7,FALSE)," ")</f>
        <v>SEDGWICK</v>
      </c>
      <c r="J86" s="569"/>
      <c r="K86" s="569"/>
      <c r="L86" s="569"/>
      <c r="M86" s="569"/>
      <c r="N86" s="569"/>
      <c r="O86" s="569"/>
      <c r="P86" s="569" t="s">
        <v>289</v>
      </c>
      <c r="Q86" s="569" t="s">
        <v>294</v>
      </c>
      <c r="R86" s="569"/>
      <c r="S86" s="569" t="s">
        <v>289</v>
      </c>
      <c r="T86" s="569" t="s">
        <v>292</v>
      </c>
      <c r="U86" s="569" t="s">
        <v>289</v>
      </c>
      <c r="V86" s="569" t="s">
        <v>292</v>
      </c>
      <c r="W86" s="572"/>
      <c r="X86" s="572"/>
      <c r="Y86" s="569"/>
      <c r="Z86" s="569"/>
      <c r="AA86" s="569"/>
      <c r="AB86" s="569"/>
      <c r="AC86" s="569"/>
    </row>
    <row r="87" spans="1:29" ht="15.75" x14ac:dyDescent="0.25">
      <c r="A87" s="568" t="s">
        <v>20</v>
      </c>
      <c r="B87" s="568" t="s">
        <v>21</v>
      </c>
      <c r="C87" s="637" t="s">
        <v>132</v>
      </c>
      <c r="D87" s="569" t="str">
        <f>VLOOKUP(ROTATIONTBL[[#This Row],[FIELD]],FIELDACRE,3,FALSE)</f>
        <v>NE4 2-6-47</v>
      </c>
      <c r="E87" s="569">
        <f>VLOOKUP(ROTATIONTBL[[#This Row],[FIELD]],FIELDACRE,4,FALSE)</f>
        <v>3438</v>
      </c>
      <c r="F87" s="569">
        <f>VLOOKUP(ROTATIONTBL[[#This Row],[FIELD]],FIELDACRE,5,FALSE)</f>
        <v>1768</v>
      </c>
      <c r="G87" s="570">
        <f t="shared" si="5"/>
        <v>79.25</v>
      </c>
      <c r="H87" s="569" t="str">
        <f>IFERROR(VLOOKUP(ROTATIONTBL[[#This Row],[FIELD]],ROTATIONRG,6,FALSE)," ")</f>
        <v xml:space="preserve">HARD </v>
      </c>
      <c r="I87" s="569" t="str">
        <f>IFERROR(VLOOKUP(ROTATIONTBL[[#This Row],[FIELD]],FFTBL[[Field]:[COUNTY2]],7,FALSE)," ")</f>
        <v>PHILLIPS</v>
      </c>
      <c r="J87" s="569"/>
      <c r="K87" s="569"/>
      <c r="L87" s="569" t="s">
        <v>283</v>
      </c>
      <c r="M87" s="569" t="s">
        <v>283</v>
      </c>
      <c r="N87" s="569" t="s">
        <v>283</v>
      </c>
      <c r="O87" s="569" t="s">
        <v>117</v>
      </c>
      <c r="P87" s="569" t="s">
        <v>285</v>
      </c>
      <c r="Q87" s="569" t="s">
        <v>295</v>
      </c>
      <c r="R87" s="569" t="s">
        <v>728</v>
      </c>
      <c r="S87" s="569" t="s">
        <v>283</v>
      </c>
      <c r="T87" s="569" t="s">
        <v>291</v>
      </c>
      <c r="U87" s="569" t="s">
        <v>285</v>
      </c>
      <c r="V87" s="569" t="s">
        <v>295</v>
      </c>
      <c r="W87" s="572">
        <v>44331</v>
      </c>
      <c r="X87" s="569" t="s">
        <v>729</v>
      </c>
      <c r="Y87" s="569"/>
      <c r="Z87" s="569"/>
      <c r="AA87" s="571" t="s">
        <v>714</v>
      </c>
      <c r="AB87" s="572">
        <v>45205</v>
      </c>
      <c r="AC87" s="569"/>
    </row>
    <row r="88" spans="1:29" ht="15.75" x14ac:dyDescent="0.25">
      <c r="A88" s="568" t="s">
        <v>20</v>
      </c>
      <c r="B88" s="568" t="s">
        <v>21</v>
      </c>
      <c r="C88" s="637" t="s">
        <v>153</v>
      </c>
      <c r="D88" s="569" t="str">
        <f>VLOOKUP(ROTATIONTBL[[#This Row],[FIELD]],FIELDACRE,3,FALSE)</f>
        <v>SE4 14-7-48</v>
      </c>
      <c r="E88" s="569">
        <f>VLOOKUP(ROTATIONTBL[[#This Row],[FIELD]],FIELDACRE,4,FALSE)</f>
        <v>3438</v>
      </c>
      <c r="F88" s="569">
        <f>VLOOKUP(ROTATIONTBL[[#This Row],[FIELD]],FIELDACRE,5,FALSE)</f>
        <v>3460</v>
      </c>
      <c r="G88" s="570">
        <f t="shared" si="5"/>
        <v>74.900000000000006</v>
      </c>
      <c r="H88" s="569" t="str">
        <f>IFERROR(VLOOKUP(ROTATIONTBL[[#This Row],[FIELD]],ROTATIONRG,6,FALSE)," ")</f>
        <v xml:space="preserve">HARD </v>
      </c>
      <c r="I88" s="569" t="str">
        <f>IFERROR(VLOOKUP(ROTATIONTBL[[#This Row],[FIELD]],FFTBL[[Field]:[COUNTY2]],7,FALSE)," ")</f>
        <v>LOGAN</v>
      </c>
      <c r="J88" s="569"/>
      <c r="K88" s="569"/>
      <c r="L88" s="569"/>
      <c r="M88" s="569"/>
      <c r="N88" s="569"/>
      <c r="O88" s="569" t="s">
        <v>117</v>
      </c>
      <c r="P88" s="569" t="s">
        <v>285</v>
      </c>
      <c r="Q88" s="569" t="s">
        <v>295</v>
      </c>
      <c r="R88" s="569" t="s">
        <v>730</v>
      </c>
      <c r="S88" s="569" t="s">
        <v>283</v>
      </c>
      <c r="T88" s="569" t="s">
        <v>291</v>
      </c>
      <c r="U88" s="569" t="s">
        <v>285</v>
      </c>
      <c r="V88" s="569" t="s">
        <v>295</v>
      </c>
      <c r="W88" s="572"/>
      <c r="X88" s="572"/>
      <c r="Y88" s="569"/>
      <c r="Z88" s="569"/>
      <c r="AA88" s="571"/>
      <c r="AB88" s="569"/>
      <c r="AC88" s="569"/>
    </row>
    <row r="89" spans="1:29" ht="15.75" x14ac:dyDescent="0.25">
      <c r="A89" s="568" t="s">
        <v>20</v>
      </c>
      <c r="B89" s="568" t="s">
        <v>35</v>
      </c>
      <c r="C89" s="568" t="s">
        <v>37</v>
      </c>
      <c r="D89" s="569" t="str">
        <f>VLOOKUP(ROTATIONTBL[[#This Row],[FIELD]],FIELDACRE,3,FALSE)</f>
        <v>NW 29-7-47</v>
      </c>
      <c r="E89" s="569">
        <f>VLOOKUP(ROTATIONTBL[[#This Row],[FIELD]],FIELDACRE,4,FALSE)</f>
        <v>4667</v>
      </c>
      <c r="F89" s="569">
        <f>VLOOKUP(ROTATIONTBL[[#This Row],[FIELD]],FIELDACRE,5,FALSE)</f>
        <v>5798</v>
      </c>
      <c r="G89" s="570">
        <f t="shared" si="5"/>
        <v>157.69999999999999</v>
      </c>
      <c r="H89" s="569" t="str">
        <f>IFERROR(VLOOKUP(ROTATIONTBL[[#This Row],[FIELD]],ROTATIONRG,6,FALSE)," ")</f>
        <v xml:space="preserve">HARD </v>
      </c>
      <c r="I89" s="569" t="str">
        <f>IFERROR(VLOOKUP(ROTATIONTBL[[#This Row],[FIELD]],FFTBL[[Field]:[COUNTY2]],7,FALSE)," ")</f>
        <v>PHILLIPS</v>
      </c>
      <c r="J89" s="569"/>
      <c r="K89" s="569"/>
      <c r="L89" s="569"/>
      <c r="M89" s="569"/>
      <c r="N89" s="569"/>
      <c r="O89" s="569" t="s">
        <v>285</v>
      </c>
      <c r="P89" s="569" t="s">
        <v>117</v>
      </c>
      <c r="Q89" s="569" t="s">
        <v>117</v>
      </c>
      <c r="R89" s="569"/>
      <c r="S89" s="569" t="s">
        <v>117</v>
      </c>
      <c r="T89" s="569" t="s">
        <v>117</v>
      </c>
      <c r="U89" s="569" t="s">
        <v>117</v>
      </c>
      <c r="V89" s="569" t="s">
        <v>117</v>
      </c>
      <c r="W89" s="572"/>
      <c r="X89" s="572"/>
      <c r="Y89" s="569"/>
      <c r="Z89" s="569"/>
      <c r="AA89" s="571"/>
      <c r="AB89" s="569"/>
      <c r="AC89" s="569"/>
    </row>
    <row r="90" spans="1:29" ht="15.75" x14ac:dyDescent="0.25">
      <c r="A90" s="568" t="s">
        <v>20</v>
      </c>
      <c r="B90" s="568" t="s">
        <v>28</v>
      </c>
      <c r="C90" s="637" t="s">
        <v>219</v>
      </c>
      <c r="D90" s="569" t="str">
        <f>VLOOKUP(ROTATIONTBL[[#This Row],[FIELD]],FIELDACRE,3,FALSE)</f>
        <v>NE4 6-6-46</v>
      </c>
      <c r="E90" s="569">
        <f>VLOOKUP(ROTATIONTBL[[#This Row],[FIELD]],FIELDACRE,4,FALSE)</f>
        <v>50</v>
      </c>
      <c r="F90" s="569">
        <f>VLOOKUP(ROTATIONTBL[[#This Row],[FIELD]],FIELDACRE,5,FALSE)</f>
        <v>1339</v>
      </c>
      <c r="G90" s="570">
        <f t="shared" si="5"/>
        <v>79.400000000000006</v>
      </c>
      <c r="H90" s="569" t="str">
        <f>IFERROR(VLOOKUP(ROTATIONTBL[[#This Row],[FIELD]],ROTATIONRG,6,FALSE)," ")</f>
        <v xml:space="preserve">HARD </v>
      </c>
      <c r="I90" s="569" t="str">
        <f>IFERROR(VLOOKUP(ROTATIONTBL[[#This Row],[FIELD]],FFTBL[[Field]:[COUNTY2]],7,FALSE)," ")</f>
        <v>PHILLIPS</v>
      </c>
      <c r="J90" s="569" t="s">
        <v>108</v>
      </c>
      <c r="K90" s="569" t="s">
        <v>108</v>
      </c>
      <c r="L90" s="569" t="s">
        <v>108</v>
      </c>
      <c r="M90" s="569" t="s">
        <v>108</v>
      </c>
      <c r="N90" s="569" t="s">
        <v>108</v>
      </c>
      <c r="O90" s="569" t="s">
        <v>117</v>
      </c>
      <c r="P90" s="569" t="s">
        <v>285</v>
      </c>
      <c r="Q90" s="569" t="s">
        <v>295</v>
      </c>
      <c r="R90" s="569" t="s">
        <v>728</v>
      </c>
      <c r="S90" s="569" t="s">
        <v>283</v>
      </c>
      <c r="T90" s="569" t="s">
        <v>291</v>
      </c>
      <c r="U90" s="569" t="s">
        <v>285</v>
      </c>
      <c r="V90" s="569" t="s">
        <v>295</v>
      </c>
      <c r="W90" s="572"/>
      <c r="X90" s="572"/>
      <c r="Y90" s="569"/>
      <c r="Z90" s="569"/>
      <c r="AA90" s="571"/>
      <c r="AB90" s="569"/>
      <c r="AC90" s="569"/>
    </row>
    <row r="91" spans="1:29" ht="15.75" x14ac:dyDescent="0.25">
      <c r="A91" s="568" t="s">
        <v>20</v>
      </c>
      <c r="B91" s="568" t="s">
        <v>32</v>
      </c>
      <c r="C91" s="637" t="s">
        <v>236</v>
      </c>
      <c r="D91" s="569" t="str">
        <f>VLOOKUP(ROTATIONTBL[[#This Row],[FIELD]],FIELDACRE,3,FALSE)</f>
        <v>NE4 11-8-47</v>
      </c>
      <c r="E91" s="569">
        <f>VLOOKUP(ROTATIONTBL[[#This Row],[FIELD]],FIELDACRE,4,FALSE)</f>
        <v>2522</v>
      </c>
      <c r="F91" s="569">
        <f>VLOOKUP(ROTATIONTBL[[#This Row],[FIELD]],FIELDACRE,5,FALSE)</f>
        <v>1521</v>
      </c>
      <c r="G91" s="570">
        <f t="shared" si="5"/>
        <v>78.400000000000006</v>
      </c>
      <c r="H91" s="569" t="str">
        <f>IFERROR(VLOOKUP(ROTATIONTBL[[#This Row],[FIELD]],ROTATIONRG,6,FALSE)," ")</f>
        <v>LOAM</v>
      </c>
      <c r="I91" s="569" t="str">
        <f>IFERROR(VLOOKUP(ROTATIONTBL[[#This Row],[FIELD]],FFTBL[[Field]:[COUNTY2]],7,FALSE)," ")</f>
        <v>PHILLIPS</v>
      </c>
      <c r="J91" s="569" t="str">
        <f>IFERROR(VLOOKUP(ROTATIONTBL[[#This Row],[FIELD]],ROTATIONRG,6,FALSE)," ")</f>
        <v>LOAM</v>
      </c>
      <c r="K91" s="569" t="str">
        <f>IFERROR(VLOOKUP(ROTATIONTBL[[#This Row],[FIELD]],ROTATIONRG,6,FALSE)," ")</f>
        <v>LOAM</v>
      </c>
      <c r="L91" s="569" t="str">
        <f>IFERROR(VLOOKUP(ROTATIONTBL[[#This Row],[FIELD]],ROTATIONRG,6,FALSE)," ")</f>
        <v>LOAM</v>
      </c>
      <c r="M91" s="569" t="str">
        <f>IFERROR(VLOOKUP(ROTATIONTBL[[#This Row],[FIELD]],ROTATIONRG,6,FALSE)," ")</f>
        <v>LOAM</v>
      </c>
      <c r="N91" s="569" t="str">
        <f>IFERROR(VLOOKUP(ROTATIONTBL[[#This Row],[FIELD]],ROTATIONRG,6,FALSE)," ")</f>
        <v>LOAM</v>
      </c>
      <c r="O91" s="569" t="s">
        <v>117</v>
      </c>
      <c r="P91" s="569" t="s">
        <v>285</v>
      </c>
      <c r="Q91" s="569" t="s">
        <v>295</v>
      </c>
      <c r="R91" s="569" t="s">
        <v>728</v>
      </c>
      <c r="S91" s="569" t="s">
        <v>283</v>
      </c>
      <c r="T91" s="569" t="s">
        <v>291</v>
      </c>
      <c r="U91" s="569" t="s">
        <v>285</v>
      </c>
      <c r="V91" s="569" t="s">
        <v>295</v>
      </c>
      <c r="W91" s="572"/>
      <c r="X91" s="572"/>
      <c r="Y91" s="569"/>
      <c r="Z91" s="569"/>
      <c r="AA91" s="571"/>
      <c r="AB91" s="569"/>
      <c r="AC91" s="569"/>
    </row>
    <row r="92" spans="1:29" ht="15.75" x14ac:dyDescent="0.25">
      <c r="A92" s="568" t="s">
        <v>20</v>
      </c>
      <c r="B92" s="568" t="s">
        <v>35</v>
      </c>
      <c r="C92" s="568" t="s">
        <v>272</v>
      </c>
      <c r="D92" s="569" t="str">
        <f>VLOOKUP(ROTATIONTBL[[#This Row],[FIELD]],FIELDACRE,3,FALSE)</f>
        <v>SW 33-7-46</v>
      </c>
      <c r="E92" s="569">
        <f>VLOOKUP(ROTATIONTBL[[#This Row],[FIELD]],FIELDACRE,4,FALSE)</f>
        <v>247</v>
      </c>
      <c r="F92" s="569">
        <f>VLOOKUP(ROTATIONTBL[[#This Row],[FIELD]],FIELDACRE,5,FALSE)</f>
        <v>1311</v>
      </c>
      <c r="G92" s="570">
        <f t="shared" si="5"/>
        <v>6.39</v>
      </c>
      <c r="H92" s="569" t="str">
        <f>IFERROR(VLOOKUP(ROTATIONTBL[[#This Row],[FIELD]],ROTATIONRG,6,FALSE)," ")</f>
        <v>WASTE</v>
      </c>
      <c r="I92" s="569" t="str">
        <f>IFERROR(VLOOKUP(ROTATIONTBL[[#This Row],[FIELD]],FFTBL[[Field]:[COUNTY2]],7,FALSE)," ")</f>
        <v>PHILLIPS</v>
      </c>
      <c r="J92" s="569"/>
      <c r="K92" s="569"/>
      <c r="L92" s="569"/>
      <c r="M92" s="569"/>
      <c r="N92" s="569"/>
      <c r="O92" s="569" t="s">
        <v>113</v>
      </c>
      <c r="P92" s="569" t="s">
        <v>113</v>
      </c>
      <c r="Q92" s="569" t="s">
        <v>113</v>
      </c>
      <c r="R92" s="569"/>
      <c r="S92" s="569" t="s">
        <v>113</v>
      </c>
      <c r="T92" s="569" t="s">
        <v>113</v>
      </c>
      <c r="U92" s="569" t="s">
        <v>113</v>
      </c>
      <c r="V92" s="569" t="s">
        <v>113</v>
      </c>
      <c r="W92" s="572"/>
      <c r="X92" s="572"/>
      <c r="Y92" s="569"/>
      <c r="Z92" s="569"/>
      <c r="AA92" s="571"/>
      <c r="AB92" s="569"/>
      <c r="AC92" s="569"/>
    </row>
    <row r="93" spans="1:29" ht="15.75" x14ac:dyDescent="0.25">
      <c r="A93" s="568" t="s">
        <v>20</v>
      </c>
      <c r="B93" s="568" t="s">
        <v>80</v>
      </c>
      <c r="C93" s="568" t="s">
        <v>273</v>
      </c>
      <c r="D93" s="569" t="str">
        <f>VLOOKUP(ROTATIONTBL[[#This Row],[FIELD]],FIELDACRE,3,FALSE)</f>
        <v>NE4 28-7-48</v>
      </c>
      <c r="E93" s="569">
        <f>VLOOKUP(ROTATIONTBL[[#This Row],[FIELD]],FIELDACRE,4,FALSE)</f>
        <v>4114</v>
      </c>
      <c r="F93" s="569">
        <f>VLOOKUP(ROTATIONTBL[[#This Row],[FIELD]],FIELDACRE,5,FALSE)</f>
        <v>4048</v>
      </c>
      <c r="G93" s="570">
        <f t="shared" si="5"/>
        <v>157.56</v>
      </c>
      <c r="H93" s="569" t="str">
        <f>IFERROR(VLOOKUP(ROTATIONTBL[[#This Row],[FIELD]],ROTATIONRG,6,FALSE)," ")</f>
        <v xml:space="preserve">HARD </v>
      </c>
      <c r="I93" s="569" t="str">
        <f>IFERROR(VLOOKUP(ROTATIONTBL[[#This Row],[FIELD]],FFTBL[[Field]:[COUNTY2]],7,FALSE)," ")</f>
        <v>LOGAN</v>
      </c>
      <c r="J93" s="569" t="s">
        <v>285</v>
      </c>
      <c r="K93" s="569" t="s">
        <v>295</v>
      </c>
      <c r="L93" s="569" t="s">
        <v>287</v>
      </c>
      <c r="M93" s="569" t="s">
        <v>285</v>
      </c>
      <c r="N93" s="569" t="s">
        <v>295</v>
      </c>
      <c r="O93" s="569" t="s">
        <v>283</v>
      </c>
      <c r="P93" s="569" t="s">
        <v>117</v>
      </c>
      <c r="Q93" s="569" t="s">
        <v>117</v>
      </c>
      <c r="R93" s="569"/>
      <c r="S93" s="569" t="s">
        <v>117</v>
      </c>
      <c r="T93" s="569" t="s">
        <v>117</v>
      </c>
      <c r="U93" s="569" t="s">
        <v>117</v>
      </c>
      <c r="V93" s="569" t="s">
        <v>117</v>
      </c>
      <c r="W93" s="569"/>
      <c r="X93" s="572">
        <v>44463</v>
      </c>
      <c r="Y93" s="569"/>
      <c r="Z93" s="569"/>
      <c r="AA93" s="571" t="s">
        <v>715</v>
      </c>
      <c r="AB93" s="569" t="s">
        <v>716</v>
      </c>
      <c r="AC93" s="569"/>
    </row>
    <row r="94" spans="1:29" ht="15.75" x14ac:dyDescent="0.25">
      <c r="A94" s="568" t="s">
        <v>20</v>
      </c>
      <c r="B94" s="568" t="s">
        <v>32</v>
      </c>
      <c r="C94" s="637" t="s">
        <v>243</v>
      </c>
      <c r="D94" s="569" t="str">
        <f>VLOOKUP(ROTATIONTBL[[#This Row],[FIELD]],FIELDACRE,3,FALSE)</f>
        <v>SW4 12-8-47</v>
      </c>
      <c r="E94" s="569">
        <f>VLOOKUP(ROTATIONTBL[[#This Row],[FIELD]],FIELDACRE,4,FALSE)</f>
        <v>2522</v>
      </c>
      <c r="F94" s="569">
        <f>VLOOKUP(ROTATIONTBL[[#This Row],[FIELD]],FIELDACRE,5,FALSE)</f>
        <v>3251</v>
      </c>
      <c r="G94" s="570">
        <f t="shared" si="5"/>
        <v>79.099999999999994</v>
      </c>
      <c r="H94" s="569" t="str">
        <f>IFERROR(VLOOKUP(ROTATIONTBL[[#This Row],[FIELD]],ROTATIONRG,6,FALSE)," ")</f>
        <v>LOAM</v>
      </c>
      <c r="I94" s="569" t="str">
        <f>IFERROR(VLOOKUP(ROTATIONTBL[[#This Row],[FIELD]],FFTBL[[Field]:[COUNTY2]],7,FALSE)," ")</f>
        <v>PHILLIPS</v>
      </c>
      <c r="J94" s="569" t="s">
        <v>108</v>
      </c>
      <c r="K94" s="569" t="s">
        <v>108</v>
      </c>
      <c r="L94" s="569" t="s">
        <v>108</v>
      </c>
      <c r="M94" s="569" t="s">
        <v>108</v>
      </c>
      <c r="N94" s="569" t="s">
        <v>108</v>
      </c>
      <c r="O94" s="569" t="s">
        <v>117</v>
      </c>
      <c r="P94" s="569" t="s">
        <v>285</v>
      </c>
      <c r="Q94" s="569" t="s">
        <v>295</v>
      </c>
      <c r="R94" s="569" t="s">
        <v>728</v>
      </c>
      <c r="S94" s="569" t="s">
        <v>283</v>
      </c>
      <c r="T94" s="569" t="s">
        <v>291</v>
      </c>
      <c r="U94" s="569" t="s">
        <v>285</v>
      </c>
      <c r="V94" s="569" t="s">
        <v>295</v>
      </c>
      <c r="W94" s="572"/>
      <c r="X94" s="572"/>
      <c r="Y94" s="569"/>
      <c r="Z94" s="569"/>
      <c r="AA94" s="571"/>
      <c r="AB94" s="569"/>
      <c r="AC94" s="569"/>
    </row>
    <row r="95" spans="1:29" ht="15.75" x14ac:dyDescent="0.25">
      <c r="A95" s="568" t="s">
        <v>20</v>
      </c>
      <c r="B95" s="568" t="s">
        <v>35</v>
      </c>
      <c r="C95" s="568" t="s">
        <v>258</v>
      </c>
      <c r="D95" s="569" t="str">
        <f>VLOOKUP(ROTATIONTBL[[#This Row],[FIELD]],FIELDACRE,3,FALSE)</f>
        <v>SE4 8-9-47</v>
      </c>
      <c r="E95" s="569">
        <f>VLOOKUP(ROTATIONTBL[[#This Row],[FIELD]],FIELDACRE,4,FALSE)</f>
        <v>4071</v>
      </c>
      <c r="F95" s="569">
        <f>VLOOKUP(ROTATIONTBL[[#This Row],[FIELD]],FIELDACRE,5,FALSE)</f>
        <v>4021</v>
      </c>
      <c r="G95" s="570">
        <f t="shared" si="5"/>
        <v>25.67</v>
      </c>
      <c r="H95" s="569" t="str">
        <f>IFERROR(VLOOKUP(ROTATIONTBL[[#This Row],[FIELD]],ROTATIONRG,6,FALSE)," ")</f>
        <v>SAND</v>
      </c>
      <c r="I95" s="569" t="str">
        <f>IFERROR(VLOOKUP(ROTATIONTBL[[#This Row],[FIELD]],FFTBL[[Field]:[COUNTY2]],7,FALSE)," ")</f>
        <v>SEDGWICK</v>
      </c>
      <c r="J95" s="569"/>
      <c r="K95" s="569"/>
      <c r="L95" s="569"/>
      <c r="M95" s="569"/>
      <c r="N95" s="569"/>
      <c r="O95" s="569" t="s">
        <v>283</v>
      </c>
      <c r="P95" s="569" t="s">
        <v>283</v>
      </c>
      <c r="Q95" s="569" t="s">
        <v>295</v>
      </c>
      <c r="R95" s="569" t="s">
        <v>731</v>
      </c>
      <c r="S95" s="569" t="s">
        <v>289</v>
      </c>
      <c r="T95" s="569" t="s">
        <v>295</v>
      </c>
      <c r="U95" s="569" t="s">
        <v>283</v>
      </c>
      <c r="V95" s="569" t="s">
        <v>291</v>
      </c>
      <c r="W95" s="572"/>
      <c r="X95" s="572"/>
      <c r="Y95" s="569"/>
      <c r="Z95" s="569"/>
      <c r="AA95" s="571"/>
      <c r="AB95" s="569"/>
      <c r="AC95" s="569"/>
    </row>
    <row r="96" spans="1:29" ht="15.75" x14ac:dyDescent="0.25">
      <c r="A96" s="568" t="s">
        <v>20</v>
      </c>
      <c r="B96" s="568" t="s">
        <v>80</v>
      </c>
      <c r="C96" s="568" t="s">
        <v>278</v>
      </c>
      <c r="D96" s="569" t="str">
        <f>VLOOKUP(ROTATIONTBL[[#This Row],[FIELD]],FIELDACRE,3,FALSE)</f>
        <v>SE4 35-7-47</v>
      </c>
      <c r="E96" s="569">
        <f>VLOOKUP(ROTATIONTBL[[#This Row],[FIELD]],FIELDACRE,4,FALSE)</f>
        <v>6759</v>
      </c>
      <c r="F96" s="569">
        <f>VLOOKUP(ROTATIONTBL[[#This Row],[FIELD]],FIELDACRE,5,FALSE)</f>
        <v>3794</v>
      </c>
      <c r="G96" s="570">
        <f t="shared" si="5"/>
        <v>157.88</v>
      </c>
      <c r="H96" s="569" t="str">
        <f>IFERROR(VLOOKUP(ROTATIONTBL[[#This Row],[FIELD]],ROTATIONRG,6,FALSE)," ")</f>
        <v xml:space="preserve">HARD </v>
      </c>
      <c r="I96" s="569" t="str">
        <f>IFERROR(VLOOKUP(ROTATIONTBL[[#This Row],[FIELD]],FFTBL[[Field]:[COUNTY2]],7,FALSE)," ")</f>
        <v>PHILLIPS</v>
      </c>
      <c r="J96" s="569" t="s">
        <v>295</v>
      </c>
      <c r="K96" s="569" t="s">
        <v>283</v>
      </c>
      <c r="L96" s="569" t="s">
        <v>287</v>
      </c>
      <c r="M96" s="569" t="s">
        <v>285</v>
      </c>
      <c r="N96" s="569" t="s">
        <v>295</v>
      </c>
      <c r="O96" s="569" t="s">
        <v>117</v>
      </c>
      <c r="P96" s="569" t="s">
        <v>117</v>
      </c>
      <c r="Q96" s="569" t="s">
        <v>117</v>
      </c>
      <c r="R96" s="569"/>
      <c r="S96" s="569" t="s">
        <v>117</v>
      </c>
      <c r="T96" s="569" t="s">
        <v>117</v>
      </c>
      <c r="U96" s="569" t="s">
        <v>117</v>
      </c>
      <c r="V96" s="569" t="s">
        <v>117</v>
      </c>
      <c r="W96" s="569"/>
      <c r="X96" s="572">
        <v>44468</v>
      </c>
      <c r="Y96" s="569"/>
      <c r="Z96" s="569"/>
      <c r="AA96" s="571" t="s">
        <v>715</v>
      </c>
      <c r="AB96" s="569" t="s">
        <v>716</v>
      </c>
      <c r="AC96" s="569"/>
    </row>
    <row r="97" spans="1:29" ht="15.75" x14ac:dyDescent="0.25">
      <c r="A97" s="568" t="s">
        <v>20</v>
      </c>
      <c r="B97" s="568" t="s">
        <v>35</v>
      </c>
      <c r="C97" s="568" t="s">
        <v>259</v>
      </c>
      <c r="D97" s="569" t="str">
        <f>VLOOKUP(ROTATIONTBL[[#This Row],[FIELD]],FIELDACRE,3,FALSE)</f>
        <v>SE4 8-9-47</v>
      </c>
      <c r="E97" s="569">
        <f>VLOOKUP(ROTATIONTBL[[#This Row],[FIELD]],FIELDACRE,4,FALSE)</f>
        <v>4071</v>
      </c>
      <c r="F97" s="569">
        <f>VLOOKUP(ROTATIONTBL[[#This Row],[FIELD]],FIELDACRE,5,FALSE)</f>
        <v>4021</v>
      </c>
      <c r="G97" s="570">
        <f t="shared" si="5"/>
        <v>49.63</v>
      </c>
      <c r="H97" s="569" t="str">
        <f>IFERROR(VLOOKUP(ROTATIONTBL[[#This Row],[FIELD]],ROTATIONRG,6,FALSE)," ")</f>
        <v>SAND</v>
      </c>
      <c r="I97" s="569" t="str">
        <f>IFERROR(VLOOKUP(ROTATIONTBL[[#This Row],[FIELD]],FFTBL[[Field]:[COUNTY2]],7,FALSE)," ")</f>
        <v>SEDGWICK</v>
      </c>
      <c r="J97" s="569"/>
      <c r="K97" s="569"/>
      <c r="L97" s="569"/>
      <c r="M97" s="569"/>
      <c r="N97" s="569"/>
      <c r="O97" s="569" t="s">
        <v>283</v>
      </c>
      <c r="P97" s="569" t="s">
        <v>283</v>
      </c>
      <c r="Q97" s="569" t="s">
        <v>295</v>
      </c>
      <c r="R97" s="569" t="s">
        <v>731</v>
      </c>
      <c r="S97" s="569" t="s">
        <v>289</v>
      </c>
      <c r="T97" s="569" t="s">
        <v>295</v>
      </c>
      <c r="U97" s="569" t="s">
        <v>283</v>
      </c>
      <c r="V97" s="569" t="s">
        <v>291</v>
      </c>
      <c r="W97" s="572"/>
      <c r="X97" s="572"/>
      <c r="Y97" s="569"/>
      <c r="Z97" s="569"/>
      <c r="AA97" s="631"/>
      <c r="AB97" s="665"/>
      <c r="AC97" s="569"/>
    </row>
    <row r="98" spans="1:29" ht="15.75" x14ac:dyDescent="0.25">
      <c r="A98" s="651" t="s">
        <v>20</v>
      </c>
      <c r="B98" s="651" t="s">
        <v>80</v>
      </c>
      <c r="C98" s="636" t="s">
        <v>638</v>
      </c>
      <c r="D98" s="569" t="e">
        <f>VLOOKUP(ROTATIONTBL[[#This Row],[FIELD]],FIELDACRE,3,FALSE)</f>
        <v>#N/A</v>
      </c>
      <c r="E98" s="569" t="e">
        <f>VLOOKUP(ROTATIONTBL[[#This Row],[FIELD]],FIELDACRE,4,FALSE)</f>
        <v>#N/A</v>
      </c>
      <c r="F98" s="569" t="e">
        <f>VLOOKUP(ROTATIONTBL[[#This Row],[FIELD]],FIELDACRE,5,FALSE)</f>
        <v>#N/A</v>
      </c>
      <c r="G98" s="570" t="str">
        <f t="shared" si="5"/>
        <v xml:space="preserve"> </v>
      </c>
      <c r="H98" s="569" t="str">
        <f>IFERROR(VLOOKUP(ROTATIONTBL[[#This Row],[FIELD]],ROTATIONRG,6,FALSE)," ")</f>
        <v xml:space="preserve"> </v>
      </c>
      <c r="I98" s="569" t="str">
        <f>IFERROR(VLOOKUP(ROTATIONTBL[[#This Row],[FIELD]],FFTBL[[Field]:[COUNTY2]],7,FALSE)," ")</f>
        <v xml:space="preserve"> </v>
      </c>
      <c r="J98" s="569" t="s">
        <v>283</v>
      </c>
      <c r="K98" s="569" t="s">
        <v>285</v>
      </c>
      <c r="L98" s="569" t="s">
        <v>295</v>
      </c>
      <c r="M98" s="569" t="s">
        <v>283</v>
      </c>
      <c r="N98" s="569" t="s">
        <v>285</v>
      </c>
      <c r="O98" s="569" t="s">
        <v>117</v>
      </c>
      <c r="P98" s="569" t="s">
        <v>285</v>
      </c>
      <c r="Q98" s="569" t="s">
        <v>295</v>
      </c>
      <c r="R98" s="569" t="s">
        <v>731</v>
      </c>
      <c r="S98" s="569" t="s">
        <v>283</v>
      </c>
      <c r="T98" s="569" t="s">
        <v>291</v>
      </c>
      <c r="U98" s="569" t="s">
        <v>285</v>
      </c>
      <c r="V98" s="569" t="s">
        <v>295</v>
      </c>
      <c r="W98" s="572">
        <v>44341</v>
      </c>
      <c r="X98" s="569"/>
      <c r="Y98" s="569"/>
      <c r="Z98" s="643"/>
      <c r="AA98" s="571"/>
      <c r="AB98" s="569"/>
      <c r="AC98" s="665"/>
    </row>
    <row r="99" spans="1:29" ht="18.75" x14ac:dyDescent="0.3">
      <c r="A99" s="573" t="s">
        <v>38</v>
      </c>
      <c r="B99" s="573"/>
      <c r="C99" s="573"/>
      <c r="D99" s="573"/>
      <c r="E99" s="574" t="s">
        <v>732</v>
      </c>
      <c r="F99" s="574"/>
      <c r="G99" s="575">
        <f>SUBTOTAL(109,ROTATIONTBL[ACRES])</f>
        <v>8127.0000000000009</v>
      </c>
      <c r="H99" s="575"/>
      <c r="I99" s="576"/>
      <c r="J99" s="577" t="s">
        <v>733</v>
      </c>
      <c r="K99" s="577" t="s">
        <v>734</v>
      </c>
      <c r="L99" s="577" t="s">
        <v>735</v>
      </c>
      <c r="M99" s="577" t="s">
        <v>736</v>
      </c>
      <c r="N99" s="577" t="s">
        <v>737</v>
      </c>
      <c r="O99" s="577" t="s">
        <v>738</v>
      </c>
      <c r="P99" s="577" t="s">
        <v>739</v>
      </c>
      <c r="Q99" s="577" t="s">
        <v>740</v>
      </c>
      <c r="R99" s="577"/>
      <c r="S99" s="577" t="s">
        <v>741</v>
      </c>
      <c r="T99" s="577" t="s">
        <v>742</v>
      </c>
      <c r="U99" s="577" t="s">
        <v>743</v>
      </c>
      <c r="V99" s="577" t="s">
        <v>744</v>
      </c>
      <c r="W99" s="577"/>
      <c r="X99" s="577"/>
      <c r="Y99" s="577"/>
      <c r="Z99" s="577"/>
      <c r="AA99" s="627"/>
      <c r="AB99" s="627"/>
      <c r="AC99" s="627"/>
    </row>
    <row r="100" spans="1:29" x14ac:dyDescent="0.25">
      <c r="A100" s="578"/>
      <c r="B100" s="578"/>
      <c r="C100" s="578"/>
      <c r="D100" s="578"/>
      <c r="E100" s="578"/>
      <c r="F100" s="578"/>
      <c r="G100" s="563"/>
      <c r="H100" s="563"/>
      <c r="I100" s="579" t="s">
        <v>295</v>
      </c>
      <c r="J100" s="580">
        <f>SUMIF(ROTATIONTBL[2018 CROP],$I100,ROTATIONTBL[ACRES])</f>
        <v>658.56999999999994</v>
      </c>
      <c r="K100" s="580">
        <f>SUMIF(ROTATIONTBL[2019 CROP],$I100,ROTATIONTBL[ACRES])</f>
        <v>599.06999999999994</v>
      </c>
      <c r="L100" s="580">
        <f>SUMIF(ROTATIONTBL[2020 CROP],$I100,ROTATIONTBL[ACRES])</f>
        <v>393.67</v>
      </c>
      <c r="M100" s="580">
        <f>SUMIF(ROTATIONTBL[2021 CROP],$I100,ROTATIONTBL[ACRES])</f>
        <v>551.9</v>
      </c>
      <c r="N100" s="580">
        <f>SUMIF(ROTATIONTBL[2022 CROP],$I100,ROTATIONTBL[ACRES])</f>
        <v>659.05</v>
      </c>
      <c r="O100" s="581">
        <f>SUMIF(ROTATIONTBL[2023 CROP],$I100,ROTATIONTBL[ACRES])</f>
        <v>1007.8299999999999</v>
      </c>
      <c r="P100" s="581">
        <f>SUMIF(ROTATIONTBL[2024 CROP],$I100,ROTATIONTBL[ACRES])</f>
        <v>1404.53</v>
      </c>
      <c r="Q100" s="581">
        <f>SUMIF(ROTATIONTBL[2025 CROP],$I100,ROTATIONTBL[ACRES])</f>
        <v>466.35000000000008</v>
      </c>
      <c r="R100" s="581"/>
      <c r="S100" s="581">
        <f>SUMIF(ROTATIONTBL[2026 CROP],$I100,ROTATIONTBL[ACRES])</f>
        <v>763.45999999999992</v>
      </c>
      <c r="T100" s="581">
        <f>SUMIF(ROTATIONTBL[2027 CROP],$I100,ROTATIONTBL[ACRES])</f>
        <v>914.59999999999991</v>
      </c>
      <c r="U100" s="581">
        <f>SUMIF(ROTATIONTBL[2028 CROP],$I100,ROTATIONTBL[ACRES])</f>
        <v>1026.1399999999999</v>
      </c>
      <c r="V100" s="581">
        <f>SUMIF(ROTATIONTBL[2029 CROP],$I100,ROTATIONTBL[ACRES])</f>
        <v>883.95</v>
      </c>
      <c r="AB100" s="628"/>
    </row>
    <row r="101" spans="1:29" x14ac:dyDescent="0.25">
      <c r="A101" s="582" t="s">
        <v>2</v>
      </c>
      <c r="B101" s="582" t="s">
        <v>335</v>
      </c>
      <c r="C101" s="582" t="s">
        <v>282</v>
      </c>
      <c r="D101" s="582" t="s">
        <v>42</v>
      </c>
      <c r="E101" s="578"/>
      <c r="F101" s="578"/>
      <c r="G101" s="563"/>
      <c r="H101" s="563"/>
      <c r="I101" s="579" t="s">
        <v>283</v>
      </c>
      <c r="J101" s="583">
        <f>SUMIF(ROTATIONTBL[2018 CROP],$I101,ROTATIONTBL[ACRES])</f>
        <v>459.05000000000007</v>
      </c>
      <c r="K101" s="583">
        <f>SUMIF(ROTATIONTBL[2019 CROP],$I101,ROTATIONTBL[ACRES])</f>
        <v>1153.44</v>
      </c>
      <c r="L101" s="583">
        <f>SUMIF(ROTATIONTBL[2020 CROP],$I101,ROTATIONTBL[ACRES])</f>
        <v>405.96000000000004</v>
      </c>
      <c r="M101" s="583">
        <f>SUMIF(ROTATIONTBL[2021 CROP],$I101,ROTATIONTBL[ACRES])</f>
        <v>698.01</v>
      </c>
      <c r="N101" s="583">
        <f>SUMIF(ROTATIONTBL[2022 CROP],$I101,ROTATIONTBL[ACRES])</f>
        <v>779.31</v>
      </c>
      <c r="O101" s="584">
        <f>SUMIF(ROTATIONTBL[2023 CROP],$I101,ROTATIONTBL[ACRES])</f>
        <v>1231.4800000000002</v>
      </c>
      <c r="P101" s="584">
        <f>SUMIF(ROTATIONTBL[2024 CROP],$I101,ROTATIONTBL[ACRES])</f>
        <v>812.68999999999994</v>
      </c>
      <c r="Q101" s="584">
        <f>SUMIF(ROTATIONTBL[2025 CROP],$I101,ROTATIONTBL[ACRES])</f>
        <v>1301.83</v>
      </c>
      <c r="R101" s="584"/>
      <c r="S101" s="584">
        <f>SUMIF(ROTATIONTBL[2026 CROP],$I101,ROTATIONTBL[ACRES])</f>
        <v>887.47</v>
      </c>
      <c r="T101" s="584">
        <f>SUMIF(ROTATIONTBL[2027 CROP],$I101,ROTATIONTBL[ACRES])</f>
        <v>836.36</v>
      </c>
      <c r="U101" s="584">
        <f>SUMIF(ROTATIONTBL[2028 CROP],$I101,ROTATIONTBL[ACRES])</f>
        <v>835.69999999999993</v>
      </c>
      <c r="V101" s="584">
        <f>SUMIF(ROTATIONTBL[2029 CROP],$I101,ROTATIONTBL[ACRES])</f>
        <v>1026.1399999999999</v>
      </c>
      <c r="AB101" s="563"/>
    </row>
    <row r="102" spans="1:29" x14ac:dyDescent="0.25">
      <c r="A102" s="585" t="s">
        <v>32</v>
      </c>
      <c r="B102" s="585" t="s">
        <v>692</v>
      </c>
      <c r="C102" s="579" t="s">
        <v>295</v>
      </c>
      <c r="D102" s="585">
        <f>SUMIFS(ROTATIONTBL[ACRES],ROTATIONTBL[2024 CROP],C102,ROTATIONTBL[FARM],A102)</f>
        <v>156.5</v>
      </c>
      <c r="E102" s="578"/>
      <c r="F102" s="578"/>
      <c r="G102" s="563"/>
      <c r="H102" s="563"/>
      <c r="I102" s="579" t="s">
        <v>291</v>
      </c>
      <c r="J102" s="605">
        <f>SUMIF(ROTATIONTBL[2018 CROP],$I102,ROTATIONTBL[ACRES])</f>
        <v>0</v>
      </c>
      <c r="K102" s="605">
        <f>SUMIF(ROTATIONTBL[2019 CROP],$I102,ROTATIONTBL[ACRES])</f>
        <v>0</v>
      </c>
      <c r="L102" s="605">
        <f>SUMIF(ROTATIONTBL[2020 CROP],$I102,ROTATIONTBL[ACRES])</f>
        <v>0</v>
      </c>
      <c r="M102" s="605">
        <f>SUMIF(ROTATIONTBL[2021 CROP],$I102,ROTATIONTBL[ACRES])</f>
        <v>0</v>
      </c>
      <c r="N102" s="605">
        <f>SUMIF(ROTATIONTBL[2022 CROP],$I102,ROTATIONTBL[ACRES])</f>
        <v>0</v>
      </c>
      <c r="O102" s="588">
        <f>SUMIF(ROTATIONTBL[2023 CROP],$I102,ROTATIONTBL[ACRES])</f>
        <v>0</v>
      </c>
      <c r="P102" s="588">
        <f>SUMIF(ROTATIONTBL[2024 CROP],$I102,ROTATIONTBL[ACRES])</f>
        <v>781.68</v>
      </c>
      <c r="Q102" s="588">
        <f>SUMIF(ROTATIONTBL[2025 CROP],$I102,ROTATIONTBL[ACRES])</f>
        <v>866.09</v>
      </c>
      <c r="R102" s="588"/>
      <c r="S102" s="588">
        <f>SUMIF(ROTATIONTBL[2026 CROP],$I102,ROTATIONTBL[ACRES])</f>
        <v>995.62999999999988</v>
      </c>
      <c r="T102" s="588">
        <f>SUMIF(ROTATIONTBL[2027 CROP],$I102,ROTATIONTBL[ACRES])</f>
        <v>786.56999999999994</v>
      </c>
      <c r="U102" s="588">
        <f>SUMIF(ROTATIONTBL[2028 CROP],$I102,ROTATIONTBL[ACRES])</f>
        <v>836.36</v>
      </c>
      <c r="V102" s="588">
        <f>SUMIF(ROTATIONTBL[2029 CROP],$I102,ROTATIONTBL[ACRES])</f>
        <v>835.69999999999993</v>
      </c>
      <c r="AB102" s="563"/>
    </row>
    <row r="103" spans="1:29" x14ac:dyDescent="0.25">
      <c r="A103" s="585" t="s">
        <v>32</v>
      </c>
      <c r="B103" s="585" t="s">
        <v>692</v>
      </c>
      <c r="C103" s="579" t="s">
        <v>283</v>
      </c>
      <c r="D103" s="585">
        <f>SUMIFS(ROTATIONTBL[ACRES],ROTATIONTBL[2024 CROP],C103,ROTATIONTBL[FARM],A103)</f>
        <v>342.11</v>
      </c>
      <c r="E103" s="578"/>
      <c r="F103" s="578"/>
      <c r="G103" s="563"/>
      <c r="H103" s="563"/>
      <c r="I103" s="579" t="s">
        <v>292</v>
      </c>
      <c r="J103" s="586"/>
      <c r="K103" s="586"/>
      <c r="L103" s="586"/>
      <c r="M103" s="586"/>
      <c r="N103" s="586"/>
      <c r="O103" s="587"/>
      <c r="P103" s="587">
        <f>SUMIF(ROTATIONTBL[2024 CROP],$I103,ROTATIONTBL[ACRES])</f>
        <v>44.69</v>
      </c>
      <c r="Q103" s="587">
        <f>SUMIF(ROTATIONTBL[2025 CROP],$I103,ROTATIONTBL[ACRES])</f>
        <v>243.57</v>
      </c>
      <c r="R103" s="587"/>
      <c r="S103" s="587">
        <f>SUMIF(ROTATIONTBL[2026 CROP],$I103,ROTATIONTBL[ACRES])</f>
        <v>64.8</v>
      </c>
      <c r="T103" s="587">
        <f>SUMIF(ROTATIONTBL[2027 CROP],$I103,ROTATIONTBL[ACRES])</f>
        <v>187.9</v>
      </c>
      <c r="U103" s="587">
        <f>SUMIF(ROTATIONTBL[2028 CROP],$I103,ROTATIONTBL[ACRES])</f>
        <v>0</v>
      </c>
      <c r="V103" s="587">
        <f>SUMIF(ROTATIONTBL[2029 CROP],$I103,ROTATIONTBL[ACRES])</f>
        <v>187.9</v>
      </c>
      <c r="AA103" s="626"/>
      <c r="AB103" s="666"/>
    </row>
    <row r="104" spans="1:29" ht="14.25" customHeight="1" x14ac:dyDescent="0.25">
      <c r="A104" s="585" t="s">
        <v>32</v>
      </c>
      <c r="B104" s="585" t="s">
        <v>692</v>
      </c>
      <c r="C104" s="579" t="s">
        <v>291</v>
      </c>
      <c r="D104" s="585">
        <f>SUMIFS(ROTATIONTBL[ACRES],ROTATIONTBL[2024 CROP],C104,ROTATIONTBL[FARM],A104)</f>
        <v>256.27</v>
      </c>
      <c r="E104" s="578"/>
      <c r="F104" s="578"/>
      <c r="G104" s="563"/>
      <c r="H104" s="563"/>
      <c r="I104" s="579" t="s">
        <v>288</v>
      </c>
      <c r="J104" s="589">
        <f>SUMIF(ROTATIONTBL[2018 CROP],$I104,ROTATIONTBL[ACRES])</f>
        <v>0</v>
      </c>
      <c r="K104" s="589">
        <f>SUMIF(ROTATIONTBL[2019 CROP],$I104,ROTATIONTBL[ACRES])</f>
        <v>0</v>
      </c>
      <c r="L104" s="589">
        <f>SUMIF(ROTATIONTBL[2020 CROP],$I104,ROTATIONTBL[ACRES])</f>
        <v>0</v>
      </c>
      <c r="M104" s="589">
        <f>SUMIF(ROTATIONTBL[2021 CROP],$I104,ROTATIONTBL[ACRES])</f>
        <v>0</v>
      </c>
      <c r="N104" s="589">
        <f>SUMIF(ROTATIONTBL[2022 CROP],$I104,ROTATIONTBL[ACRES])</f>
        <v>0</v>
      </c>
      <c r="O104" s="590">
        <f>SUMIF(ROTATIONTBL[2023 CROP],$I104,ROTATIONTBL[ACRES])</f>
        <v>0</v>
      </c>
      <c r="P104" s="590">
        <f>SUMIF(ROTATIONTBL[2024 CROP],$I104,ROTATIONTBL[ACRES])</f>
        <v>0</v>
      </c>
      <c r="Q104" s="590">
        <f>SUMIF(ROTATIONTBL[2025 CROP],$I104,ROTATIONTBL[ACRES])</f>
        <v>0</v>
      </c>
      <c r="R104" s="590"/>
      <c r="S104" s="590">
        <f>SUMIF(ROTATIONTBL[2026 CROP],$I104,ROTATIONTBL[ACRES])</f>
        <v>0</v>
      </c>
      <c r="T104" s="590">
        <f>SUMIF(ROTATIONTBL[2027 CROP],$I104,ROTATIONTBL[ACRES])</f>
        <v>0</v>
      </c>
      <c r="U104" s="590">
        <f>SUMIF(ROTATIONTBL[2028 CROP],$I104,ROTATIONTBL[ACRES])</f>
        <v>0</v>
      </c>
      <c r="V104" s="590">
        <f>SUMIF(ROTATIONTBL[2029 CROP],$I104,ROTATIONTBL[ACRES])</f>
        <v>0</v>
      </c>
      <c r="AB104" s="563"/>
    </row>
    <row r="105" spans="1:29" x14ac:dyDescent="0.25">
      <c r="A105" s="585" t="s">
        <v>32</v>
      </c>
      <c r="B105" s="585" t="s">
        <v>692</v>
      </c>
      <c r="C105" s="579" t="s">
        <v>292</v>
      </c>
      <c r="D105" s="585">
        <f>SUMIFS(ROTATIONTBL[ACRES],ROTATIONTBL[2024 CROP],C105,ROTATIONTBL[FARM],A105)</f>
        <v>0</v>
      </c>
      <c r="E105" s="578"/>
      <c r="F105" s="578"/>
      <c r="G105" s="563"/>
      <c r="H105" s="563"/>
      <c r="I105" s="579" t="s">
        <v>294</v>
      </c>
      <c r="J105" s="591">
        <f>SUMIF(ROTATIONTBL[2018 CROP],$I105,ROTATIONTBL[ACRES])</f>
        <v>0</v>
      </c>
      <c r="K105" s="591">
        <f>SUMIF(ROTATIONTBL[2019 CROP],$I105,ROTATIONTBL[ACRES])</f>
        <v>8</v>
      </c>
      <c r="L105" s="591">
        <f>SUMIF(ROTATIONTBL[2020 CROP],$I105,ROTATIONTBL[ACRES])</f>
        <v>144.35</v>
      </c>
      <c r="M105" s="591">
        <f>SUMIF(ROTATIONTBL[2021 CROP],$I105,ROTATIONTBL[ACRES])</f>
        <v>313.74</v>
      </c>
      <c r="N105" s="591">
        <f>SUMIF(ROTATIONTBL[2022 CROP],$I105,ROTATIONTBL[ACRES])</f>
        <v>165.7</v>
      </c>
      <c r="O105" s="592">
        <f>SUMIF(ROTATIONTBL[2023 CROP],$I105,ROTATIONTBL[ACRES])</f>
        <v>269.49</v>
      </c>
      <c r="P105" s="592">
        <f>SUMIF(ROTATIONTBL[2024 CROP],$I105,ROTATIONTBL[ACRES])</f>
        <v>224.8</v>
      </c>
      <c r="Q105" s="592">
        <f>SUMIF(ROTATIONTBL[2025 CROP],$I105,ROTATIONTBL[ACRES])</f>
        <v>360.78999999999996</v>
      </c>
      <c r="R105" s="592"/>
      <c r="S105" s="592">
        <f>SUMIF(ROTATIONTBL[2026 CROP],$I105,ROTATIONTBL[ACRES])</f>
        <v>204.69</v>
      </c>
      <c r="T105" s="592">
        <f>SUMIF(ROTATIONTBL[2027 CROP],$I105,ROTATIONTBL[ACRES])</f>
        <v>269.49</v>
      </c>
      <c r="U105" s="592">
        <f>SUMIF(ROTATIONTBL[2028 CROP],$I105,ROTATIONTBL[ACRES])</f>
        <v>269.49</v>
      </c>
      <c r="V105" s="592">
        <f>SUMIF(ROTATIONTBL[2029 CROP],$I105,ROTATIONTBL[ACRES])</f>
        <v>269.49</v>
      </c>
      <c r="AB105" s="563"/>
    </row>
    <row r="106" spans="1:29" x14ac:dyDescent="0.25">
      <c r="A106" s="585" t="s">
        <v>32</v>
      </c>
      <c r="B106" s="585" t="s">
        <v>692</v>
      </c>
      <c r="C106" s="579" t="s">
        <v>288</v>
      </c>
      <c r="D106" s="585">
        <f>SUMIFS(ROTATIONTBL[ACRES],ROTATIONTBL[2024 CROP],C106,ROTATIONTBL[FARM],A106)</f>
        <v>0</v>
      </c>
      <c r="E106" s="578"/>
      <c r="F106" s="578"/>
      <c r="G106" s="563"/>
      <c r="H106" s="563"/>
      <c r="I106" s="593" t="s">
        <v>290</v>
      </c>
      <c r="J106" s="594">
        <f>SUMIF(ROTATIONTBL[2018 CROP],$I106,ROTATIONTBL[ACRES])</f>
        <v>0</v>
      </c>
      <c r="K106" s="594">
        <f>SUMIF(ROTATIONTBL[2019 CROP],$I106,ROTATIONTBL[ACRES])</f>
        <v>0</v>
      </c>
      <c r="L106" s="594">
        <f>SUMIF(ROTATIONTBL[2020 CROP],$I106,ROTATIONTBL[ACRES])</f>
        <v>0</v>
      </c>
      <c r="M106" s="594">
        <f>SUMIF(ROTATIONTBL[2021 CROP],$I106,ROTATIONTBL[ACRES])</f>
        <v>0</v>
      </c>
      <c r="N106" s="594">
        <f>SUMIF(ROTATIONTBL[2022 CROP],$I106,ROTATIONTBL[ACRES])</f>
        <v>0</v>
      </c>
      <c r="O106" s="595">
        <f>SUMIF(ROTATIONTBL[2023 CROP],$I106,ROTATIONTBL[ACRES])</f>
        <v>0</v>
      </c>
      <c r="P106" s="595">
        <f>SUMIF(ROTATIONTBL[2024 CROP],$I106,ROTATIONTBL[ACRES])</f>
        <v>0</v>
      </c>
      <c r="Q106" s="595">
        <f>SUMIF(ROTATIONTBL[2025 CROP],$I106,ROTATIONTBL[ACRES])</f>
        <v>0</v>
      </c>
      <c r="R106" s="595"/>
      <c r="S106" s="595">
        <f>SUMIF(ROTATIONTBL[2026 CROP],$I106,ROTATIONTBL[ACRES])</f>
        <v>0</v>
      </c>
      <c r="T106" s="595">
        <f>SUMIF(ROTATIONTBL[2027 CROP],$I106,ROTATIONTBL[ACRES])</f>
        <v>0</v>
      </c>
      <c r="U106" s="595">
        <f>SUMIF(ROTATIONTBL[2028 CROP],$I106,ROTATIONTBL[ACRES])</f>
        <v>0</v>
      </c>
      <c r="V106" s="595">
        <f>SUMIF(ROTATIONTBL[2029 CROP],$I106,ROTATIONTBL[ACRES])</f>
        <v>0</v>
      </c>
      <c r="AB106" s="563"/>
    </row>
    <row r="107" spans="1:29" x14ac:dyDescent="0.25">
      <c r="A107" s="585" t="s">
        <v>32</v>
      </c>
      <c r="B107" s="585" t="s">
        <v>692</v>
      </c>
      <c r="C107" s="579" t="s">
        <v>294</v>
      </c>
      <c r="D107" s="585">
        <f>SUMIFS(ROTATIONTBL[ACRES],ROTATIONTBL[2024 CROP],C107,ROTATIONTBL[FARM],A107)</f>
        <v>0</v>
      </c>
      <c r="E107" s="578"/>
      <c r="F107" s="578"/>
      <c r="G107" s="578"/>
      <c r="H107" s="578"/>
      <c r="I107" s="596" t="s">
        <v>287</v>
      </c>
      <c r="J107" s="596">
        <f>SUMIF(ROTATIONTBL[2018 CROP],$I107,ROTATIONTBL[ACRES])</f>
        <v>0</v>
      </c>
      <c r="K107" s="596">
        <f>SUMIF(ROTATIONTBL[2019 CROP],$I107,ROTATIONTBL[ACRES])</f>
        <v>0</v>
      </c>
      <c r="L107" s="596">
        <f>SUMIF(ROTATIONTBL[2020 CROP],$I107,ROTATIONTBL[ACRES])</f>
        <v>1051.6500000000001</v>
      </c>
      <c r="M107" s="596">
        <f>SUMIF(ROTATIONTBL[2021 CROP],$I107,ROTATIONTBL[ACRES])</f>
        <v>0</v>
      </c>
      <c r="N107" s="596">
        <f>SUMIF(ROTATIONTBL[2022 CROP],$I107,ROTATIONTBL[ACRES])</f>
        <v>0</v>
      </c>
      <c r="O107" s="597">
        <f>SUMIF(ROTATIONTBL[2023 CROP],$I107,ROTATIONTBL[ACRES])</f>
        <v>0</v>
      </c>
      <c r="P107" s="597">
        <f>SUMIF(ROTATIONTBL[2024 CROP],$I107,ROTATIONTBL[ACRES])</f>
        <v>0</v>
      </c>
      <c r="Q107" s="597">
        <f>SUMIF(ROTATIONTBL[2025 CROP],$I107,ROTATIONTBL[ACRES])</f>
        <v>0</v>
      </c>
      <c r="R107" s="597"/>
      <c r="S107" s="597">
        <f>SUMIF(ROTATIONTBL[2026 CROP],$I107,ROTATIONTBL[ACRES])</f>
        <v>0</v>
      </c>
      <c r="T107" s="597">
        <f>SUMIF(ROTATIONTBL[2027 CROP],$I107,ROTATIONTBL[ACRES])</f>
        <v>0</v>
      </c>
      <c r="U107" s="597">
        <f>SUMIF(ROTATIONTBL[2028 CROP],$I107,ROTATIONTBL[ACRES])</f>
        <v>0</v>
      </c>
      <c r="V107" s="597">
        <f>SUMIF(ROTATIONTBL[2029 CROP],$I107,ROTATIONTBL[ACRES])</f>
        <v>0</v>
      </c>
      <c r="AB107" s="563"/>
    </row>
    <row r="108" spans="1:29" x14ac:dyDescent="0.25">
      <c r="A108" s="585" t="s">
        <v>32</v>
      </c>
      <c r="B108" s="585" t="s">
        <v>692</v>
      </c>
      <c r="C108" s="593" t="s">
        <v>290</v>
      </c>
      <c r="D108" s="585">
        <f>SUMIFS(ROTATIONTBL[ACRES],ROTATIONTBL[2024 CROP],C108,ROTATIONTBL[FARM],A108)</f>
        <v>0</v>
      </c>
      <c r="E108" s="578"/>
      <c r="F108" s="578"/>
      <c r="G108" s="578"/>
      <c r="H108" s="578"/>
      <c r="I108" s="593" t="s">
        <v>289</v>
      </c>
      <c r="J108" s="598">
        <f>SUMIF(ROTATIONTBL[2018 CROP],$I108,ROTATIONTBL[ACRES])</f>
        <v>0</v>
      </c>
      <c r="K108" s="598">
        <f>SUMIF(ROTATIONTBL[2019 CROP],$I108,ROTATIONTBL[ACRES])</f>
        <v>0</v>
      </c>
      <c r="L108" s="598">
        <f>SUMIF(ROTATIONTBL[2020 CROP],$I108,ROTATIONTBL[ACRES])</f>
        <v>0</v>
      </c>
      <c r="M108" s="598">
        <f>SUMIF(ROTATIONTBL[2021 CROP],$I108,ROTATIONTBL[ACRES])</f>
        <v>0</v>
      </c>
      <c r="N108" s="598">
        <f>SUMIF(ROTATIONTBL[2022 CROP],$I108,ROTATIONTBL[ACRES])</f>
        <v>0</v>
      </c>
      <c r="O108" s="588">
        <f>SUMIF(ROTATIONTBL[2023 CROP],$I108,ROTATIONTBL[ACRES])</f>
        <v>167.03</v>
      </c>
      <c r="P108" s="599">
        <f>SUMIF(ROTATIONTBL[2024 CROP],$I108,ROTATIONTBL[ACRES])</f>
        <v>236.1</v>
      </c>
      <c r="Q108" s="599">
        <f>SUMIF(ROTATIONTBL[2025 CROP],$I108,ROTATIONTBL[ACRES])</f>
        <v>62.85</v>
      </c>
      <c r="R108" s="599"/>
      <c r="S108" s="599">
        <f>SUMIF(ROTATIONTBL[2026 CROP],$I108,ROTATIONTBL[ACRES])</f>
        <v>343.05</v>
      </c>
      <c r="T108" s="599">
        <f>SUMIF(ROTATIONTBL[2027 CROP],$I108,ROTATIONTBL[ACRES])</f>
        <v>159.94</v>
      </c>
      <c r="U108" s="599">
        <f>SUMIF(ROTATIONTBL[2028 CROP],$I108,ROTATIONTBL[ACRES])</f>
        <v>236.1</v>
      </c>
      <c r="V108" s="599">
        <f>SUMIF(ROTATIONTBL[2029 CROP],$I108,ROTATIONTBL[ACRES])</f>
        <v>62.85</v>
      </c>
      <c r="AB108" s="563"/>
    </row>
    <row r="109" spans="1:29" s="602" customFormat="1" x14ac:dyDescent="0.25">
      <c r="A109" s="585" t="s">
        <v>32</v>
      </c>
      <c r="B109" s="585" t="s">
        <v>692</v>
      </c>
      <c r="C109" s="596" t="s">
        <v>287</v>
      </c>
      <c r="D109" s="585">
        <f>SUMIFS(ROTATIONTBL[ACRES],ROTATIONTBL[2024 CROP],C109,ROTATIONTBL[FARM],A109)</f>
        <v>0</v>
      </c>
      <c r="E109" s="600"/>
      <c r="F109" s="600"/>
      <c r="G109" s="562"/>
      <c r="H109" s="562"/>
      <c r="I109" s="593" t="s">
        <v>284</v>
      </c>
      <c r="J109" s="593">
        <f>SUMIF(ROTATIONTBL[2018 CROP],$I109,ROTATIONTBL[ACRES])</f>
        <v>0</v>
      </c>
      <c r="K109" s="593">
        <f>SUMIF(ROTATIONTBL[2019 CROP],$I109,ROTATIONTBL[ACRES])</f>
        <v>0</v>
      </c>
      <c r="L109" s="593">
        <f>SUMIF(ROTATIONTBL[2020 CROP],$I109,ROTATIONTBL[ACRES])</f>
        <v>158.39999999999998</v>
      </c>
      <c r="M109" s="593">
        <f>SUMIF(ROTATIONTBL[2021 CROP],$I109,ROTATIONTBL[ACRES])</f>
        <v>157.5</v>
      </c>
      <c r="N109" s="593">
        <f>SUMIF(ROTATIONTBL[2022 CROP],$I109,ROTATIONTBL[ACRES])</f>
        <v>79.099999999999994</v>
      </c>
      <c r="O109" s="601">
        <f>SUMIF(ROTATIONTBL[2023 CROP],$I109,ROTATIONTBL[ACRES])</f>
        <v>0</v>
      </c>
      <c r="P109" s="601">
        <f>SUMIF(ROTATIONTBL[2024 CROP],$I109,ROTATIONTBL[ACRES])</f>
        <v>0</v>
      </c>
      <c r="Q109" s="601">
        <f>SUMIF(ROTATIONTBL[2025 CROP],$I109,ROTATIONTBL[ACRES])</f>
        <v>0</v>
      </c>
      <c r="R109" s="601"/>
      <c r="S109" s="601">
        <f>SUMIF(ROTATIONTBL[2026 CROP],$I109,ROTATIONTBL[ACRES])</f>
        <v>0</v>
      </c>
      <c r="T109" s="601">
        <f>SUMIF(ROTATIONTBL[2027 CROP],$I109,ROTATIONTBL[ACRES])</f>
        <v>0</v>
      </c>
      <c r="U109" s="601">
        <f>SUMIF(ROTATIONTBL[2028 CROP],$I109,ROTATIONTBL[ACRES])</f>
        <v>0</v>
      </c>
      <c r="V109" s="601">
        <f>SUMIF(ROTATIONTBL[2029 CROP],$I109,ROTATIONTBL[ACRES])</f>
        <v>0</v>
      </c>
      <c r="AB109" s="562"/>
    </row>
    <row r="110" spans="1:29" x14ac:dyDescent="0.25">
      <c r="A110" s="585" t="s">
        <v>32</v>
      </c>
      <c r="B110" s="585" t="s">
        <v>692</v>
      </c>
      <c r="C110" s="593" t="s">
        <v>289</v>
      </c>
      <c r="D110" s="585">
        <f>SUMIFS(ROTATIONTBL[ACRES],ROTATIONTBL[2024 CROP],C110,ROTATIONTBL[FARM],A110)</f>
        <v>0</v>
      </c>
      <c r="E110" s="578"/>
      <c r="F110" s="578"/>
      <c r="G110" s="578"/>
      <c r="H110" s="578"/>
      <c r="I110" s="593" t="s">
        <v>285</v>
      </c>
      <c r="J110" s="603">
        <f>SUMIF(ROTATIONTBL[2018 CROP],$I110,ROTATIONTBL[ACRES])</f>
        <v>384.32</v>
      </c>
      <c r="K110" s="603">
        <f>SUMIF(ROTATIONTBL[2019 CROP],$I110,ROTATIONTBL[ACRES])</f>
        <v>314.47000000000003</v>
      </c>
      <c r="L110" s="603">
        <f>SUMIF(ROTATIONTBL[2020 CROP],$I110,ROTATIONTBL[ACRES])</f>
        <v>158.5</v>
      </c>
      <c r="M110" s="603">
        <f>SUMIF(ROTATIONTBL[2021 CROP],$I110,ROTATIONTBL[ACRES])</f>
        <v>579.84999999999991</v>
      </c>
      <c r="N110" s="603">
        <f>SUMIF(ROTATIONTBL[2022 CROP],$I110,ROTATIONTBL[ACRES])</f>
        <v>549.79999999999995</v>
      </c>
      <c r="O110" s="604">
        <f>SUMIF(ROTATIONTBL[2023 CROP],$I110,ROTATIONTBL[ACRES])</f>
        <v>935.39999999999986</v>
      </c>
      <c r="P110" s="604">
        <f>SUMIF(ROTATIONTBL[2024 CROP],$I110,ROTATIONTBL[ACRES])</f>
        <v>391.05000000000007</v>
      </c>
      <c r="Q110" s="604">
        <f>SUMIF(ROTATIONTBL[2025 CROP],$I110,ROTATIONTBL[ACRES])</f>
        <v>620.05999999999995</v>
      </c>
      <c r="R110" s="604"/>
      <c r="S110" s="604">
        <f>SUMIF(ROTATIONTBL[2026 CROP],$I110,ROTATIONTBL[ACRES])</f>
        <v>741.18999999999994</v>
      </c>
      <c r="T110" s="604">
        <f>SUMIF(ROTATIONTBL[2027 CROP],$I110,ROTATIONTBL[ACRES])</f>
        <v>767.42999999999984</v>
      </c>
      <c r="U110" s="604">
        <f>SUMIF(ROTATIONTBL[2028 CROP],$I110,ROTATIONTBL[ACRES])</f>
        <v>718.5</v>
      </c>
      <c r="V110" s="604">
        <f>SUMIF(ROTATIONTBL[2029 CROP],$I110,ROTATIONTBL[ACRES])</f>
        <v>656.26</v>
      </c>
      <c r="AB110" s="563"/>
    </row>
    <row r="111" spans="1:29" x14ac:dyDescent="0.25">
      <c r="A111" s="585" t="s">
        <v>32</v>
      </c>
      <c r="B111" s="585" t="s">
        <v>692</v>
      </c>
      <c r="C111" s="593" t="s">
        <v>284</v>
      </c>
      <c r="D111" s="585">
        <f>SUMIFS(ROTATIONTBL[ACRES],ROTATIONTBL[2024 CROP],C111,ROTATIONTBL[FARM],A111)</f>
        <v>0</v>
      </c>
      <c r="E111" s="578"/>
      <c r="F111" s="578"/>
      <c r="G111" s="578"/>
      <c r="H111" s="578"/>
      <c r="I111" s="593" t="s">
        <v>108</v>
      </c>
      <c r="J111" s="605">
        <f>SUMIF(ROTATIONTBL[2018 CROP],$I111,ROTATIONTBL[ACRES])</f>
        <v>519.49</v>
      </c>
      <c r="K111" s="605">
        <f>SUMIF(ROTATIONTBL[2019 CROP],$I111,ROTATIONTBL[ACRES])</f>
        <v>519.49</v>
      </c>
      <c r="L111" s="605">
        <f>SUMIF(ROTATIONTBL[2020 CROP],$I111,ROTATIONTBL[COUNTY])</f>
        <v>0</v>
      </c>
      <c r="M111" s="605">
        <f>SUMIF(ROTATIONTBL[2021 CROP],$I111,ROTATIONTBL[2018 CROP])</f>
        <v>0</v>
      </c>
      <c r="N111" s="605">
        <f>SUMIF(ROTATIONTBL[2022 CROP],$I111,ROTATIONTBL[2019 CROP])</f>
        <v>0</v>
      </c>
      <c r="O111" s="606">
        <f>SUMIF(ROTATIONTBL[2023 CROP],$I111,ROTATIONTBL[ACRES])</f>
        <v>879.54000000000008</v>
      </c>
      <c r="P111" s="606">
        <f>SUMIF(ROTATIONTBL[2024 CROP],$I111,ROTATIONTBL[ACRES])</f>
        <v>926.2</v>
      </c>
      <c r="Q111" s="606">
        <f>SUMIF(ROTATIONTBL[2025 CROP],$I111,ROTATIONTBL[ACRES])</f>
        <v>926.2</v>
      </c>
      <c r="R111" s="606"/>
      <c r="S111" s="606">
        <f>SUMIF(ROTATIONTBL[2026 CROP],$I111,ROTATIONTBL[ACRES])</f>
        <v>926.2</v>
      </c>
      <c r="T111" s="606">
        <f>SUMIF(ROTATIONTBL[2027 CROP],$I111,ROTATIONTBL[ACRES])</f>
        <v>926.2</v>
      </c>
      <c r="U111" s="606">
        <f>SUMIF(ROTATIONTBL[2028 CROP],$I111,ROTATIONTBL[ACRES])</f>
        <v>926.2</v>
      </c>
      <c r="V111" s="606">
        <f>SUMIF(ROTATIONTBL[2029 CROP],$I111,ROTATIONTBL[ACRES])</f>
        <v>926.2</v>
      </c>
      <c r="AB111" s="563"/>
    </row>
    <row r="112" spans="1:29" x14ac:dyDescent="0.25">
      <c r="A112" s="585" t="s">
        <v>32</v>
      </c>
      <c r="B112" s="585" t="s">
        <v>692</v>
      </c>
      <c r="C112" s="593" t="s">
        <v>285</v>
      </c>
      <c r="D112" s="585">
        <f>SUMIFS(ROTATIONTBL[ACRES],ROTATIONTBL[2024 CROP],C112,ROTATIONTBL[FARM],A112)</f>
        <v>157.5</v>
      </c>
      <c r="E112" s="578"/>
      <c r="F112" s="578"/>
      <c r="G112" s="578"/>
      <c r="H112" s="578"/>
      <c r="I112" s="593" t="s">
        <v>102</v>
      </c>
      <c r="J112" s="607">
        <f>SUMIF(ROTATIONTBL[2018 CROP],$I112,ROTATIONTBL[ACRES])</f>
        <v>0</v>
      </c>
      <c r="K112" s="607">
        <f>SUMIF(ROTATIONTBL[2019 CROP],$I112,ROTATIONTBL[KIND])</f>
        <v>0</v>
      </c>
      <c r="L112" s="607">
        <f>SUMIF(ROTATIONTBL[2020 CROP],$I112,ROTATIONTBL[COUNTY])</f>
        <v>0</v>
      </c>
      <c r="M112" s="607">
        <f>SUMIF(ROTATIONTBL[2021 CROP],$I112,ROTATIONTBL[2018 CROP])</f>
        <v>0</v>
      </c>
      <c r="N112" s="607">
        <f>SUMIF(ROTATIONTBL[2022 CROP],$I112,ROTATIONTBL[2019 CROP])</f>
        <v>0</v>
      </c>
      <c r="O112" s="601">
        <f>SUMIF(ROTATIONTBL[2023 CROP],$I112,ROTATIONTBL[ACRES])</f>
        <v>0</v>
      </c>
      <c r="P112" s="601">
        <f>SUMIF(ROTATIONTBL[2024 CROP],$I112,ROTATIONTBL[ACRES])</f>
        <v>21.44</v>
      </c>
      <c r="Q112" s="601">
        <f>SUMIF(ROTATIONTBL[2025 CROP],$I112,ROTATIONTBL[ACRES])</f>
        <v>21.44</v>
      </c>
      <c r="R112" s="601"/>
      <c r="S112" s="601">
        <f>SUMIF(ROTATIONTBL[2026 CROP],$I112,ROTATIONTBL[ACRES])</f>
        <v>21.44</v>
      </c>
      <c r="T112" s="601">
        <f>SUMIF(ROTATIONTBL[2027 CROP],$I112,ROTATIONTBL[ACRES])</f>
        <v>21.44</v>
      </c>
      <c r="U112" s="601">
        <f>SUMIF(ROTATIONTBL[2028 CROP],$I112,ROTATIONTBL[ACRES])</f>
        <v>21.44</v>
      </c>
      <c r="V112" s="601">
        <f>SUMIF(ROTATIONTBL[2029 CROP],$I112,ROTATIONTBL[ACRES])</f>
        <v>21.44</v>
      </c>
      <c r="AB112" s="563"/>
    </row>
    <row r="113" spans="1:28" x14ac:dyDescent="0.25">
      <c r="A113" s="585" t="s">
        <v>32</v>
      </c>
      <c r="B113" s="585" t="s">
        <v>692</v>
      </c>
      <c r="C113" s="593" t="s">
        <v>108</v>
      </c>
      <c r="D113" s="585">
        <f>SUMIFS(ROTATIONTBL[ACRES],ROTATIONTBL[2024 CROP],C113,ROTATIONTBL[FARM],A113)</f>
        <v>136.35</v>
      </c>
      <c r="E113" s="578"/>
      <c r="F113" s="578" t="str">
        <f>IFERROR(VLOOKUP(C104,ROTATIONRG,2,FALSE)," ")</f>
        <v xml:space="preserve"> </v>
      </c>
      <c r="G113" s="578" t="str">
        <f>IFERROR(VLOOKUP(C104,ROTATIONRG,6,FALSE)," ")</f>
        <v xml:space="preserve"> </v>
      </c>
      <c r="H113" s="578"/>
      <c r="I113" s="593" t="s">
        <v>113</v>
      </c>
      <c r="J113" s="608">
        <f>SUMIF(ROTATIONTBL[2018 CROP],$I113,ROTATIONTBL[ACRES])</f>
        <v>884.22</v>
      </c>
      <c r="K113" s="608">
        <f>SUMIF(ROTATIONTBL[2019 CROP],$I113,ROTATIONTBL[ACRES])</f>
        <v>726.72</v>
      </c>
      <c r="L113" s="608">
        <f>SUMIF(ROTATIONTBL[2020 CROP],$I113,ROTATIONTBL[ACRES])</f>
        <v>726.72</v>
      </c>
      <c r="M113" s="608">
        <f>SUMIF(ROTATIONTBL[2021 CROP],$I113,ROTATIONTBL[ACRES])</f>
        <v>726.72</v>
      </c>
      <c r="N113" s="608">
        <f>SUMIF(ROTATIONTBL[2022 CROP],$I113,ROTATIONTBL[ACRES])</f>
        <v>726.72</v>
      </c>
      <c r="O113" s="609">
        <f>SUMIF(ROTATIONTBL[2023 CROP],$I113,ROTATIONTBL[ACRES])</f>
        <v>33.950000000000003</v>
      </c>
      <c r="P113" s="609">
        <f>SUMIF(ROTATIONTBL[2024 CROP],$I113,ROTATIONTBL[ACRES])</f>
        <v>40.33</v>
      </c>
      <c r="Q113" s="609">
        <f>SUMIF(ROTATIONTBL[2025 CROP],$I113,ROTATIONTBL[ACRES])</f>
        <v>40.33</v>
      </c>
      <c r="R113" s="609"/>
      <c r="S113" s="609">
        <f>SUMIF(ROTATIONTBL[2026 CROP],$I113,ROTATIONTBL[ACRES])</f>
        <v>40.33</v>
      </c>
      <c r="T113" s="609">
        <f>SUMIF(ROTATIONTBL[2027 CROP],$I113,ROTATIONTBL[ACRES])</f>
        <v>40.33</v>
      </c>
      <c r="U113" s="609">
        <f>SUMIF(ROTATIONTBL[2028 CROP],$I113,ROTATIONTBL[ACRES])</f>
        <v>40.33</v>
      </c>
      <c r="V113" s="609">
        <f>SUMIF(ROTATIONTBL[2029 CROP],$I113,ROTATIONTBL[ACRES])</f>
        <v>40.33</v>
      </c>
      <c r="AB113" s="563"/>
    </row>
    <row r="114" spans="1:28" x14ac:dyDescent="0.25">
      <c r="A114" s="585" t="s">
        <v>32</v>
      </c>
      <c r="B114" s="585" t="s">
        <v>692</v>
      </c>
      <c r="C114" s="593" t="s">
        <v>725</v>
      </c>
      <c r="D114" s="585">
        <f>SUMIFS(ROTATIONTBL[ACRES],ROTATIONTBL[2024 CROP],C114,ROTATIONTBL[FARM],A114)</f>
        <v>0</v>
      </c>
      <c r="E114" s="578"/>
      <c r="F114" s="578" t="str">
        <f>IFERROR(VLOOKUP(C105,ROTATIONRG,2,FALSE)," ")</f>
        <v xml:space="preserve"> </v>
      </c>
      <c r="G114" s="578" t="str">
        <f>IFERROR(VLOOKUP(C105,ROTATIONRG,6,FALSE)," ")</f>
        <v xml:space="preserve"> </v>
      </c>
      <c r="H114" s="578"/>
      <c r="I114" s="578"/>
      <c r="J114" s="610">
        <f>SUM(J100:J113)</f>
        <v>2905.6499999999996</v>
      </c>
      <c r="K114" s="610">
        <f t="shared" ref="K114:Q114" si="6">SUM(K100:K113)</f>
        <v>3321.1900000000005</v>
      </c>
      <c r="L114" s="610">
        <f t="shared" si="6"/>
        <v>3039.25</v>
      </c>
      <c r="M114" s="610">
        <f t="shared" si="6"/>
        <v>3027.7200000000003</v>
      </c>
      <c r="N114" s="610">
        <f t="shared" si="6"/>
        <v>2959.6800000000003</v>
      </c>
      <c r="O114" s="611">
        <f t="shared" si="6"/>
        <v>4524.72</v>
      </c>
      <c r="P114" s="611">
        <f t="shared" si="6"/>
        <v>4883.5099999999993</v>
      </c>
      <c r="Q114" s="611">
        <f t="shared" si="6"/>
        <v>4909.5099999999993</v>
      </c>
      <c r="R114" s="611"/>
      <c r="S114" s="611">
        <f>SUM(S100:S113)</f>
        <v>4988.2599999999993</v>
      </c>
      <c r="T114" s="611">
        <f>SUM(T100:T113)</f>
        <v>4910.2599999999993</v>
      </c>
      <c r="U114" s="611">
        <f>SUM(U100:U113)</f>
        <v>4910.2599999999993</v>
      </c>
      <c r="V114" s="611">
        <f t="shared" ref="V114" si="7">SUM(V100:V113)</f>
        <v>4910.2599999999993</v>
      </c>
      <c r="AB114" s="563"/>
    </row>
    <row r="115" spans="1:28" x14ac:dyDescent="0.25">
      <c r="A115" s="585" t="s">
        <v>32</v>
      </c>
      <c r="B115" s="585" t="s">
        <v>692</v>
      </c>
      <c r="C115" s="593" t="s">
        <v>113</v>
      </c>
      <c r="D115" s="585">
        <f>SUMIFS(ROTATIONTBL[ACRES],ROTATIONTBL[2024 CROP],C115,ROTATIONTBL[FARM],A115)</f>
        <v>4.74</v>
      </c>
      <c r="E115" s="578"/>
      <c r="F115" s="578" t="str">
        <f>IFERROR(VLOOKUP(C106,ROTATIONRG,2,FALSE)," ")</f>
        <v xml:space="preserve"> </v>
      </c>
      <c r="G115" s="578" t="str">
        <f>IFERROR(VLOOKUP(C106,ROTATIONRG,6,FALSE)," ")</f>
        <v xml:space="preserve"> </v>
      </c>
      <c r="H115" s="578"/>
      <c r="I115" s="578"/>
      <c r="J115" s="578"/>
      <c r="K115" s="578"/>
      <c r="L115" s="578"/>
      <c r="M115" s="578"/>
      <c r="N115" s="563"/>
      <c r="O115" s="563"/>
      <c r="P115" s="563"/>
      <c r="Q115" s="563"/>
      <c r="R115" s="563"/>
      <c r="S115" s="563"/>
      <c r="T115" s="563"/>
      <c r="U115" s="563"/>
      <c r="V115" s="563"/>
      <c r="AB115" s="563"/>
    </row>
    <row r="116" spans="1:28" hidden="1" x14ac:dyDescent="0.25">
      <c r="A116" s="585"/>
      <c r="B116" s="585"/>
      <c r="C116" s="585"/>
      <c r="D116" s="585">
        <f>SUMIFS(ROTATIONTBL[ACRES],ROTATIONTBL[2024 CROP],C116,ROTATIONTBL[FARM],A116)</f>
        <v>0</v>
      </c>
      <c r="E116" s="563"/>
      <c r="F116" s="563"/>
      <c r="G116" s="563"/>
      <c r="H116" s="563"/>
      <c r="I116" s="563"/>
      <c r="J116" s="563"/>
      <c r="K116" s="563"/>
      <c r="L116" s="563"/>
      <c r="M116" s="563"/>
      <c r="N116" s="563"/>
      <c r="O116" s="563"/>
      <c r="P116" s="563"/>
      <c r="Q116" s="563"/>
      <c r="R116" s="563"/>
      <c r="S116" s="563"/>
      <c r="T116" s="563"/>
      <c r="U116" s="563"/>
      <c r="V116" s="563"/>
      <c r="AB116" s="563"/>
    </row>
    <row r="117" spans="1:28" hidden="1" x14ac:dyDescent="0.25">
      <c r="A117" s="585"/>
      <c r="B117" s="585"/>
      <c r="C117" s="585"/>
      <c r="D117" s="585">
        <f>SUMIFS(ROTATIONTBL[ACRES],ROTATIONTBL[2024 CROP],C117,ROTATIONTBL[FARM],A117)</f>
        <v>0</v>
      </c>
      <c r="E117" s="563"/>
      <c r="F117" s="563"/>
      <c r="G117" s="563"/>
      <c r="H117" s="563"/>
      <c r="I117" s="563"/>
      <c r="J117" s="563"/>
      <c r="K117" s="563"/>
      <c r="L117" s="563"/>
      <c r="M117" s="563"/>
      <c r="N117" s="563"/>
      <c r="O117" s="563"/>
      <c r="P117" s="563"/>
      <c r="Q117" s="563"/>
      <c r="R117" s="563"/>
      <c r="S117" s="563"/>
      <c r="T117" s="563"/>
      <c r="U117" s="563"/>
      <c r="V117" s="563"/>
      <c r="AB117" s="563"/>
    </row>
    <row r="118" spans="1:28" hidden="1" x14ac:dyDescent="0.25">
      <c r="A118" s="585"/>
      <c r="B118" s="585"/>
      <c r="C118" s="585"/>
      <c r="D118" s="585">
        <f>SUMIFS(ROTATIONTBL[ACRES],ROTATIONTBL[2024 CROP],C118,ROTATIONTBL[FARM],A118)</f>
        <v>0</v>
      </c>
      <c r="E118" s="563"/>
      <c r="F118" s="563"/>
      <c r="G118" s="563"/>
      <c r="H118" s="563"/>
      <c r="I118" s="563"/>
      <c r="J118" s="563"/>
      <c r="K118" s="563"/>
      <c r="L118" s="563"/>
      <c r="M118" s="563"/>
      <c r="N118" s="563"/>
      <c r="O118" s="563"/>
      <c r="P118" s="563"/>
      <c r="Q118" s="563"/>
      <c r="R118" s="563"/>
      <c r="S118" s="563"/>
      <c r="T118" s="563"/>
      <c r="U118" s="563"/>
      <c r="V118" s="563"/>
      <c r="AB118" s="563"/>
    </row>
    <row r="119" spans="1:28" hidden="1" x14ac:dyDescent="0.25">
      <c r="A119" s="585"/>
      <c r="B119" s="585"/>
      <c r="C119" s="585"/>
      <c r="D119" s="585">
        <f>SUMIFS(ROTATIONTBL[ACRES],ROTATIONTBL[2024 CROP],C119,ROTATIONTBL[FARM],A119)</f>
        <v>0</v>
      </c>
      <c r="E119" s="563"/>
      <c r="F119" s="563"/>
      <c r="G119" s="563"/>
      <c r="H119" s="563"/>
      <c r="I119" s="563"/>
      <c r="J119" s="563"/>
      <c r="K119" s="563"/>
      <c r="L119" s="563"/>
      <c r="M119" s="563"/>
      <c r="N119" s="563"/>
      <c r="O119" s="563"/>
      <c r="P119" s="563"/>
      <c r="Q119" s="563"/>
      <c r="R119" s="563"/>
      <c r="S119" s="563"/>
      <c r="T119" s="563"/>
      <c r="U119" s="563"/>
      <c r="V119" s="563"/>
      <c r="AB119" s="563"/>
    </row>
    <row r="120" spans="1:28" hidden="1" x14ac:dyDescent="0.25">
      <c r="A120" s="585"/>
      <c r="B120" s="585"/>
      <c r="C120" s="585"/>
      <c r="D120" s="585">
        <f>SUMIFS(ROTATIONTBL[ACRES],ROTATIONTBL[2024 CROP],C120,ROTATIONTBL[FARM],A120)</f>
        <v>0</v>
      </c>
      <c r="E120" s="563"/>
      <c r="F120" s="563"/>
      <c r="G120" s="563"/>
      <c r="H120" s="563"/>
      <c r="I120" s="563"/>
      <c r="J120" s="563"/>
      <c r="K120" s="563"/>
      <c r="L120" s="563"/>
      <c r="M120" s="563"/>
      <c r="N120" s="563"/>
      <c r="O120" s="563"/>
      <c r="P120" s="563"/>
      <c r="Q120" s="563"/>
      <c r="R120" s="563"/>
      <c r="S120" s="563"/>
      <c r="T120" s="563"/>
      <c r="U120" s="563"/>
      <c r="V120" s="563"/>
      <c r="AB120" s="563"/>
    </row>
    <row r="121" spans="1:28" hidden="1" x14ac:dyDescent="0.25">
      <c r="A121" s="585"/>
      <c r="B121" s="585"/>
      <c r="C121" s="585"/>
      <c r="D121" s="585">
        <f>SUMIFS(ROTATIONTBL[ACRES],ROTATIONTBL[2024 CROP],C121,ROTATIONTBL[FARM],A121)</f>
        <v>0</v>
      </c>
      <c r="E121" s="563"/>
      <c r="F121" s="563"/>
      <c r="G121" s="563"/>
      <c r="H121" s="563"/>
      <c r="I121" s="563"/>
      <c r="J121" s="563"/>
      <c r="K121" s="563"/>
      <c r="L121" s="563"/>
      <c r="M121" s="563"/>
      <c r="N121" s="563"/>
      <c r="O121" s="563"/>
      <c r="P121" s="563"/>
      <c r="Q121" s="563"/>
      <c r="R121" s="563"/>
      <c r="S121" s="563"/>
      <c r="T121" s="563"/>
      <c r="U121" s="563"/>
      <c r="V121" s="563"/>
      <c r="AB121" s="563"/>
    </row>
    <row r="122" spans="1:28" hidden="1" x14ac:dyDescent="0.25">
      <c r="A122" s="585"/>
      <c r="B122" s="585"/>
      <c r="C122" s="585"/>
      <c r="D122" s="585">
        <f>SUMIFS(ROTATIONTBL[ACRES],ROTATIONTBL[2024 CROP],C122,ROTATIONTBL[FARM],A122)</f>
        <v>0</v>
      </c>
      <c r="E122" s="563"/>
      <c r="F122" s="563"/>
      <c r="G122" s="563"/>
      <c r="H122" s="563"/>
      <c r="I122" s="563"/>
      <c r="J122" s="563"/>
      <c r="K122" s="563"/>
      <c r="L122" s="563"/>
      <c r="M122" s="563"/>
      <c r="N122" s="563"/>
      <c r="O122" s="563"/>
      <c r="P122" s="563"/>
      <c r="Q122" s="563"/>
      <c r="R122" s="563"/>
      <c r="S122" s="563"/>
      <c r="T122" s="563"/>
      <c r="U122" s="563"/>
      <c r="V122" s="563"/>
      <c r="AB122" s="563"/>
    </row>
    <row r="123" spans="1:28" hidden="1" x14ac:dyDescent="0.25">
      <c r="A123" s="585" t="s">
        <v>38</v>
      </c>
      <c r="B123" s="585"/>
      <c r="C123" s="585"/>
      <c r="D123" s="585">
        <f>SUBTOTAL(109,FARMTOTCROP[ACRES])</f>
        <v>1053.47</v>
      </c>
      <c r="E123" s="563"/>
      <c r="F123" s="563"/>
      <c r="G123" s="563"/>
      <c r="H123" s="563"/>
      <c r="I123" s="563"/>
      <c r="J123" s="563"/>
      <c r="K123" s="563"/>
      <c r="L123" s="563"/>
      <c r="M123" s="563"/>
      <c r="N123" s="563"/>
      <c r="O123" s="563"/>
      <c r="P123" s="563"/>
      <c r="Q123" s="563"/>
      <c r="R123" s="563"/>
      <c r="S123" s="563"/>
      <c r="T123" s="563"/>
      <c r="U123" s="563"/>
      <c r="V123" s="563"/>
      <c r="AB123" s="563"/>
    </row>
    <row r="124" spans="1:28" hidden="1" x14ac:dyDescent="0.25">
      <c r="A124" s="563"/>
      <c r="B124" s="563"/>
      <c r="C124" s="563"/>
      <c r="D124" s="563"/>
      <c r="E124" s="563"/>
      <c r="F124" s="563"/>
      <c r="G124" s="563"/>
      <c r="H124" s="563"/>
      <c r="I124" s="563"/>
      <c r="J124" s="563"/>
      <c r="K124" s="563"/>
      <c r="L124" s="563"/>
      <c r="M124" s="563"/>
      <c r="N124" s="563"/>
      <c r="O124" s="563"/>
      <c r="P124" s="563"/>
      <c r="Q124" s="563"/>
      <c r="R124" s="563"/>
      <c r="S124" s="563"/>
      <c r="T124" s="563"/>
      <c r="U124" s="563"/>
      <c r="V124" s="563"/>
      <c r="AB124" s="563"/>
    </row>
    <row r="125" spans="1:28" hidden="1" x14ac:dyDescent="0.25">
      <c r="A125" s="563"/>
      <c r="B125" s="563"/>
      <c r="C125" s="563"/>
      <c r="D125" s="563"/>
      <c r="E125" s="563"/>
      <c r="F125" s="563"/>
      <c r="G125" s="563"/>
      <c r="H125" s="563"/>
      <c r="I125" s="563"/>
      <c r="J125" s="563"/>
      <c r="K125" s="563"/>
      <c r="L125" s="563"/>
      <c r="M125" s="563"/>
      <c r="N125" s="563"/>
      <c r="O125" s="563"/>
      <c r="P125" s="563"/>
      <c r="Q125" s="563"/>
      <c r="R125" s="563"/>
      <c r="S125" s="563"/>
      <c r="T125" s="563"/>
      <c r="U125" s="563"/>
      <c r="V125" s="563"/>
      <c r="AB125" s="563"/>
    </row>
    <row r="126" spans="1:28" hidden="1" x14ac:dyDescent="0.25">
      <c r="A126" s="563"/>
      <c r="B126" s="563"/>
      <c r="C126" s="563"/>
      <c r="D126" s="563"/>
      <c r="E126" s="563"/>
      <c r="F126" s="563"/>
      <c r="G126" s="563"/>
      <c r="H126" s="563"/>
      <c r="I126" s="563"/>
      <c r="J126" s="563"/>
      <c r="K126" s="563"/>
      <c r="L126" s="563"/>
      <c r="M126" s="563"/>
      <c r="N126" s="563"/>
      <c r="O126" s="563"/>
      <c r="P126" s="563"/>
      <c r="Q126" s="563"/>
      <c r="R126" s="563"/>
      <c r="S126" s="563"/>
      <c r="T126" s="563"/>
      <c r="U126" s="563"/>
      <c r="V126" s="563"/>
      <c r="AB126" s="563"/>
    </row>
    <row r="127" spans="1:28" hidden="1" x14ac:dyDescent="0.25">
      <c r="A127" s="563"/>
      <c r="B127" s="563"/>
      <c r="C127" s="563"/>
      <c r="D127" s="563"/>
      <c r="E127" s="563"/>
      <c r="F127" s="563"/>
      <c r="G127" s="563"/>
      <c r="H127" s="563"/>
      <c r="I127" s="563"/>
      <c r="J127" s="563"/>
      <c r="K127" s="563"/>
      <c r="L127" s="563"/>
      <c r="M127" s="563"/>
      <c r="N127" s="563"/>
      <c r="O127" s="563"/>
      <c r="P127" s="563"/>
      <c r="Q127" s="563"/>
      <c r="R127" s="563"/>
      <c r="S127" s="563"/>
      <c r="T127" s="563"/>
      <c r="U127" s="563"/>
      <c r="V127" s="563"/>
      <c r="AB127" s="563"/>
    </row>
    <row r="128" spans="1:28" hidden="1" x14ac:dyDescent="0.25">
      <c r="A128" s="563"/>
      <c r="B128" s="563"/>
      <c r="C128" s="563"/>
      <c r="D128" s="563"/>
      <c r="E128" s="563"/>
      <c r="F128" s="563"/>
      <c r="G128" s="563"/>
      <c r="H128" s="563"/>
      <c r="I128" s="563"/>
      <c r="J128" s="563"/>
      <c r="K128" s="563"/>
      <c r="L128" s="563"/>
      <c r="M128" s="563"/>
      <c r="N128" s="563"/>
      <c r="O128" s="563"/>
      <c r="P128" s="563"/>
      <c r="Q128" s="563"/>
      <c r="R128" s="563"/>
      <c r="S128" s="563"/>
      <c r="T128" s="563"/>
      <c r="U128" s="563"/>
      <c r="V128" s="563"/>
      <c r="AB128" s="563"/>
    </row>
    <row r="129" spans="1:28" hidden="1" x14ac:dyDescent="0.25">
      <c r="A129" s="740" t="s">
        <v>745</v>
      </c>
      <c r="B129" s="740"/>
      <c r="C129" s="740"/>
      <c r="D129" s="740"/>
      <c r="E129" s="740"/>
      <c r="F129" s="740"/>
      <c r="G129" s="740"/>
      <c r="H129" s="740"/>
      <c r="I129" s="740"/>
      <c r="J129" s="740"/>
      <c r="K129" s="740"/>
      <c r="L129" s="740"/>
      <c r="M129" s="740"/>
      <c r="N129" s="740"/>
      <c r="O129" s="740"/>
      <c r="P129" s="563"/>
      <c r="Q129" s="563"/>
      <c r="R129" s="563"/>
      <c r="S129" s="563"/>
      <c r="T129" s="563"/>
      <c r="U129" s="563"/>
      <c r="V129" s="563"/>
      <c r="AB129" s="563"/>
    </row>
    <row r="130" spans="1:28" hidden="1" x14ac:dyDescent="0.25">
      <c r="A130" s="740"/>
      <c r="B130" s="740"/>
      <c r="C130" s="740"/>
      <c r="D130" s="740"/>
      <c r="E130" s="740"/>
      <c r="F130" s="740"/>
      <c r="G130" s="740"/>
      <c r="H130" s="740"/>
      <c r="I130" s="740"/>
      <c r="J130" s="740"/>
      <c r="K130" s="740"/>
      <c r="L130" s="740"/>
      <c r="M130" s="740"/>
      <c r="N130" s="740"/>
      <c r="O130" s="740"/>
      <c r="P130" s="563"/>
      <c r="Q130" s="563"/>
      <c r="R130" s="563"/>
      <c r="S130" s="563"/>
      <c r="T130" s="563"/>
      <c r="U130" s="563"/>
      <c r="V130" s="563"/>
      <c r="AB130" s="563"/>
    </row>
    <row r="131" spans="1:28" hidden="1" x14ac:dyDescent="0.25">
      <c r="A131" s="740"/>
      <c r="B131" s="740"/>
      <c r="C131" s="740"/>
      <c r="D131" s="740"/>
      <c r="E131" s="740"/>
      <c r="F131" s="740"/>
      <c r="G131" s="740"/>
      <c r="H131" s="740"/>
      <c r="I131" s="740"/>
      <c r="J131" s="740"/>
      <c r="K131" s="740"/>
      <c r="L131" s="740"/>
      <c r="M131" s="740"/>
      <c r="N131" s="740"/>
      <c r="O131" s="740"/>
      <c r="P131" s="563"/>
      <c r="Q131" s="563"/>
      <c r="R131" s="563"/>
      <c r="S131" s="563"/>
      <c r="T131" s="563"/>
      <c r="U131" s="563"/>
      <c r="V131" s="563"/>
      <c r="AB131" s="563"/>
    </row>
    <row r="132" spans="1:28" hidden="1" x14ac:dyDescent="0.25">
      <c r="A132" s="741" t="s">
        <v>746</v>
      </c>
      <c r="B132" s="742" t="s">
        <v>692</v>
      </c>
      <c r="C132" s="742"/>
      <c r="D132" s="563"/>
      <c r="E132" s="563"/>
      <c r="F132" s="563"/>
      <c r="G132" s="563"/>
      <c r="H132" s="563"/>
      <c r="I132" s="563"/>
      <c r="J132" s="563"/>
      <c r="K132" s="563"/>
      <c r="L132" s="563"/>
      <c r="M132" s="563"/>
      <c r="N132" s="563"/>
      <c r="O132" s="563"/>
      <c r="P132" s="563"/>
      <c r="Q132" s="563"/>
      <c r="R132" s="563"/>
      <c r="S132" s="563"/>
      <c r="T132" s="563"/>
      <c r="U132" s="563"/>
      <c r="V132" s="563"/>
      <c r="AB132" s="563"/>
    </row>
    <row r="133" spans="1:28" hidden="1" x14ac:dyDescent="0.25">
      <c r="A133" s="741"/>
      <c r="B133" s="742"/>
      <c r="C133" s="742"/>
      <c r="D133" s="563"/>
      <c r="E133" s="563"/>
      <c r="F133" s="563"/>
      <c r="G133" s="563"/>
      <c r="H133" s="563"/>
      <c r="I133" s="563"/>
      <c r="J133" s="563"/>
      <c r="K133" s="563"/>
      <c r="L133" s="563"/>
      <c r="M133" s="563"/>
      <c r="N133" s="563"/>
      <c r="O133" s="563"/>
      <c r="P133" s="563"/>
      <c r="Q133" s="563"/>
      <c r="R133" s="563"/>
      <c r="S133" s="563"/>
      <c r="T133" s="563"/>
      <c r="U133" s="563"/>
      <c r="V133" s="563"/>
      <c r="AB133" s="563"/>
    </row>
    <row r="134" spans="1:28" hidden="1" x14ac:dyDescent="0.25">
      <c r="A134" s="612" t="s">
        <v>684</v>
      </c>
      <c r="B134" s="612" t="s">
        <v>2</v>
      </c>
      <c r="C134" s="612" t="s">
        <v>123</v>
      </c>
      <c r="D134" s="621" t="s">
        <v>732</v>
      </c>
      <c r="E134" s="622" t="s">
        <v>295</v>
      </c>
      <c r="F134" s="622" t="s">
        <v>283</v>
      </c>
      <c r="G134" s="622" t="s">
        <v>291</v>
      </c>
      <c r="H134" s="622" t="s">
        <v>288</v>
      </c>
      <c r="I134" s="622" t="s">
        <v>294</v>
      </c>
      <c r="J134" s="623" t="s">
        <v>286</v>
      </c>
      <c r="K134" s="624" t="s">
        <v>287</v>
      </c>
      <c r="L134" s="623" t="s">
        <v>293</v>
      </c>
      <c r="M134" s="623" t="s">
        <v>284</v>
      </c>
      <c r="N134" s="623" t="s">
        <v>285</v>
      </c>
      <c r="O134" s="625" t="s">
        <v>108</v>
      </c>
      <c r="P134" s="625" t="s">
        <v>113</v>
      </c>
      <c r="Q134" s="625" t="s">
        <v>102</v>
      </c>
      <c r="R134" s="625"/>
      <c r="S134" s="563"/>
      <c r="T134" s="563"/>
      <c r="U134" s="563"/>
      <c r="V134" s="563"/>
      <c r="AB134" s="563"/>
    </row>
    <row r="135" spans="1:28" hidden="1" x14ac:dyDescent="0.25">
      <c r="A135" s="613"/>
      <c r="B135" s="613" t="s">
        <v>21</v>
      </c>
      <c r="C135" s="613" t="s">
        <v>93</v>
      </c>
      <c r="D135" s="613">
        <f>SUMIFS(ROTATIONTBL[ACRES],ROTATIONTBL[FARM],B135,ROTATIONTBL[COUNTY],C135)</f>
        <v>1002.12</v>
      </c>
      <c r="E135" s="614">
        <f ca="1">SUMIFS(ROTATIONTBL[[ACRES]:[ACRES]],INDIRECT("ROTATIONTBL[" &amp;$B$132&amp;"]"),E$134,ROTATIONTBL[[COUNTY]:[COUNTY]],$C135,ROTATIONTBL[[FARM]:[FARM]],$B135)</f>
        <v>159.69999999999999</v>
      </c>
      <c r="F135" s="614">
        <f ca="1">SUMIFS(ROTATIONTBL[[ACRES]:[ACRES]],INDIRECT("ROTATIONTBL[" &amp;$B$132&amp;"]"),F$134,ROTATIONTBL[[COUNTY]:[COUNTY]],$C135,ROTATIONTBL[[FARM]:[FARM]],$B135)</f>
        <v>80.09</v>
      </c>
      <c r="G135" s="614">
        <f ca="1">SUMIFS(ROTATIONTBL[[ACRES]:[ACRES]],INDIRECT("ROTATIONTBL[" &amp;$B$132&amp;"]"),G$134,ROTATIONTBL[[COUNTY]:[COUNTY]],$C135,ROTATIONTBL[[FARM]:[FARM]],$B135)</f>
        <v>62.85</v>
      </c>
      <c r="H135" s="614">
        <f ca="1">SUMIFS(ROTATIONTBL[[ACRES]:[ACRES]],INDIRECT("ROTATIONTBL[" &amp;$B$132&amp;"]"),H$134,ROTATIONTBL[[COUNTY]:[COUNTY]],$C135,ROTATIONTBL[[FARM]:[FARM]],$B135)</f>
        <v>0</v>
      </c>
      <c r="I135" s="614">
        <f ca="1">SUMIFS(ROTATIONTBL[[ACRES]:[ACRES]],INDIRECT("ROTATIONTBL[" &amp;$B$132&amp;"]"),I$134,ROTATIONTBL[[COUNTY]:[COUNTY]],$C135,ROTATIONTBL[[FARM]:[FARM]],$B135)</f>
        <v>0</v>
      </c>
      <c r="J135" s="614">
        <f ca="1">SUMIFS(ROTATIONTBL[[ACRES]:[ACRES]],INDIRECT("ROTATIONTBL[" &amp;$B$132&amp;"]"),J$134,ROTATIONTBL[[COUNTY]:[COUNTY]],$C135,ROTATIONTBL[[FARM]:[FARM]],$B135)</f>
        <v>0</v>
      </c>
      <c r="K135" s="614">
        <f ca="1">SUMIFS(ROTATIONTBL[[ACRES]:[ACRES]],INDIRECT("ROTATIONTBL[" &amp;$B$132&amp;"]"),K$134,ROTATIONTBL[[COUNTY]:[COUNTY]],$C135,ROTATIONTBL[[FARM]:[FARM]],$B135)</f>
        <v>0</v>
      </c>
      <c r="L135" s="614">
        <f ca="1">SUMIFS(ROTATIONTBL[[ACRES]:[ACRES]],INDIRECT("ROTATIONTBL[" &amp;$B$132&amp;"]"),L$134,ROTATIONTBL[[COUNTY]:[COUNTY]],$C135,ROTATIONTBL[[FARM]:[FARM]],$B135)</f>
        <v>0</v>
      </c>
      <c r="M135" s="614">
        <f ca="1">SUMIFS(ROTATIONTBL[[ACRES]:[ACRES]],INDIRECT("ROTATIONTBL[" &amp;$B$132&amp;"]"),M$134,ROTATIONTBL[[COUNTY]:[COUNTY]],$C135,ROTATIONTBL[[FARM]:[FARM]],$B135)</f>
        <v>0</v>
      </c>
      <c r="N135" s="614">
        <f ca="1">SUMIFS(ROTATIONTBL[[ACRES]:[ACRES]],INDIRECT("ROTATIONTBL[" &amp;$B$132&amp;"]"),N$134,ROTATIONTBL[[COUNTY]:[COUNTY]],$C135,ROTATIONTBL[[FARM]:[FARM]],$B135)</f>
        <v>0</v>
      </c>
      <c r="O135" s="614">
        <f ca="1">SUMIFS(ROTATIONTBL[[ACRES]:[ACRES]],INDIRECT("ROTATIONTBL[" &amp;$B$132&amp;"]"),O$134,ROTATIONTBL[[COUNTY]:[COUNTY]],$C135,ROTATIONTBL[[FARM]:[FARM]],$B135)</f>
        <v>295</v>
      </c>
      <c r="P135" s="614">
        <f ca="1">SUMIFS(ROTATIONTBL[[ACRES]:[ACRES]],INDIRECT("ROTATIONTBL[" &amp;$B$132&amp;"]"),P$134,ROTATIONTBL[[COUNTY]:[COUNTY]],$C135,ROTATIONTBL[[FARM]:[FARM]],$B135)</f>
        <v>0</v>
      </c>
      <c r="Q135" s="614">
        <f ca="1">SUMIFS(ROTATIONTBL[[ACRES]:[ACRES]],INDIRECT("ROTATIONTBL[" &amp;$B$132&amp;"]"),Q$134,ROTATIONTBL[[COUNTY]:[COUNTY]],$C135,ROTATIONTBL[[FARM]:[FARM]],$B135)</f>
        <v>5.44</v>
      </c>
      <c r="R135" s="614"/>
      <c r="S135" s="563"/>
      <c r="T135" s="563"/>
      <c r="U135" s="563"/>
      <c r="V135" s="563"/>
      <c r="AB135" s="563"/>
    </row>
    <row r="136" spans="1:28" hidden="1" x14ac:dyDescent="0.25">
      <c r="B136" s="565" t="s">
        <v>35</v>
      </c>
      <c r="C136" s="565" t="s">
        <v>93</v>
      </c>
      <c r="D136" s="565">
        <f>SUMIFS(ROTATIONTBL[ACRES],ROTATIONTBL[FARM],B136,ROTATIONTBL[COUNTY],C136)</f>
        <v>75.300000000000011</v>
      </c>
      <c r="E136" s="614">
        <f ca="1">SUMIFS(ROTATIONTBL[[ACRES]:[ACRES]],INDIRECT("ROTATIONTBL[" &amp;$B$132&amp;"]"),E$134,ROTATIONTBL[[COUNTY]:[COUNTY]],$C136,ROTATIONTBL[[FARM]:[FARM]],$B136)</f>
        <v>0</v>
      </c>
      <c r="F136" s="614">
        <f ca="1">SUMIFS(ROTATIONTBL[[ACRES]:[ACRES]],INDIRECT("ROTATIONTBL[" &amp;$B$132&amp;"]"),F$134,ROTATIONTBL[[COUNTY]:[COUNTY]],$C136,ROTATIONTBL[[FARM]:[FARM]],$B136)</f>
        <v>75.300000000000011</v>
      </c>
      <c r="G136" s="614">
        <f ca="1">SUMIFS(ROTATIONTBL[[ACRES]:[ACRES]],INDIRECT("ROTATIONTBL[" &amp;$B$132&amp;"]"),G$134,ROTATIONTBL[[COUNTY]:[COUNTY]],$C136,ROTATIONTBL[[FARM]:[FARM]],$B136)</f>
        <v>0</v>
      </c>
      <c r="H136" s="614">
        <f ca="1">SUMIFS(ROTATIONTBL[[ACRES]:[ACRES]],INDIRECT("ROTATIONTBL[" &amp;$B$132&amp;"]"),H$134,ROTATIONTBL[[COUNTY]:[COUNTY]],$C136,ROTATIONTBL[[FARM]:[FARM]],$B136)</f>
        <v>0</v>
      </c>
      <c r="I136" s="614">
        <f ca="1">SUMIFS(ROTATIONTBL[[ACRES]:[ACRES]],INDIRECT("ROTATIONTBL[" &amp;$B$132&amp;"]"),I$134,ROTATIONTBL[[COUNTY]:[COUNTY]],$C136,ROTATIONTBL[[FARM]:[FARM]],$B136)</f>
        <v>0</v>
      </c>
      <c r="J136" s="614">
        <f ca="1">SUMIFS(ROTATIONTBL[[ACRES]:[ACRES]],INDIRECT("ROTATIONTBL[" &amp;$B$132&amp;"]"),J$134,ROTATIONTBL[[COUNTY]:[COUNTY]],$C136,ROTATIONTBL[[FARM]:[FARM]],$B136)</f>
        <v>0</v>
      </c>
      <c r="K136" s="614">
        <f ca="1">SUMIFS(ROTATIONTBL[[ACRES]:[ACRES]],INDIRECT("ROTATIONTBL[" &amp;$B$132&amp;"]"),K$134,ROTATIONTBL[[COUNTY]:[COUNTY]],$C136,ROTATIONTBL[[FARM]:[FARM]],$B136)</f>
        <v>0</v>
      </c>
      <c r="L136" s="614">
        <f ca="1">SUMIFS(ROTATIONTBL[[ACRES]:[ACRES]],INDIRECT("ROTATIONTBL[" &amp;$B$132&amp;"]"),L$134,ROTATIONTBL[[COUNTY]:[COUNTY]],$C136,ROTATIONTBL[[FARM]:[FARM]],$B136)</f>
        <v>0</v>
      </c>
      <c r="M136" s="614">
        <f ca="1">SUMIFS(ROTATIONTBL[[ACRES]:[ACRES]],INDIRECT("ROTATIONTBL[" &amp;$B$132&amp;"]"),M$134,ROTATIONTBL[[COUNTY]:[COUNTY]],$C136,ROTATIONTBL[[FARM]:[FARM]],$B136)</f>
        <v>0</v>
      </c>
      <c r="N136" s="614">
        <f ca="1">SUMIFS(ROTATIONTBL[[ACRES]:[ACRES]],INDIRECT("ROTATIONTBL[" &amp;$B$132&amp;"]"),N$134,ROTATIONTBL[[COUNTY]:[COUNTY]],$C136,ROTATIONTBL[[FARM]:[FARM]],$B136)</f>
        <v>0</v>
      </c>
      <c r="O136" s="614">
        <f ca="1">SUMIFS(ROTATIONTBL[[ACRES]:[ACRES]],INDIRECT("ROTATIONTBL[" &amp;$B$132&amp;"]"),O$134,ROTATIONTBL[[COUNTY]:[COUNTY]],$C136,ROTATIONTBL[[FARM]:[FARM]],$B136)</f>
        <v>0</v>
      </c>
      <c r="P136" s="614">
        <f ca="1">SUMIFS(ROTATIONTBL[[ACRES]:[ACRES]],INDIRECT("ROTATIONTBL[" &amp;$B$132&amp;"]"),P$134,ROTATIONTBL[[COUNTY]:[COUNTY]],$C136,ROTATIONTBL[[FARM]:[FARM]],$B136)</f>
        <v>0</v>
      </c>
      <c r="Q136" s="614">
        <f ca="1">SUMIFS(ROTATIONTBL[[ACRES]:[ACRES]],INDIRECT("ROTATIONTBL[" &amp;$B$132&amp;"]"),Q$134,ROTATIONTBL[[COUNTY]:[COUNTY]],$C136,ROTATIONTBL[[FARM]:[FARM]],$B136)</f>
        <v>0</v>
      </c>
      <c r="R136" s="614"/>
      <c r="S136" s="563"/>
      <c r="T136" s="563"/>
      <c r="U136" s="563"/>
      <c r="V136" s="563"/>
      <c r="AB136" s="563"/>
    </row>
    <row r="137" spans="1:28" hidden="1" x14ac:dyDescent="0.25">
      <c r="B137" s="613" t="s">
        <v>26</v>
      </c>
      <c r="C137" s="565" t="s">
        <v>93</v>
      </c>
      <c r="D137" s="565">
        <f>SUMIFS(ROTATIONTBL[ACRES],ROTATIONTBL[FARM],B137,ROTATIONTBL[COUNTY],C137)</f>
        <v>328</v>
      </c>
      <c r="E137" s="614">
        <f ca="1">SUMIFS(ROTATIONTBL[[ACRES]:[ACRES]],INDIRECT("ROTATIONTBL[" &amp;$B$132&amp;"]"),E$134,ROTATIONTBL[[COUNTY]:[COUNTY]],$C137,ROTATIONTBL[[FARM]:[FARM]],$B137)</f>
        <v>0</v>
      </c>
      <c r="F137" s="614">
        <f ca="1">SUMIFS(ROTATIONTBL[[ACRES]:[ACRES]],INDIRECT("ROTATIONTBL[" &amp;$B$132&amp;"]"),F$134,ROTATIONTBL[[COUNTY]:[COUNTY]],$C137,ROTATIONTBL[[FARM]:[FARM]],$B137)</f>
        <v>0</v>
      </c>
      <c r="G137" s="565">
        <f ca="1">SUMIFS(ROTATIONTBL[[ACRES]:[ACRES]],INDIRECT("ROTATIONTBL[" &amp;$B$132&amp;"]"),G$134,ROTATIONTBL[[COUNTY]:[COUNTY]],$C137,ROTATIONTBL[[FARM]:[FARM]],$B137)</f>
        <v>0</v>
      </c>
      <c r="H137" s="565">
        <f ca="1">SUMIFS(ROTATIONTBL[[ACRES]:[ACRES]],INDIRECT("ROTATIONTBL[" &amp;$B$132&amp;"]"),H$134,ROTATIONTBL[[COUNTY]:[COUNTY]],$C137,ROTATIONTBL[[FARM]:[FARM]],$B137)</f>
        <v>0</v>
      </c>
      <c r="I137" s="565">
        <f ca="1">SUMIFS(ROTATIONTBL[[ACRES]:[ACRES]],INDIRECT("ROTATIONTBL[" &amp;$B$132&amp;"]"),I$134,ROTATIONTBL[[COUNTY]:[COUNTY]],$C137,ROTATIONTBL[[FARM]:[FARM]],$B137)</f>
        <v>0</v>
      </c>
      <c r="J137" s="565">
        <f ca="1">SUMIFS(ROTATIONTBL[[ACRES]:[ACRES]],INDIRECT("ROTATIONTBL[" &amp;$B$132&amp;"]"),J$134,ROTATIONTBL[[COUNTY]:[COUNTY]],$C137,ROTATIONTBL[[FARM]:[FARM]],$B137)</f>
        <v>0</v>
      </c>
      <c r="K137" s="565">
        <f ca="1">SUMIFS(ROTATIONTBL[[ACRES]:[ACRES]],INDIRECT("ROTATIONTBL[" &amp;$B$132&amp;"]"),K$134,ROTATIONTBL[[COUNTY]:[COUNTY]],$C137,ROTATIONTBL[[FARM]:[FARM]],$B137)</f>
        <v>0</v>
      </c>
      <c r="L137" s="565">
        <f ca="1">SUMIFS(ROTATIONTBL[[ACRES]:[ACRES]],INDIRECT("ROTATIONTBL[" &amp;$B$132&amp;"]"),L$134,ROTATIONTBL[[COUNTY]:[COUNTY]],$C137,ROTATIONTBL[[FARM]:[FARM]],$B137)</f>
        <v>0</v>
      </c>
      <c r="M137" s="565">
        <f ca="1">SUMIFS(ROTATIONTBL[[ACRES]:[ACRES]],INDIRECT("ROTATIONTBL[" &amp;$B$132&amp;"]"),M$134,ROTATIONTBL[[COUNTY]:[COUNTY]],$C137,ROTATIONTBL[[FARM]:[FARM]],$B137)</f>
        <v>0</v>
      </c>
      <c r="N137" s="565">
        <f ca="1">SUMIFS(ROTATIONTBL[[ACRES]:[ACRES]],INDIRECT("ROTATIONTBL[" &amp;$B$132&amp;"]"),N$134,ROTATIONTBL[[COUNTY]:[COUNTY]],$C137,ROTATIONTBL[[FARM]:[FARM]],$B137)</f>
        <v>0</v>
      </c>
      <c r="O137" s="565">
        <f ca="1">SUMIFS(ROTATIONTBL[[ACRES]:[ACRES]],INDIRECT("ROTATIONTBL[" &amp;$B$132&amp;"]"),O$134,ROTATIONTBL[[COUNTY]:[COUNTY]],$C137,ROTATIONTBL[[FARM]:[FARM]],$B137)</f>
        <v>52.1</v>
      </c>
      <c r="P137" s="565">
        <f ca="1">SUMIFS(ROTATIONTBL[[ACRES]:[ACRES]],INDIRECT("ROTATIONTBL[" &amp;$B$132&amp;"]"),P$134,ROTATIONTBL[[COUNTY]:[COUNTY]],$C137,ROTATIONTBL[[FARM]:[FARM]],$B137)</f>
        <v>0</v>
      </c>
      <c r="Q137" s="614">
        <f ca="1">SUMIFS(ROTATIONTBL[[ACRES]:[ACRES]],INDIRECT("ROTATIONTBL[" &amp;$B$132&amp;"]"),Q$134,ROTATIONTBL[[COUNTY]:[COUNTY]],$C137,ROTATIONTBL[[FARM]:[FARM]],$B137)</f>
        <v>8</v>
      </c>
      <c r="R137" s="614"/>
      <c r="S137" s="563"/>
      <c r="T137" s="563"/>
      <c r="U137" s="563"/>
      <c r="V137" s="563"/>
      <c r="AB137" s="563"/>
    </row>
    <row r="138" spans="1:28" hidden="1" x14ac:dyDescent="0.25">
      <c r="A138" s="615"/>
      <c r="B138" s="615"/>
      <c r="C138" s="615"/>
      <c r="D138" s="616">
        <f>SUM(D135:D136)</f>
        <v>1077.42</v>
      </c>
      <c r="E138" s="617">
        <f t="shared" ref="E138:Q138" ca="1" si="8">SUM(E135:E137)</f>
        <v>159.69999999999999</v>
      </c>
      <c r="F138" s="617">
        <f t="shared" ca="1" si="8"/>
        <v>155.39000000000001</v>
      </c>
      <c r="G138" s="617">
        <f t="shared" ca="1" si="8"/>
        <v>62.85</v>
      </c>
      <c r="H138" s="617">
        <f t="shared" ca="1" si="8"/>
        <v>0</v>
      </c>
      <c r="I138" s="617">
        <f t="shared" ca="1" si="8"/>
        <v>0</v>
      </c>
      <c r="J138" s="617">
        <f t="shared" ca="1" si="8"/>
        <v>0</v>
      </c>
      <c r="K138" s="617">
        <f t="shared" ca="1" si="8"/>
        <v>0</v>
      </c>
      <c r="L138" s="617">
        <f t="shared" ca="1" si="8"/>
        <v>0</v>
      </c>
      <c r="M138" s="617">
        <f t="shared" ca="1" si="8"/>
        <v>0</v>
      </c>
      <c r="N138" s="617">
        <f t="shared" ca="1" si="8"/>
        <v>0</v>
      </c>
      <c r="O138" s="617">
        <f t="shared" ca="1" si="8"/>
        <v>347.1</v>
      </c>
      <c r="P138" s="617">
        <f t="shared" ca="1" si="8"/>
        <v>0</v>
      </c>
      <c r="Q138" s="617">
        <f t="shared" ca="1" si="8"/>
        <v>13.440000000000001</v>
      </c>
      <c r="R138" s="617"/>
      <c r="S138" s="618"/>
      <c r="T138" s="563"/>
      <c r="U138" s="563"/>
      <c r="V138" s="563"/>
      <c r="AB138" s="563"/>
    </row>
    <row r="139" spans="1:28" hidden="1" x14ac:dyDescent="0.25">
      <c r="B139" s="565" t="s">
        <v>80</v>
      </c>
      <c r="C139" s="565" t="s">
        <v>79</v>
      </c>
      <c r="D139" s="565">
        <f>SUMIFS(ROTATIONTBL[ACRES],ROTATIONTBL[FARM],B139,ROTATIONTBL[COUNTY],C139)</f>
        <v>315.68</v>
      </c>
      <c r="E139" s="565">
        <f ca="1">SUMIFS(ROTATIONTBL[[ACRES]:[ACRES]],INDIRECT("ROTATIONTBL[" &amp;$B$132&amp;"]"),E$134,ROTATIONTBL[[COUNTY]:[COUNTY]],$C139,ROTATIONTBL[[FARM]:[FARM]],$B139)</f>
        <v>0</v>
      </c>
      <c r="F139" s="565">
        <f ca="1">SUMIFS(ROTATIONTBL[[ACRES]:[ACRES]],INDIRECT("ROTATIONTBL[" &amp;$B$132&amp;"]"),F$134,ROTATIONTBL[[COUNTY]:[COUNTY]],$C139,ROTATIONTBL[[FARM]:[FARM]],$B139)</f>
        <v>78.900000000000006</v>
      </c>
      <c r="G139" s="565">
        <f ca="1">SUMIFS(ROTATIONTBL[[ACRES]:[ACRES]],INDIRECT("ROTATIONTBL[" &amp;$B$132&amp;"]"),G$134,ROTATIONTBL[[COUNTY]:[COUNTY]],$C139,ROTATIONTBL[[FARM]:[FARM]],$B139)</f>
        <v>78.900000000000006</v>
      </c>
      <c r="H139" s="565">
        <f ca="1">SUMIFS(ROTATIONTBL[[ACRES]:[ACRES]],INDIRECT("ROTATIONTBL[" &amp;$B$132&amp;"]"),H$134,ROTATIONTBL[[COUNTY]:[COUNTY]],$C139,ROTATIONTBL[[FARM]:[FARM]],$B139)</f>
        <v>0</v>
      </c>
      <c r="I139" s="565">
        <f ca="1">SUMIFS(ROTATIONTBL[[ACRES]:[ACRES]],INDIRECT("ROTATIONTBL[" &amp;$B$132&amp;"]"),I$134,ROTATIONTBL[[COUNTY]:[COUNTY]],$C139,ROTATIONTBL[[FARM]:[FARM]],$B139)</f>
        <v>0</v>
      </c>
      <c r="J139" s="565">
        <f ca="1">SUMIFS(ROTATIONTBL[[ACRES]:[ACRES]],INDIRECT("ROTATIONTBL[" &amp;$B$132&amp;"]"),J$134,ROTATIONTBL[[COUNTY]:[COUNTY]],$C139,ROTATIONTBL[[FARM]:[FARM]],$B139)</f>
        <v>0</v>
      </c>
      <c r="K139" s="565">
        <f ca="1">SUMIFS(ROTATIONTBL[[ACRES]:[ACRES]],INDIRECT("ROTATIONTBL[" &amp;$B$132&amp;"]"),K$134,ROTATIONTBL[[COUNTY]:[COUNTY]],$C139,ROTATIONTBL[[FARM]:[FARM]],$B139)</f>
        <v>0</v>
      </c>
      <c r="L139" s="565">
        <f ca="1">SUMIFS(ROTATIONTBL[[ACRES]:[ACRES]],INDIRECT("ROTATIONTBL[" &amp;$B$132&amp;"]"),L$134,ROTATIONTBL[[COUNTY]:[COUNTY]],$C139,ROTATIONTBL[[FARM]:[FARM]],$B139)</f>
        <v>0</v>
      </c>
      <c r="M139" s="565">
        <f ca="1">SUMIFS(ROTATIONTBL[[ACRES]:[ACRES]],INDIRECT("ROTATIONTBL[" &amp;$B$132&amp;"]"),M$134,ROTATIONTBL[[COUNTY]:[COUNTY]],$C139,ROTATIONTBL[[FARM]:[FARM]],$B139)</f>
        <v>0</v>
      </c>
      <c r="N139" s="565">
        <f ca="1">SUMIFS(ROTATIONTBL[[ACRES]:[ACRES]],INDIRECT("ROTATIONTBL[" &amp;$B$132&amp;"]"),N$134,ROTATIONTBL[[COUNTY]:[COUNTY]],$C139,ROTATIONTBL[[FARM]:[FARM]],$B139)</f>
        <v>0</v>
      </c>
      <c r="O139" s="565">
        <f ca="1">SUMIFS(ROTATIONTBL[[ACRES]:[ACRES]],INDIRECT("ROTATIONTBL[" &amp;$B$132&amp;"]"),O$134,ROTATIONTBL[[COUNTY]:[COUNTY]],$C139,ROTATIONTBL[[FARM]:[FARM]],$B139)</f>
        <v>0</v>
      </c>
      <c r="P139" s="565">
        <f ca="1">SUMIFS(ROTATIONTBL[[ACRES]:[ACRES]],INDIRECT("ROTATIONTBL[" &amp;$B$132&amp;"]"),P$134,ROTATIONTBL[[COUNTY]:[COUNTY]],$C139,ROTATIONTBL[[FARM]:[FARM]],$B139)</f>
        <v>0</v>
      </c>
      <c r="Q139" s="614">
        <f ca="1">SUMIFS(ROTATIONTBL[[ACRES]:[ACRES]],INDIRECT("ROTATIONTBL[" &amp;$B$132&amp;"]"),Q$134,ROTATIONTBL[[COUNTY]:[COUNTY]],$C139,ROTATIONTBL[[FARM]:[FARM]],$B139)</f>
        <v>0</v>
      </c>
      <c r="R139" s="614"/>
      <c r="S139" s="563"/>
      <c r="T139" s="563"/>
      <c r="U139" s="563"/>
      <c r="V139" s="563"/>
      <c r="AB139" s="563"/>
    </row>
    <row r="140" spans="1:28" hidden="1" x14ac:dyDescent="0.25">
      <c r="A140" s="619"/>
      <c r="B140" s="620" t="s">
        <v>75</v>
      </c>
      <c r="C140" s="613" t="s">
        <v>79</v>
      </c>
      <c r="D140" s="613">
        <f>SUMIFS(ROTATIONTBL[ACRES],ROTATIONTBL[FARM],B140,ROTATIONTBL[COUNTY],C140)</f>
        <v>0</v>
      </c>
      <c r="E140" s="565">
        <f ca="1">SUMIFS(ROTATIONTBL[[ACRES]:[ACRES]],INDIRECT("ROTATIONTBL[" &amp;$B$132&amp;"]"),E$134,ROTATIONTBL[[COUNTY]:[COUNTY]],$C140,ROTATIONTBL[[FARM]:[FARM]],$B140)</f>
        <v>0</v>
      </c>
      <c r="F140" s="565">
        <f ca="1">SUMIFS(ROTATIONTBL[[ACRES]:[ACRES]],INDIRECT("ROTATIONTBL[" &amp;$B$132&amp;"]"),F$134,ROTATIONTBL[[COUNTY]:[COUNTY]],$C140,ROTATIONTBL[[FARM]:[FARM]],$B140)</f>
        <v>0</v>
      </c>
      <c r="G140" s="565">
        <f ca="1">SUMIFS(ROTATIONTBL[[ACRES]:[ACRES]],INDIRECT("ROTATIONTBL[" &amp;$B$132&amp;"]"),G$134,ROTATIONTBL[[COUNTY]:[COUNTY]],$C140,ROTATIONTBL[[FARM]:[FARM]],$B140)</f>
        <v>0</v>
      </c>
      <c r="H140" s="565">
        <f ca="1">SUMIFS(ROTATIONTBL[[ACRES]:[ACRES]],INDIRECT("ROTATIONTBL[" &amp;$B$132&amp;"]"),H$134,ROTATIONTBL[[COUNTY]:[COUNTY]],$C140,ROTATIONTBL[[FARM]:[FARM]],$B140)</f>
        <v>0</v>
      </c>
      <c r="I140" s="565">
        <f ca="1">SUMIFS(ROTATIONTBL[[ACRES]:[ACRES]],INDIRECT("ROTATIONTBL[" &amp;$B$132&amp;"]"),I$134,ROTATIONTBL[[COUNTY]:[COUNTY]],$C140,ROTATIONTBL[[FARM]:[FARM]],$B140)</f>
        <v>0</v>
      </c>
      <c r="J140" s="565">
        <f ca="1">SUMIFS(ROTATIONTBL[[ACRES]:[ACRES]],INDIRECT("ROTATIONTBL[" &amp;$B$132&amp;"]"),J$134,ROTATIONTBL[[COUNTY]:[COUNTY]],$C140,ROTATIONTBL[[FARM]:[FARM]],$B140)</f>
        <v>0</v>
      </c>
      <c r="K140" s="565">
        <f ca="1">SUMIFS(ROTATIONTBL[[ACRES]:[ACRES]],INDIRECT("ROTATIONTBL[" &amp;$B$132&amp;"]"),K$134,ROTATIONTBL[[COUNTY]:[COUNTY]],$C140,ROTATIONTBL[[FARM]:[FARM]],$B140)</f>
        <v>0</v>
      </c>
      <c r="L140" s="565">
        <f ca="1">SUMIFS(ROTATIONTBL[[ACRES]:[ACRES]],INDIRECT("ROTATIONTBL[" &amp;$B$132&amp;"]"),L$134,ROTATIONTBL[[COUNTY]:[COUNTY]],$C140,ROTATIONTBL[[FARM]:[FARM]],$B140)</f>
        <v>0</v>
      </c>
      <c r="M140" s="565">
        <f ca="1">SUMIFS(ROTATIONTBL[[ACRES]:[ACRES]],INDIRECT("ROTATIONTBL[" &amp;$B$132&amp;"]"),M$134,ROTATIONTBL[[COUNTY]:[COUNTY]],$C140,ROTATIONTBL[[FARM]:[FARM]],$B140)</f>
        <v>0</v>
      </c>
      <c r="N140" s="565">
        <f ca="1">SUMIFS(ROTATIONTBL[[ACRES]:[ACRES]],INDIRECT("ROTATIONTBL[" &amp;$B$132&amp;"]"),N$134,ROTATIONTBL[[COUNTY]:[COUNTY]],$C140,ROTATIONTBL[[FARM]:[FARM]],$B140)</f>
        <v>0</v>
      </c>
      <c r="O140" s="565">
        <f ca="1">SUMIFS(ROTATIONTBL[[ACRES]:[ACRES]],INDIRECT("ROTATIONTBL[" &amp;$B$132&amp;"]"),O$134,ROTATIONTBL[[COUNTY]:[COUNTY]],$C140,ROTATIONTBL[[FARM]:[FARM]],$B140)</f>
        <v>0</v>
      </c>
      <c r="P140" s="565">
        <f ca="1">SUMIFS(ROTATIONTBL[[ACRES]:[ACRES]],INDIRECT("ROTATIONTBL[" &amp;$B$132&amp;"]"),P$134,ROTATIONTBL[[COUNTY]:[COUNTY]],$C140,ROTATIONTBL[[FARM]:[FARM]],$B140)</f>
        <v>0</v>
      </c>
      <c r="Q140" s="614">
        <f ca="1">SUMIFS(ROTATIONTBL[[ACRES]:[ACRES]],INDIRECT("ROTATIONTBL[" &amp;$B$132&amp;"]"),Q$134,ROTATIONTBL[[COUNTY]:[COUNTY]],$C140,ROTATIONTBL[[FARM]:[FARM]],$B140)</f>
        <v>0</v>
      </c>
      <c r="R140" s="614"/>
      <c r="S140" s="563"/>
      <c r="T140" s="563"/>
      <c r="U140" s="563"/>
      <c r="V140" s="563"/>
      <c r="AB140" s="563"/>
    </row>
    <row r="141" spans="1:28" hidden="1" x14ac:dyDescent="0.25">
      <c r="A141" s="585"/>
      <c r="B141" s="566" t="s">
        <v>32</v>
      </c>
      <c r="C141" s="565" t="s">
        <v>79</v>
      </c>
      <c r="D141" s="565">
        <f>SUMIFS(ROTATIONTBL[ACRES],ROTATIONTBL[FARM],B141,ROTATIONTBL[COUNTY],C141)</f>
        <v>1681.4499999999998</v>
      </c>
      <c r="E141" s="565">
        <f ca="1">SUMIFS(ROTATIONTBL[[ACRES]:[ACRES]],INDIRECT("ROTATIONTBL[" &amp;$B$132&amp;"]"),E$134,ROTATIONTBL[[COUNTY]:[COUNTY]],$C141,ROTATIONTBL[[FARM]:[FARM]],$B141)</f>
        <v>156.5</v>
      </c>
      <c r="F141" s="565">
        <f ca="1">SUMIFS(ROTATIONTBL[[ACRES]:[ACRES]],INDIRECT("ROTATIONTBL[" &amp;$B$132&amp;"]"),F$134,ROTATIONTBL[[COUNTY]:[COUNTY]],$C141,ROTATIONTBL[[FARM]:[FARM]],$B141)</f>
        <v>342.11</v>
      </c>
      <c r="G141" s="565">
        <f ca="1">SUMIFS(ROTATIONTBL[[ACRES]:[ACRES]],INDIRECT("ROTATIONTBL[" &amp;$B$132&amp;"]"),G$134,ROTATIONTBL[[COUNTY]:[COUNTY]],$C141,ROTATIONTBL[[FARM]:[FARM]],$B141)</f>
        <v>256.27</v>
      </c>
      <c r="H141" s="565">
        <f ca="1">SUMIFS(ROTATIONTBL[[ACRES]:[ACRES]],INDIRECT("ROTATIONTBL[" &amp;$B$132&amp;"]"),H$134,ROTATIONTBL[[COUNTY]:[COUNTY]],$C141,ROTATIONTBL[[FARM]:[FARM]],$B141)</f>
        <v>0</v>
      </c>
      <c r="I141" s="565">
        <f ca="1">SUMIFS(ROTATIONTBL[[ACRES]:[ACRES]],INDIRECT("ROTATIONTBL[" &amp;$B$132&amp;"]"),I$134,ROTATIONTBL[[COUNTY]:[COUNTY]],$C141,ROTATIONTBL[[FARM]:[FARM]],$B141)</f>
        <v>0</v>
      </c>
      <c r="J141" s="565">
        <f ca="1">SUMIFS(ROTATIONTBL[[ACRES]:[ACRES]],INDIRECT("ROTATIONTBL[" &amp;$B$132&amp;"]"),J$134,ROTATIONTBL[[COUNTY]:[COUNTY]],$C141,ROTATIONTBL[[FARM]:[FARM]],$B141)</f>
        <v>0</v>
      </c>
      <c r="K141" s="565">
        <f ca="1">SUMIFS(ROTATIONTBL[[ACRES]:[ACRES]],INDIRECT("ROTATIONTBL[" &amp;$B$132&amp;"]"),K$134,ROTATIONTBL[[COUNTY]:[COUNTY]],$C141,ROTATIONTBL[[FARM]:[FARM]],$B141)</f>
        <v>0</v>
      </c>
      <c r="L141" s="565">
        <f ca="1">SUMIFS(ROTATIONTBL[[ACRES]:[ACRES]],INDIRECT("ROTATIONTBL[" &amp;$B$132&amp;"]"),L$134,ROTATIONTBL[[COUNTY]:[COUNTY]],$C141,ROTATIONTBL[[FARM]:[FARM]],$B141)</f>
        <v>0</v>
      </c>
      <c r="M141" s="565">
        <f ca="1">SUMIFS(ROTATIONTBL[[ACRES]:[ACRES]],INDIRECT("ROTATIONTBL[" &amp;$B$132&amp;"]"),M$134,ROTATIONTBL[[COUNTY]:[COUNTY]],$C141,ROTATIONTBL[[FARM]:[FARM]],$B141)</f>
        <v>0</v>
      </c>
      <c r="N141" s="565">
        <f ca="1">SUMIFS(ROTATIONTBL[[ACRES]:[ACRES]],INDIRECT("ROTATIONTBL[" &amp;$B$132&amp;"]"),N$134,ROTATIONTBL[[COUNTY]:[COUNTY]],$C141,ROTATIONTBL[[FARM]:[FARM]],$B141)</f>
        <v>157.5</v>
      </c>
      <c r="O141" s="565">
        <f ca="1">SUMIFS(ROTATIONTBL[[ACRES]:[ACRES]],INDIRECT("ROTATIONTBL[" &amp;$B$132&amp;"]"),O$134,ROTATIONTBL[[COUNTY]:[COUNTY]],$C141,ROTATIONTBL[[FARM]:[FARM]],$B141)</f>
        <v>136.35</v>
      </c>
      <c r="P141" s="565">
        <f ca="1">SUMIFS(ROTATIONTBL[[ACRES]:[ACRES]],INDIRECT("ROTATIONTBL[" &amp;$B$132&amp;"]"),P$134,ROTATIONTBL[[COUNTY]:[COUNTY]],$C141,ROTATIONTBL[[FARM]:[FARM]],$B141)</f>
        <v>4.74</v>
      </c>
      <c r="Q141" s="614">
        <f ca="1">SUMIFS(ROTATIONTBL[[ACRES]:[ACRES]],INDIRECT("ROTATIONTBL[" &amp;$B$132&amp;"]"),Q$134,ROTATIONTBL[[COUNTY]:[COUNTY]],$C141,ROTATIONTBL[[FARM]:[FARM]],$B141)</f>
        <v>0</v>
      </c>
      <c r="R141" s="614"/>
      <c r="S141" s="563"/>
      <c r="T141" s="563"/>
      <c r="U141" s="563"/>
      <c r="V141" s="563"/>
      <c r="AB141" s="563"/>
    </row>
    <row r="142" spans="1:28" hidden="1" x14ac:dyDescent="0.25">
      <c r="A142" s="613"/>
      <c r="B142" s="613" t="s">
        <v>26</v>
      </c>
      <c r="C142" s="613" t="s">
        <v>79</v>
      </c>
      <c r="D142" s="613">
        <f>SUMIFS(ROTATIONTBL[ACRES],ROTATIONTBL[FARM],B142,ROTATIONTBL[COUNTY],C142)</f>
        <v>822.13999999999987</v>
      </c>
      <c r="E142" s="565">
        <f ca="1">SUMIFS(ROTATIONTBL[[ACRES]:[ACRES]],INDIRECT("ROTATIONTBL[" &amp;$B$132&amp;"]"),E$134,ROTATIONTBL[[COUNTY]:[COUNTY]],$C142,ROTATIONTBL[[FARM]:[FARM]],$B142)</f>
        <v>205.60000000000002</v>
      </c>
      <c r="F142" s="565">
        <f ca="1">SUMIFS(ROTATIONTBL[[ACRES]:[ACRES]],INDIRECT("ROTATIONTBL[" &amp;$B$132&amp;"]"),F$134,ROTATIONTBL[[COUNTY]:[COUNTY]],$C142,ROTATIONTBL[[FARM]:[FARM]],$B142)</f>
        <v>0</v>
      </c>
      <c r="G142" s="565">
        <f ca="1">SUMIFS(ROTATIONTBL[[ACRES]:[ACRES]],INDIRECT("ROTATIONTBL[" &amp;$B$132&amp;"]"),G$134,ROTATIONTBL[[COUNTY]:[COUNTY]],$C142,ROTATIONTBL[[FARM]:[FARM]],$B142)</f>
        <v>0</v>
      </c>
      <c r="H142" s="565">
        <f ca="1">SUMIFS(ROTATIONTBL[[ACRES]:[ACRES]],INDIRECT("ROTATIONTBL[" &amp;$B$132&amp;"]"),H$134,ROTATIONTBL[[COUNTY]:[COUNTY]],$C142,ROTATIONTBL[[FARM]:[FARM]],$B142)</f>
        <v>0</v>
      </c>
      <c r="I142" s="565">
        <f ca="1">SUMIFS(ROTATIONTBL[[ACRES]:[ACRES]],INDIRECT("ROTATIONTBL[" &amp;$B$132&amp;"]"),I$134,ROTATIONTBL[[COUNTY]:[COUNTY]],$C142,ROTATIONTBL[[FARM]:[FARM]],$B142)</f>
        <v>224.8</v>
      </c>
      <c r="J142" s="565">
        <f ca="1">SUMIFS(ROTATIONTBL[[ACRES]:[ACRES]],INDIRECT("ROTATIONTBL[" &amp;$B$132&amp;"]"),J$134,ROTATIONTBL[[COUNTY]:[COUNTY]],$C142,ROTATIONTBL[[FARM]:[FARM]],$B142)</f>
        <v>0</v>
      </c>
      <c r="K142" s="565">
        <f ca="1">SUMIFS(ROTATIONTBL[[ACRES]:[ACRES]],INDIRECT("ROTATIONTBL[" &amp;$B$132&amp;"]"),K$134,ROTATIONTBL[[COUNTY]:[COUNTY]],$C142,ROTATIONTBL[[FARM]:[FARM]],$B142)</f>
        <v>0</v>
      </c>
      <c r="L142" s="565">
        <f ca="1">SUMIFS(ROTATIONTBL[[ACRES]:[ACRES]],INDIRECT("ROTATIONTBL[" &amp;$B$132&amp;"]"),L$134,ROTATIONTBL[[COUNTY]:[COUNTY]],$C142,ROTATIONTBL[[FARM]:[FARM]],$B142)</f>
        <v>0</v>
      </c>
      <c r="M142" s="565">
        <f ca="1">SUMIFS(ROTATIONTBL[[ACRES]:[ACRES]],INDIRECT("ROTATIONTBL[" &amp;$B$132&amp;"]"),M$134,ROTATIONTBL[[COUNTY]:[COUNTY]],$C142,ROTATIONTBL[[FARM]:[FARM]],$B142)</f>
        <v>0</v>
      </c>
      <c r="N142" s="565">
        <f ca="1">SUMIFS(ROTATIONTBL[[ACRES]:[ACRES]],INDIRECT("ROTATIONTBL[" &amp;$B$132&amp;"]"),N$134,ROTATIONTBL[[COUNTY]:[COUNTY]],$C142,ROTATIONTBL[[FARM]:[FARM]],$B142)</f>
        <v>0</v>
      </c>
      <c r="O142" s="565">
        <f ca="1">SUMIFS(ROTATIONTBL[[ACRES]:[ACRES]],INDIRECT("ROTATIONTBL[" &amp;$B$132&amp;"]"),O$134,ROTATIONTBL[[COUNTY]:[COUNTY]],$C142,ROTATIONTBL[[FARM]:[FARM]],$B142)</f>
        <v>114.65</v>
      </c>
      <c r="P142" s="565">
        <f ca="1">SUMIFS(ROTATIONTBL[[ACRES]:[ACRES]],INDIRECT("ROTATIONTBL[" &amp;$B$132&amp;"]"),P$134,ROTATIONTBL[[COUNTY]:[COUNTY]],$C142,ROTATIONTBL[[FARM]:[FARM]],$B142)</f>
        <v>0</v>
      </c>
      <c r="Q142" s="614">
        <f ca="1">SUMIFS(ROTATIONTBL[[ACRES]:[ACRES]],INDIRECT("ROTATIONTBL[" &amp;$B$132&amp;"]"),Q$134,ROTATIONTBL[[COUNTY]:[COUNTY]],$C142,ROTATIONTBL[[FARM]:[FARM]],$B142)</f>
        <v>0</v>
      </c>
      <c r="R142" s="614"/>
      <c r="S142" s="563"/>
      <c r="T142" s="563"/>
      <c r="U142" s="563"/>
      <c r="V142" s="563"/>
      <c r="AB142" s="563"/>
    </row>
    <row r="143" spans="1:28" hidden="1" x14ac:dyDescent="0.25">
      <c r="B143" s="565" t="s">
        <v>21</v>
      </c>
      <c r="C143" s="565" t="s">
        <v>79</v>
      </c>
      <c r="D143" s="565">
        <f>SUMIFS(ROTATIONTBL[ACRES],ROTATIONTBL[FARM],B143,ROTATIONTBL[COUNTY],C143)</f>
        <v>643.2700000000001</v>
      </c>
      <c r="E143" s="565">
        <f ca="1">SUMIFS(ROTATIONTBL[[ACRES]:[ACRES]],INDIRECT("ROTATIONTBL[" &amp;$B$132&amp;"]"),E$134,ROTATIONTBL[[COUNTY]:[COUNTY]],$C143,ROTATIONTBL[[FARM]:[FARM]],$B143)</f>
        <v>232.2</v>
      </c>
      <c r="F143" s="565">
        <f ca="1">SUMIFS(ROTATIONTBL[[ACRES]:[ACRES]],INDIRECT("ROTATIONTBL[" &amp;$B$132&amp;"]"),F$134,ROTATIONTBL[[COUNTY]:[COUNTY]],$C143,ROTATIONTBL[[FARM]:[FARM]],$B143)</f>
        <v>0</v>
      </c>
      <c r="G143" s="565">
        <f ca="1">SUMIFS(ROTATIONTBL[[ACRES]:[ACRES]],INDIRECT("ROTATIONTBL[" &amp;$B$132&amp;"]"),G$134,ROTATIONTBL[[COUNTY]:[COUNTY]],$C143,ROTATIONTBL[[FARM]:[FARM]],$B143)</f>
        <v>0</v>
      </c>
      <c r="H143" s="565">
        <f ca="1">SUMIFS(ROTATIONTBL[[ACRES]:[ACRES]],INDIRECT("ROTATIONTBL[" &amp;$B$132&amp;"]"),H$134,ROTATIONTBL[[COUNTY]:[COUNTY]],$C143,ROTATIONTBL[[FARM]:[FARM]],$B143)</f>
        <v>0</v>
      </c>
      <c r="I143" s="565">
        <f ca="1">SUMIFS(ROTATIONTBL[[ACRES]:[ACRES]],INDIRECT("ROTATIONTBL[" &amp;$B$132&amp;"]"),I$134,ROTATIONTBL[[COUNTY]:[COUNTY]],$C143,ROTATIONTBL[[FARM]:[FARM]],$B143)</f>
        <v>0</v>
      </c>
      <c r="J143" s="565">
        <f ca="1">SUMIFS(ROTATIONTBL[[ACRES]:[ACRES]],INDIRECT("ROTATIONTBL[" &amp;$B$132&amp;"]"),J$134,ROTATIONTBL[[COUNTY]:[COUNTY]],$C143,ROTATIONTBL[[FARM]:[FARM]],$B143)</f>
        <v>0</v>
      </c>
      <c r="K143" s="565">
        <f ca="1">SUMIFS(ROTATIONTBL[[ACRES]:[ACRES]],INDIRECT("ROTATIONTBL[" &amp;$B$132&amp;"]"),K$134,ROTATIONTBL[[COUNTY]:[COUNTY]],$C143,ROTATIONTBL[[FARM]:[FARM]],$B143)</f>
        <v>0</v>
      </c>
      <c r="L143" s="565">
        <f ca="1">SUMIFS(ROTATIONTBL[[ACRES]:[ACRES]],INDIRECT("ROTATIONTBL[" &amp;$B$132&amp;"]"),L$134,ROTATIONTBL[[COUNTY]:[COUNTY]],$C143,ROTATIONTBL[[FARM]:[FARM]],$B143)</f>
        <v>0</v>
      </c>
      <c r="M143" s="565">
        <f ca="1">SUMIFS(ROTATIONTBL[[ACRES]:[ACRES]],INDIRECT("ROTATIONTBL[" &amp;$B$132&amp;"]"),M$134,ROTATIONTBL[[COUNTY]:[COUNTY]],$C143,ROTATIONTBL[[FARM]:[FARM]],$B143)</f>
        <v>0</v>
      </c>
      <c r="N143" s="565">
        <f ca="1">SUMIFS(ROTATIONTBL[[ACRES]:[ACRES]],INDIRECT("ROTATIONTBL[" &amp;$B$132&amp;"]"),N$134,ROTATIONTBL[[COUNTY]:[COUNTY]],$C143,ROTATIONTBL[[FARM]:[FARM]],$B143)</f>
        <v>79.25</v>
      </c>
      <c r="O143" s="565">
        <f ca="1">SUMIFS(ROTATIONTBL[[ACRES]:[ACRES]],INDIRECT("ROTATIONTBL[" &amp;$B$132&amp;"]"),O$134,ROTATIONTBL[[COUNTY]:[COUNTY]],$C143,ROTATIONTBL[[FARM]:[FARM]],$B143)</f>
        <v>0</v>
      </c>
      <c r="P143" s="565">
        <f ca="1">SUMIFS(ROTATIONTBL[[ACRES]:[ACRES]],INDIRECT("ROTATIONTBL[" &amp;$B$132&amp;"]"),P$134,ROTATIONTBL[[COUNTY]:[COUNTY]],$C143,ROTATIONTBL[[FARM]:[FARM]],$B143)</f>
        <v>12.32</v>
      </c>
      <c r="Q143" s="614">
        <f ca="1">SUMIFS(ROTATIONTBL[[ACRES]:[ACRES]],INDIRECT("ROTATIONTBL[" &amp;$B$132&amp;"]"),Q$134,ROTATIONTBL[[COUNTY]:[COUNTY]],$C143,ROTATIONTBL[[FARM]:[FARM]],$B143)</f>
        <v>8</v>
      </c>
      <c r="R143" s="614"/>
      <c r="S143" s="563"/>
      <c r="T143" s="563"/>
      <c r="U143" s="563"/>
      <c r="V143" s="563"/>
      <c r="AB143" s="563"/>
    </row>
    <row r="144" spans="1:28" hidden="1" x14ac:dyDescent="0.25">
      <c r="A144" s="613"/>
      <c r="B144" s="613" t="s">
        <v>35</v>
      </c>
      <c r="C144" s="613" t="s">
        <v>79</v>
      </c>
      <c r="D144" s="613">
        <f>SUMIFS(ROTATIONTBL[ACRES],ROTATIONTBL[FARM],B144,ROTATIONTBL[COUNTY],C144)</f>
        <v>923.32999999999981</v>
      </c>
      <c r="E144" s="565">
        <f ca="1">SUMIFS(ROTATIONTBL[[ACRES]:[ACRES]],INDIRECT("ROTATIONTBL[" &amp;$B$132&amp;"]"),E$134,ROTATIONTBL[[COUNTY]:[COUNTY]],$C144,ROTATIONTBL[[FARM]:[FARM]],$B144)</f>
        <v>233.32999999999998</v>
      </c>
      <c r="F144" s="565">
        <f ca="1">SUMIFS(ROTATIONTBL[[ACRES]:[ACRES]],INDIRECT("ROTATIONTBL[" &amp;$B$132&amp;"]"),F$134,ROTATIONTBL[[COUNTY]:[COUNTY]],$C144,ROTATIONTBL[[FARM]:[FARM]],$B144)</f>
        <v>78.39</v>
      </c>
      <c r="G144" s="565">
        <f ca="1">SUMIFS(ROTATIONTBL[[ACRES]:[ACRES]],INDIRECT("ROTATIONTBL[" &amp;$B$132&amp;"]"),G$134,ROTATIONTBL[[COUNTY]:[COUNTY]],$C144,ROTATIONTBL[[FARM]:[FARM]],$B144)</f>
        <v>150.76</v>
      </c>
      <c r="H144" s="565">
        <f ca="1">SUMIFS(ROTATIONTBL[[ACRES]:[ACRES]],INDIRECT("ROTATIONTBL[" &amp;$B$132&amp;"]"),H$134,ROTATIONTBL[[COUNTY]:[COUNTY]],$C144,ROTATIONTBL[[FARM]:[FARM]],$B144)</f>
        <v>0</v>
      </c>
      <c r="I144" s="565">
        <f ca="1">SUMIFS(ROTATIONTBL[[ACRES]:[ACRES]],INDIRECT("ROTATIONTBL[" &amp;$B$132&amp;"]"),I$134,ROTATIONTBL[[COUNTY]:[COUNTY]],$C144,ROTATIONTBL[[FARM]:[FARM]],$B144)</f>
        <v>0</v>
      </c>
      <c r="J144" s="565">
        <f ca="1">SUMIFS(ROTATIONTBL[[ACRES]:[ACRES]],INDIRECT("ROTATIONTBL[" &amp;$B$132&amp;"]"),J$134,ROTATIONTBL[[COUNTY]:[COUNTY]],$C144,ROTATIONTBL[[FARM]:[FARM]],$B144)</f>
        <v>0</v>
      </c>
      <c r="K144" s="565">
        <f ca="1">SUMIFS(ROTATIONTBL[[ACRES]:[ACRES]],INDIRECT("ROTATIONTBL[" &amp;$B$132&amp;"]"),K$134,ROTATIONTBL[[COUNTY]:[COUNTY]],$C144,ROTATIONTBL[[FARM]:[FARM]],$B144)</f>
        <v>0</v>
      </c>
      <c r="L144" s="565">
        <f ca="1">SUMIFS(ROTATIONTBL[[ACRES]:[ACRES]],INDIRECT("ROTATIONTBL[" &amp;$B$132&amp;"]"),L$134,ROTATIONTBL[[COUNTY]:[COUNTY]],$C144,ROTATIONTBL[[FARM]:[FARM]],$B144)</f>
        <v>0</v>
      </c>
      <c r="M144" s="565">
        <f ca="1">SUMIFS(ROTATIONTBL[[ACRES]:[ACRES]],INDIRECT("ROTATIONTBL[" &amp;$B$132&amp;"]"),M$134,ROTATIONTBL[[COUNTY]:[COUNTY]],$C144,ROTATIONTBL[[FARM]:[FARM]],$B144)</f>
        <v>0</v>
      </c>
      <c r="N144" s="565">
        <f ca="1">SUMIFS(ROTATIONTBL[[ACRES]:[ACRES]],INDIRECT("ROTATIONTBL[" &amp;$B$132&amp;"]"),N$134,ROTATIONTBL[[COUNTY]:[COUNTY]],$C144,ROTATIONTBL[[FARM]:[FARM]],$B144)</f>
        <v>0</v>
      </c>
      <c r="O144" s="565">
        <f ca="1">SUMIFS(ROTATIONTBL[[ACRES]:[ACRES]],INDIRECT("ROTATIONTBL[" &amp;$B$132&amp;"]"),O$134,ROTATIONTBL[[COUNTY]:[COUNTY]],$C144,ROTATIONTBL[[FARM]:[FARM]],$B144)</f>
        <v>0</v>
      </c>
      <c r="P144" s="565">
        <f ca="1">SUMIFS(ROTATIONTBL[[ACRES]:[ACRES]],INDIRECT("ROTATIONTBL[" &amp;$B$132&amp;"]"),P$134,ROTATIONTBL[[COUNTY]:[COUNTY]],$C144,ROTATIONTBL[[FARM]:[FARM]],$B144)</f>
        <v>6.39</v>
      </c>
      <c r="Q144" s="614">
        <f ca="1">SUMIFS(ROTATIONTBL[[ACRES]:[ACRES]],INDIRECT("ROTATIONTBL[" &amp;$B$132&amp;"]"),Q$134,ROTATIONTBL[[COUNTY]:[COUNTY]],$C144,ROTATIONTBL[[FARM]:[FARM]],$B144)</f>
        <v>0</v>
      </c>
      <c r="R144" s="614"/>
      <c r="S144" s="563"/>
      <c r="T144" s="563"/>
      <c r="U144" s="563"/>
      <c r="V144" s="563"/>
      <c r="AB144" s="563"/>
    </row>
    <row r="145" spans="1:28" hidden="1" x14ac:dyDescent="0.25">
      <c r="A145" s="615"/>
      <c r="B145" s="615"/>
      <c r="C145" s="615"/>
      <c r="D145" s="616">
        <f>SUM(D139:D144)</f>
        <v>4385.869999999999</v>
      </c>
      <c r="E145" s="616">
        <f t="shared" ref="E145:Q145" ca="1" si="9">SUM(E139:E144)</f>
        <v>827.62999999999988</v>
      </c>
      <c r="F145" s="616">
        <f t="shared" ca="1" si="9"/>
        <v>499.4</v>
      </c>
      <c r="G145" s="616">
        <f t="shared" ca="1" si="9"/>
        <v>485.92999999999995</v>
      </c>
      <c r="H145" s="616">
        <f t="shared" ca="1" si="9"/>
        <v>0</v>
      </c>
      <c r="I145" s="616">
        <f t="shared" ca="1" si="9"/>
        <v>224.8</v>
      </c>
      <c r="J145" s="616">
        <f t="shared" ca="1" si="9"/>
        <v>0</v>
      </c>
      <c r="K145" s="616">
        <f t="shared" ca="1" si="9"/>
        <v>0</v>
      </c>
      <c r="L145" s="616">
        <f t="shared" ca="1" si="9"/>
        <v>0</v>
      </c>
      <c r="M145" s="616">
        <f t="shared" ca="1" si="9"/>
        <v>0</v>
      </c>
      <c r="N145" s="616">
        <f t="shared" ca="1" si="9"/>
        <v>236.75</v>
      </c>
      <c r="O145" s="616">
        <f t="shared" ca="1" si="9"/>
        <v>251</v>
      </c>
      <c r="P145" s="616">
        <f t="shared" ca="1" si="9"/>
        <v>23.450000000000003</v>
      </c>
      <c r="Q145" s="617">
        <f t="shared" ca="1" si="9"/>
        <v>8</v>
      </c>
      <c r="R145" s="617"/>
      <c r="S145" s="618"/>
      <c r="T145" s="563"/>
      <c r="U145" s="563"/>
      <c r="V145" s="563"/>
      <c r="AB145" s="563"/>
    </row>
    <row r="146" spans="1:28" hidden="1" x14ac:dyDescent="0.25">
      <c r="A146" s="613"/>
      <c r="B146" s="613" t="s">
        <v>75</v>
      </c>
      <c r="C146" s="613" t="s">
        <v>76</v>
      </c>
      <c r="D146" s="613">
        <f>SUMIFS(ROTATIONTBL[ACRES],ROTATIONTBL[FARM],B146,ROTATIONTBL[COUNTY],C146)</f>
        <v>0</v>
      </c>
      <c r="E146" s="565">
        <f ca="1">SUMIFS(ROTATIONTBL[[ACRES]:[ACRES]],INDIRECT("ROTATIONTBL[" &amp;$B$132&amp;"]"),E$134,ROTATIONTBL[[COUNTY]:[COUNTY]],$C146,ROTATIONTBL[[FARM]:[FARM]],$B146)</f>
        <v>0</v>
      </c>
      <c r="F146" s="565">
        <f ca="1">SUMIFS(ROTATIONTBL[ACRES],INDIRECT("ROTATIONTBL[" &amp;$B$132&amp;"]"),F$134,ROTATIONTBL[COUNTY],$C146,ROTATIONTBL[FARM],$B146)</f>
        <v>0</v>
      </c>
      <c r="G146" s="565">
        <f ca="1">SUMIFS(ROTATIONTBL[[ACRES]:[ACRES]],INDIRECT("ROTATIONTBL[" &amp;$B$132&amp;"]"),G$134,ROTATIONTBL[[COUNTY]:[COUNTY]],$C146,ROTATIONTBL[[FARM]:[FARM]],$B146)</f>
        <v>0</v>
      </c>
      <c r="H146" s="565">
        <f ca="1">SUMIFS(ROTATIONTBL[[ACRES]:[ACRES]],INDIRECT("ROTATIONTBL[" &amp;$B$132&amp;"]"),H$134,ROTATIONTBL[[COUNTY]:[COUNTY]],$C146,ROTATIONTBL[[FARM]:[FARM]],$B146)</f>
        <v>0</v>
      </c>
      <c r="I146" s="565">
        <f ca="1">SUMIFS(ROTATIONTBL[[ACRES]:[ACRES]],INDIRECT("ROTATIONTBL[" &amp;$B$132&amp;"]"),I$134,ROTATIONTBL[[COUNTY]:[COUNTY]],$C146,ROTATIONTBL[[FARM]:[FARM]],$B146)</f>
        <v>0</v>
      </c>
      <c r="J146" s="565">
        <f ca="1">SUMIFS(ROTATIONTBL[[ACRES]:[ACRES]],INDIRECT("ROTATIONTBL[" &amp;$B$132&amp;"]"),J$134,ROTATIONTBL[[COUNTY]:[COUNTY]],$C146,ROTATIONTBL[[FARM]:[FARM]],$B146)</f>
        <v>0</v>
      </c>
      <c r="K146" s="565">
        <f ca="1">SUMIFS(ROTATIONTBL[[ACRES]:[ACRES]],INDIRECT("ROTATIONTBL[" &amp;$B$132&amp;"]"),K$134,ROTATIONTBL[[COUNTY]:[COUNTY]],$C146,ROTATIONTBL[[FARM]:[FARM]],$B146)</f>
        <v>0</v>
      </c>
      <c r="L146" s="565">
        <f ca="1">SUMIFS(ROTATIONTBL[[ACRES]:[ACRES]],INDIRECT("ROTATIONTBL[" &amp;$B$132&amp;"]"),L$134,ROTATIONTBL[[COUNTY]:[COUNTY]],$C146,ROTATIONTBL[[FARM]:[FARM]],$B146)</f>
        <v>0</v>
      </c>
      <c r="M146" s="565">
        <f ca="1">SUMIFS(ROTATIONTBL[[ACRES]:[ACRES]],INDIRECT("ROTATIONTBL[" &amp;$B$132&amp;"]"),M$134,ROTATIONTBL[[COUNTY]:[COUNTY]],$C146,ROTATIONTBL[[FARM]:[FARM]],$B146)</f>
        <v>0</v>
      </c>
      <c r="N146" s="565">
        <f ca="1">SUMIFS(ROTATIONTBL[[ACRES]:[ACRES]],INDIRECT("ROTATIONTBL[" &amp;$B$132&amp;"]"),N$134,ROTATIONTBL[[COUNTY]:[COUNTY]],$C146,ROTATIONTBL[[FARM]:[FARM]],$B146)</f>
        <v>0</v>
      </c>
      <c r="O146" s="565">
        <f ca="1">SUMIFS(ROTATIONTBL[[ACRES]:[ACRES]],INDIRECT("ROTATIONTBL[" &amp;$B$132&amp;"]"),O$134,ROTATIONTBL[[COUNTY]:[COUNTY]],$C146,ROTATIONTBL[[FARM]:[FARM]],$B146)</f>
        <v>0</v>
      </c>
      <c r="P146" s="565">
        <f ca="1">SUMIFS(ROTATIONTBL[[ACRES]:[ACRES]],INDIRECT("ROTATIONTBL[" &amp;$B$132&amp;"]"),P$134,ROTATIONTBL[[COUNTY]:[COUNTY]],$C146,ROTATIONTBL[[FARM]:[FARM]],$B146)</f>
        <v>0</v>
      </c>
      <c r="Q146" s="614">
        <f ca="1">SUMIFS(ROTATIONTBL[[ACRES]:[ACRES]],INDIRECT("ROTATIONTBL[" &amp;$B$132&amp;"]"),Q$134,ROTATIONTBL[[COUNTY]:[COUNTY]],$C146,ROTATIONTBL[[FARM]:[FARM]],$B146)</f>
        <v>0</v>
      </c>
      <c r="R146" s="614"/>
      <c r="S146" s="563"/>
      <c r="T146" s="563"/>
      <c r="U146" s="563"/>
      <c r="V146" s="563"/>
      <c r="AB146" s="563"/>
    </row>
    <row r="147" spans="1:28" hidden="1" x14ac:dyDescent="0.25">
      <c r="B147" s="565" t="s">
        <v>21</v>
      </c>
      <c r="C147" s="565" t="s">
        <v>76</v>
      </c>
      <c r="D147" s="565">
        <f>SUMIFS(ROTATIONTBL[ACRES],ROTATIONTBL[FARM],B147,ROTATIONTBL[COUNTY],C147)</f>
        <v>809.12</v>
      </c>
      <c r="E147" s="565">
        <f ca="1">SUMIFS(ROTATIONTBL[[ACRES]:[ACRES]],INDIRECT("ROTATIONTBL[" &amp;$B$132&amp;"]"),E$134,ROTATIONTBL[[COUNTY]:[COUNTY]],$C147,ROTATIONTBL[[FARM]:[FARM]],$B147)</f>
        <v>78.599999999999994</v>
      </c>
      <c r="F147" s="565">
        <f ca="1">SUMIFS(ROTATIONTBL[[ACRES]:[ACRES]],INDIRECT("ROTATIONTBL[" &amp;$B$132&amp;"]"),F$134,ROTATIONTBL[[COUNTY]:[COUNTY]],$C147,ROTATIONTBL[[FARM]:[FARM]],$B147)</f>
        <v>78.599999999999994</v>
      </c>
      <c r="G147" s="565">
        <f ca="1">SUMIFS(ROTATIONTBL[[ACRES]:[ACRES]],INDIRECT("ROTATIONTBL[" &amp;$B$132&amp;"]"),G$134,ROTATIONTBL[[COUNTY]:[COUNTY]],$C147,ROTATIONTBL[[FARM]:[FARM]],$B147)</f>
        <v>74.900000000000006</v>
      </c>
      <c r="H147" s="565">
        <f ca="1">SUMIFS(ROTATIONTBL[[ACRES]:[ACRES]],INDIRECT("ROTATIONTBL[" &amp;$B$132&amp;"]"),H$134,ROTATIONTBL[[COUNTY]:[COUNTY]],$C147,ROTATIONTBL[[FARM]:[FARM]],$B147)</f>
        <v>0</v>
      </c>
      <c r="I147" s="565">
        <f ca="1">SUMIFS(ROTATIONTBL[[ACRES]:[ACRES]],INDIRECT("ROTATIONTBL[" &amp;$B$132&amp;"]"),I$134,ROTATIONTBL[[COUNTY]:[COUNTY]],$C147,ROTATIONTBL[[FARM]:[FARM]],$B147)</f>
        <v>0</v>
      </c>
      <c r="J147" s="565">
        <f ca="1">SUMIFS(ROTATIONTBL[[ACRES]:[ACRES]],INDIRECT("ROTATIONTBL[" &amp;$B$132&amp;"]"),J$134,ROTATIONTBL[[COUNTY]:[COUNTY]],$C147,ROTATIONTBL[[FARM]:[FARM]],$B147)</f>
        <v>0</v>
      </c>
      <c r="K147" s="565">
        <f ca="1">SUMIFS(ROTATIONTBL[[ACRES]:[ACRES]],INDIRECT("ROTATIONTBL[" &amp;$B$132&amp;"]"),K$134,ROTATIONTBL[[COUNTY]:[COUNTY]],$C147,ROTATIONTBL[[FARM]:[FARM]],$B147)</f>
        <v>0</v>
      </c>
      <c r="L147" s="565">
        <f ca="1">SUMIFS(ROTATIONTBL[[ACRES]:[ACRES]],INDIRECT("ROTATIONTBL[" &amp;$B$132&amp;"]"),L$134,ROTATIONTBL[[COUNTY]:[COUNTY]],$C147,ROTATIONTBL[[FARM]:[FARM]],$B147)</f>
        <v>0</v>
      </c>
      <c r="M147" s="565">
        <f ca="1">SUMIFS(ROTATIONTBL[[ACRES]:[ACRES]],INDIRECT("ROTATIONTBL[" &amp;$B$132&amp;"]"),M$134,ROTATIONTBL[[COUNTY]:[COUNTY]],$C147,ROTATIONTBL[[FARM]:[FARM]],$B147)</f>
        <v>0</v>
      </c>
      <c r="N147" s="565">
        <f ca="1">SUMIFS(ROTATIONTBL[[ACRES]:[ACRES]],INDIRECT("ROTATIONTBL[" &amp;$B$132&amp;"]"),N$134,ROTATIONTBL[[COUNTY]:[COUNTY]],$C147,ROTATIONTBL[[FARM]:[FARM]],$B147)</f>
        <v>74.900000000000006</v>
      </c>
      <c r="O147" s="565">
        <f ca="1">SUMIFS(ROTATIONTBL[[ACRES]:[ACRES]],INDIRECT("ROTATIONTBL[" &amp;$B$132&amp;"]"),O$134,ROTATIONTBL[[COUNTY]:[COUNTY]],$C147,ROTATIONTBL[[FARM]:[FARM]],$B147)</f>
        <v>184.76</v>
      </c>
      <c r="P147" s="565">
        <f ca="1">SUMIFS(ROTATIONTBL[[ACRES]:[ACRES]],INDIRECT("ROTATIONTBL[" &amp;$B$132&amp;"]"),P$134,ROTATIONTBL[[COUNTY]:[COUNTY]],$C147,ROTATIONTBL[[FARM]:[FARM]],$B147)</f>
        <v>10.5</v>
      </c>
      <c r="Q147" s="614">
        <f ca="1">SUMIFS(ROTATIONTBL[[ACRES]:[ACRES]],INDIRECT("ROTATIONTBL[" &amp;$B$132&amp;"]"),Q$134,ROTATIONTBL[[COUNTY]:[COUNTY]],$C147,ROTATIONTBL[[FARM]:[FARM]],$B147)</f>
        <v>0</v>
      </c>
      <c r="R147" s="614"/>
      <c r="S147" s="563"/>
      <c r="T147" s="563"/>
      <c r="U147" s="563"/>
      <c r="V147" s="563"/>
      <c r="AB147" s="563"/>
    </row>
    <row r="148" spans="1:28" hidden="1" x14ac:dyDescent="0.25">
      <c r="B148" s="565" t="s">
        <v>26</v>
      </c>
      <c r="C148" s="565" t="s">
        <v>76</v>
      </c>
      <c r="D148" s="565">
        <f>SUMIFS(ROTATIONTBL[ACRES],ROTATIONTBL[FARM],B148,ROTATIONTBL[COUNTY],C148)</f>
        <v>149.72</v>
      </c>
      <c r="E148" s="565">
        <f ca="1">SUMIFS(ROTATIONTBL[[ACRES]:[ACRES]],INDIRECT("ROTATIONTBL[" &amp;$B$132&amp;"]"),E$134,ROTATIONTBL[[COUNTY]:[COUNTY]],$C148,ROTATIONTBL[[FARM]:[FARM]],$B148)</f>
        <v>0</v>
      </c>
      <c r="F148" s="565">
        <f ca="1">SUMIFS(ROTATIONTBL[[ACRES]:[ACRES]],INDIRECT("ROTATIONTBL[" &amp;$B$132&amp;"]"),F$134,ROTATIONTBL[[COUNTY]:[COUNTY]],$C148,ROTATIONTBL[[FARM]:[FARM]],$B148)</f>
        <v>0</v>
      </c>
      <c r="G148" s="565">
        <f ca="1">SUMIFS(ROTATIONTBL[[ACRES]:[ACRES]],INDIRECT("ROTATIONTBL[" &amp;$B$132&amp;"]"),G$134,ROTATIONTBL[[COUNTY]:[COUNTY]],$C148,ROTATIONTBL[[FARM]:[FARM]],$B148)</f>
        <v>0</v>
      </c>
      <c r="H148" s="565">
        <f ca="1">SUMIFS(ROTATIONTBL[[ACRES]:[ACRES]],INDIRECT("ROTATIONTBL[" &amp;$B$132&amp;"]"),H$134,ROTATIONTBL[[COUNTY]:[COUNTY]],$C148,ROTATIONTBL[[FARM]:[FARM]],$B148)</f>
        <v>0</v>
      </c>
      <c r="I148" s="565">
        <f ca="1">SUMIFS(ROTATIONTBL[[ACRES]:[ACRES]],INDIRECT("ROTATIONTBL[" &amp;$B$132&amp;"]"),I$134,ROTATIONTBL[[COUNTY]:[COUNTY]],$C148,ROTATIONTBL[[FARM]:[FARM]],$B148)</f>
        <v>0</v>
      </c>
      <c r="J148" s="565">
        <f ca="1">SUMIFS(ROTATIONTBL[[ACRES]:[ACRES]],INDIRECT("ROTATIONTBL[" &amp;$B$132&amp;"]"),J$134,ROTATIONTBL[[COUNTY]:[COUNTY]],$C148,ROTATIONTBL[[FARM]:[FARM]],$B148)</f>
        <v>0</v>
      </c>
      <c r="K148" s="565">
        <f ca="1">SUMIFS(ROTATIONTBL[[ACRES]:[ACRES]],INDIRECT("ROTATIONTBL[" &amp;$B$132&amp;"]"),K$134,ROTATIONTBL[[COUNTY]:[COUNTY]],$C148,ROTATIONTBL[[FARM]:[FARM]],$B148)</f>
        <v>0</v>
      </c>
      <c r="L148" s="565">
        <f ca="1">SUMIFS(ROTATIONTBL[[ACRES]:[ACRES]],INDIRECT("ROTATIONTBL[" &amp;$B$132&amp;"]"),L$134,ROTATIONTBL[[COUNTY]:[COUNTY]],$C148,ROTATIONTBL[[FARM]:[FARM]],$B148)</f>
        <v>0</v>
      </c>
      <c r="M148" s="565">
        <f ca="1">SUMIFS(ROTATIONTBL[[ACRES]:[ACRES]],INDIRECT("ROTATIONTBL[" &amp;$B$132&amp;"]"),M$134,ROTATIONTBL[[COUNTY]:[COUNTY]],$C148,ROTATIONTBL[[FARM]:[FARM]],$B148)</f>
        <v>0</v>
      </c>
      <c r="N148" s="565">
        <f ca="1">SUMIFS(ROTATIONTBL[[ACRES]:[ACRES]],INDIRECT("ROTATIONTBL[" &amp;$B$132&amp;"]"),N$134,ROTATIONTBL[[COUNTY]:[COUNTY]],$C148,ROTATIONTBL[[FARM]:[FARM]],$B148)</f>
        <v>0</v>
      </c>
      <c r="O148" s="565">
        <f ca="1">SUMIFS(ROTATIONTBL[[ACRES]:[ACRES]],INDIRECT("ROTATIONTBL[" &amp;$B$132&amp;"]"),O$134,ROTATIONTBL[[COUNTY]:[COUNTY]],$C148,ROTATIONTBL[[FARM]:[FARM]],$B148)</f>
        <v>143.34</v>
      </c>
      <c r="P148" s="565">
        <f ca="1">SUMIFS(ROTATIONTBL[[ACRES]:[ACRES]],INDIRECT("ROTATIONTBL[" &amp;$B$132&amp;"]"),P$134,ROTATIONTBL[[COUNTY]:[COUNTY]],$C148,ROTATIONTBL[[FARM]:[FARM]],$B148)</f>
        <v>6.38</v>
      </c>
      <c r="Q148" s="614">
        <f ca="1">SUMIFS(ROTATIONTBL[[ACRES]:[ACRES]],INDIRECT("ROTATIONTBL[" &amp;$B$132&amp;"]"),Q$134,ROTATIONTBL[[COUNTY]:[COUNTY]],$C148,ROTATIONTBL[[FARM]:[FARM]],$B148)</f>
        <v>0</v>
      </c>
      <c r="R148" s="614"/>
      <c r="S148" s="563"/>
      <c r="T148" s="563"/>
      <c r="U148" s="563"/>
      <c r="V148" s="563"/>
      <c r="AB148" s="563"/>
    </row>
    <row r="149" spans="1:28" hidden="1" x14ac:dyDescent="0.25">
      <c r="B149" s="565" t="s">
        <v>80</v>
      </c>
      <c r="C149" s="565" t="s">
        <v>76</v>
      </c>
      <c r="D149" s="565">
        <f>SUMIFS(ROTATIONTBL[ACRES],ROTATIONTBL[FARM],B149,ROTATIONTBL[COUNTY],C149)</f>
        <v>236.36</v>
      </c>
      <c r="E149" s="565">
        <f ca="1">SUMIFS(ROTATIONTBL[[ACRES]:[ACRES]],INDIRECT("ROTATIONTBL[" &amp;$B$132&amp;"]"),E$134,ROTATIONTBL[[COUNTY]:[COUNTY]],$C149,ROTATIONTBL[[FARM]:[FARM]],$B149)</f>
        <v>0</v>
      </c>
      <c r="F149" s="565">
        <f ca="1">SUMIFS(ROTATIONTBL[[ACRES]:[ACRES]],INDIRECT("ROTATIONTBL[" &amp;$B$132&amp;"]"),F$134,ROTATIONTBL[[COUNTY]:[COUNTY]],$C149,ROTATIONTBL[[FARM]:[FARM]],$B149)</f>
        <v>0</v>
      </c>
      <c r="G149" s="565">
        <f ca="1">SUMIFS(ROTATIONTBL[[ACRES]:[ACRES]],INDIRECT("ROTATIONTBL[" &amp;$B$132&amp;"]"),G$134,ROTATIONTBL[[COUNTY]:[COUNTY]],$C149,ROTATIONTBL[[FARM]:[FARM]],$B149)</f>
        <v>78.8</v>
      </c>
      <c r="H149" s="565">
        <f ca="1">SUMIFS(ROTATIONTBL[[ACRES]:[ACRES]],INDIRECT("ROTATIONTBL[" &amp;$B$132&amp;"]"),H$134,ROTATIONTBL[[COUNTY]:[COUNTY]],$C149,ROTATIONTBL[[FARM]:[FARM]],$B149)</f>
        <v>0</v>
      </c>
      <c r="I149" s="565">
        <f ca="1">SUMIFS(ROTATIONTBL[[ACRES]:[ACRES]],INDIRECT("ROTATIONTBL[" &amp;$B$132&amp;"]"),I$134,ROTATIONTBL[[COUNTY]:[COUNTY]],$C149,ROTATIONTBL[[FARM]:[FARM]],$B149)</f>
        <v>0</v>
      </c>
      <c r="J149" s="565">
        <f ca="1">SUMIFS(ROTATIONTBL[[ACRES]:[ACRES]],INDIRECT("ROTATIONTBL[" &amp;$B$132&amp;"]"),J$134,ROTATIONTBL[[COUNTY]:[COUNTY]],$C149,ROTATIONTBL[[FARM]:[FARM]],$B149)</f>
        <v>0</v>
      </c>
      <c r="K149" s="565">
        <f ca="1">SUMIFS(ROTATIONTBL[[ACRES]:[ACRES]],INDIRECT("ROTATIONTBL[" &amp;$B$132&amp;"]"),K$134,ROTATIONTBL[[COUNTY]:[COUNTY]],$C149,ROTATIONTBL[[FARM]:[FARM]],$B149)</f>
        <v>0</v>
      </c>
      <c r="L149" s="565">
        <f ca="1">SUMIFS(ROTATIONTBL[[ACRES]:[ACRES]],INDIRECT("ROTATIONTBL[" &amp;$B$132&amp;"]"),L$134,ROTATIONTBL[[COUNTY]:[COUNTY]],$C149,ROTATIONTBL[[FARM]:[FARM]],$B149)</f>
        <v>0</v>
      </c>
      <c r="M149" s="565">
        <f ca="1">SUMIFS(ROTATIONTBL[[ACRES]:[ACRES]],INDIRECT("ROTATIONTBL[" &amp;$B$132&amp;"]"),M$134,ROTATIONTBL[[COUNTY]:[COUNTY]],$C149,ROTATIONTBL[[FARM]:[FARM]],$B149)</f>
        <v>0</v>
      </c>
      <c r="N149" s="565">
        <f ca="1">SUMIFS(ROTATIONTBL[[ACRES]:[ACRES]],INDIRECT("ROTATIONTBL[" &amp;$B$132&amp;"]"),N$134,ROTATIONTBL[[COUNTY]:[COUNTY]],$C149,ROTATIONTBL[[FARM]:[FARM]],$B149)</f>
        <v>0</v>
      </c>
      <c r="O149" s="565">
        <f ca="1">SUMIFS(ROTATIONTBL[[ACRES]:[ACRES]],INDIRECT("ROTATIONTBL[" &amp;$B$132&amp;"]"),O$134,ROTATIONTBL[[COUNTY]:[COUNTY]],$C149,ROTATIONTBL[[FARM]:[FARM]],$B149)</f>
        <v>0</v>
      </c>
      <c r="P149" s="565">
        <f ca="1">SUMIFS(ROTATIONTBL[[ACRES]:[ACRES]],INDIRECT("ROTATIONTBL[" &amp;$B$132&amp;"]"),P$134,ROTATIONTBL[[COUNTY]:[COUNTY]],$C149,ROTATIONTBL[[FARM]:[FARM]],$B149)</f>
        <v>0</v>
      </c>
      <c r="Q149" s="614">
        <f ca="1">SUMIFS(ROTATIONTBL[[ACRES]:[ACRES]],INDIRECT("ROTATIONTBL[" &amp;$B$132&amp;"]"),Q$134,ROTATIONTBL[[COUNTY]:[COUNTY]],$C149,ROTATIONTBL[[FARM]:[FARM]],$B149)</f>
        <v>0</v>
      </c>
      <c r="R149" s="614"/>
      <c r="S149" s="563"/>
      <c r="T149" s="563"/>
      <c r="U149" s="563"/>
      <c r="V149" s="563"/>
      <c r="AB149" s="563"/>
    </row>
    <row r="150" spans="1:28" hidden="1" x14ac:dyDescent="0.25">
      <c r="A150" s="615"/>
      <c r="B150" s="615"/>
      <c r="C150" s="615"/>
      <c r="D150" s="616">
        <f>SUM(D146:D149)</f>
        <v>1195.2</v>
      </c>
      <c r="E150" s="616">
        <f t="shared" ref="E150:Q150" ca="1" si="10">SUM(E146:E149)</f>
        <v>78.599999999999994</v>
      </c>
      <c r="F150" s="616">
        <f t="shared" ca="1" si="10"/>
        <v>78.599999999999994</v>
      </c>
      <c r="G150" s="616">
        <f t="shared" ca="1" si="10"/>
        <v>153.69999999999999</v>
      </c>
      <c r="H150" s="616">
        <f t="shared" ca="1" si="10"/>
        <v>0</v>
      </c>
      <c r="I150" s="616">
        <f t="shared" ca="1" si="10"/>
        <v>0</v>
      </c>
      <c r="J150" s="616">
        <f t="shared" ca="1" si="10"/>
        <v>0</v>
      </c>
      <c r="K150" s="616">
        <f t="shared" ca="1" si="10"/>
        <v>0</v>
      </c>
      <c r="L150" s="616">
        <f t="shared" ca="1" si="10"/>
        <v>0</v>
      </c>
      <c r="M150" s="616">
        <f t="shared" ca="1" si="10"/>
        <v>0</v>
      </c>
      <c r="N150" s="616">
        <f t="shared" ca="1" si="10"/>
        <v>74.900000000000006</v>
      </c>
      <c r="O150" s="616">
        <f t="shared" ca="1" si="10"/>
        <v>328.1</v>
      </c>
      <c r="P150" s="616">
        <f t="shared" ca="1" si="10"/>
        <v>16.88</v>
      </c>
      <c r="Q150" s="617">
        <f t="shared" ca="1" si="10"/>
        <v>0</v>
      </c>
      <c r="R150" s="617"/>
      <c r="S150" s="618"/>
      <c r="T150" s="563"/>
      <c r="U150" s="563"/>
      <c r="V150" s="563"/>
      <c r="AB150" s="563"/>
    </row>
    <row r="151" spans="1:28" hidden="1" x14ac:dyDescent="0.25">
      <c r="A151" s="565" t="s">
        <v>38</v>
      </c>
      <c r="D151" s="565">
        <f>SUM(D150,D145,D138)</f>
        <v>6658.4899999999989</v>
      </c>
      <c r="E151" s="565">
        <f ca="1">SUM(E135:E136,E139:E144,E146:E149)</f>
        <v>1065.9299999999998</v>
      </c>
      <c r="F151" s="565">
        <f ca="1">SUM(F150,F145,F138)</f>
        <v>733.39</v>
      </c>
      <c r="G151" s="565">
        <f t="shared" ref="G151:Q151" ca="1" si="11">SUM(G150,G145,G138)</f>
        <v>702.4799999999999</v>
      </c>
      <c r="H151" s="565">
        <f t="shared" ca="1" si="11"/>
        <v>0</v>
      </c>
      <c r="I151" s="565">
        <f t="shared" ca="1" si="11"/>
        <v>224.8</v>
      </c>
      <c r="J151" s="565">
        <f t="shared" ca="1" si="11"/>
        <v>0</v>
      </c>
      <c r="K151" s="565">
        <f t="shared" ca="1" si="11"/>
        <v>0</v>
      </c>
      <c r="L151" s="565">
        <f t="shared" ca="1" si="11"/>
        <v>0</v>
      </c>
      <c r="M151" s="565">
        <f t="shared" ca="1" si="11"/>
        <v>0</v>
      </c>
      <c r="N151" s="565">
        <f t="shared" ca="1" si="11"/>
        <v>311.64999999999998</v>
      </c>
      <c r="O151" s="565">
        <f t="shared" ca="1" si="11"/>
        <v>926.2</v>
      </c>
      <c r="P151" s="565">
        <f t="shared" ca="1" si="11"/>
        <v>40.33</v>
      </c>
      <c r="Q151" s="565">
        <f t="shared" ca="1" si="11"/>
        <v>21.44</v>
      </c>
      <c r="S151" s="563"/>
      <c r="T151" s="563"/>
      <c r="U151" s="563"/>
      <c r="V151" s="563"/>
      <c r="AB151" s="563"/>
    </row>
    <row r="152" spans="1:28" hidden="1" x14ac:dyDescent="0.25"/>
    <row r="153" spans="1:28" hidden="1" x14ac:dyDescent="0.25"/>
    <row r="154" spans="1:28" hidden="1" x14ac:dyDescent="0.25"/>
  </sheetData>
  <mergeCells count="4">
    <mergeCell ref="A1:I2"/>
    <mergeCell ref="A129:O131"/>
    <mergeCell ref="A132:A133"/>
    <mergeCell ref="B132:C133"/>
  </mergeCells>
  <phoneticPr fontId="26" type="noConversion"/>
  <conditionalFormatting sqref="A102:D103 C140:C141 C114:C122 D104:D122 C104:D113 A103:A115 A104:B122">
    <cfRule type="cellIs" dxfId="862" priority="94" operator="equal">
      <formula>"WHEAT"</formula>
    </cfRule>
  </conditionalFormatting>
  <conditionalFormatting sqref="C102:C122">
    <cfRule type="cellIs" dxfId="861" priority="89" operator="equal">
      <formula>"MILLET"</formula>
    </cfRule>
    <cfRule type="cellIs" dxfId="860" priority="90" operator="equal">
      <formula>"FORAGE"</formula>
    </cfRule>
    <cfRule type="cellIs" dxfId="859" priority="91" operator="equal">
      <formula>"CORN"</formula>
    </cfRule>
    <cfRule type="cellIs" dxfId="858" priority="92" operator="equal">
      <formula>"FALLOW"</formula>
    </cfRule>
    <cfRule type="cellIs" dxfId="857" priority="93" operator="equal">
      <formula>"MILO"</formula>
    </cfRule>
  </conditionalFormatting>
  <conditionalFormatting sqref="C102:C122">
    <cfRule type="cellIs" dxfId="856" priority="88" operator="equal">
      <formula>"GRAZED"</formula>
    </cfRule>
  </conditionalFormatting>
  <conditionalFormatting sqref="I102:I113 G134:N134">
    <cfRule type="cellIs" dxfId="855" priority="86" operator="equal">
      <formula>"FORG/ WHEAT"</formula>
    </cfRule>
    <cfRule type="cellIs" dxfId="854" priority="87" operator="equal">
      <formula>"FALLOW"</formula>
    </cfRule>
  </conditionalFormatting>
  <conditionalFormatting sqref="I109">
    <cfRule type="cellIs" dxfId="853" priority="84" operator="equal">
      <formula>"FALL GRAZED"</formula>
    </cfRule>
  </conditionalFormatting>
  <conditionalFormatting sqref="A129 A132:B132 A148:C148 D148:E149 F146:F149 A146:E147 P129:R131 S129:Z133 D132:R133 T134:Z134 A152:S1048576 G146:R148 A134:R145 T151:XFD1048576 S135:Z148 A13:B14 A17:B17 D17:F17 A64:B64 A35:B35 A37:B37 D64:Z64 D13:Z14 A18:F18 G17:Z18 A32:F34 D35:F35 G32:Z35 A98:B98 D98:Z98 A19:Z31 A15:Z16 A65:Z97 A99:Z128 A1:Z12 A38:Z63 D36:Z37 AA1:XFD148">
    <cfRule type="containsText" dxfId="852" priority="72" operator="containsText" text="PEARL MILLET">
      <formula>NOT(ISERROR(SEARCH("PEARL MILLET",A1)))</formula>
    </cfRule>
    <cfRule type="containsText" dxfId="851" priority="73" operator="containsText" text="PROSO MILLET">
      <formula>NOT(ISERROR(SEARCH("PROSO MILLET",A1)))</formula>
    </cfRule>
    <cfRule type="containsText" dxfId="850" priority="74" operator="containsText" text="GOLDEN GERMAN">
      <formula>NOT(ISERROR(SEARCH("GOLDEN GERMAN",A1)))</formula>
    </cfRule>
    <cfRule type="containsText" dxfId="849" priority="75" operator="containsText" text="BUILDING SITE">
      <formula>NOT(ISERROR(SEARCH("BUILDING SITE",A1)))</formula>
    </cfRule>
    <cfRule type="containsText" dxfId="848" priority="76" operator="containsText" text="WASTE">
      <formula>NOT(ISERROR(SEARCH("WASTE",A1)))</formula>
    </cfRule>
    <cfRule type="containsText" dxfId="847" priority="77" operator="containsText" text="PASTURE">
      <formula>NOT(ISERROR(SEARCH("PASTURE",A1)))</formula>
    </cfRule>
    <cfRule type="cellIs" dxfId="846" priority="81" operator="equal">
      <formula>"FORG/ WHEAT"</formula>
    </cfRule>
    <cfRule type="cellIs" dxfId="845" priority="82" operator="equal">
      <formula>"FALL GRAZED"</formula>
    </cfRule>
    <cfRule type="cellIs" dxfId="844" priority="83" operator="equal">
      <formula>"FALLOW"</formula>
    </cfRule>
    <cfRule type="cellIs" dxfId="843" priority="85" operator="equal">
      <formula>"FALL GRAZED"</formula>
    </cfRule>
    <cfRule type="cellIs" dxfId="842" priority="95" operator="equal">
      <formula>"TRITICALE"</formula>
    </cfRule>
    <cfRule type="cellIs" dxfId="841" priority="96" operator="equal">
      <formula>"SORGHUM"</formula>
    </cfRule>
    <cfRule type="cellIs" dxfId="840" priority="97" operator="equal">
      <formula>"OAT/WHEAT"</formula>
    </cfRule>
    <cfRule type="cellIs" dxfId="839" priority="98" operator="equal">
      <formula>"SPRING GRAZED"</formula>
    </cfRule>
    <cfRule type="cellIs" dxfId="838" priority="99" operator="equal">
      <formula>"WHEAT"</formula>
    </cfRule>
    <cfRule type="cellIs" dxfId="837" priority="100" operator="equal">
      <formula>"SORGHUM SUDAN"</formula>
    </cfRule>
    <cfRule type="cellIs" dxfId="836" priority="101" operator="equal">
      <formula>"CORN"</formula>
    </cfRule>
  </conditionalFormatting>
  <conditionalFormatting sqref="M134">
    <cfRule type="cellIs" dxfId="835" priority="78" operator="equal">
      <formula>"FALL GRAZED"</formula>
    </cfRule>
  </conditionalFormatting>
  <conditionalFormatting sqref="C104:C115">
    <cfRule type="cellIs" dxfId="834" priority="70" operator="equal">
      <formula>"FORG/ WHEAT"</formula>
    </cfRule>
    <cfRule type="cellIs" dxfId="833" priority="71" operator="equal">
      <formula>"FALLOW"</formula>
    </cfRule>
  </conditionalFormatting>
  <conditionalFormatting sqref="C111">
    <cfRule type="cellIs" dxfId="832" priority="69" operator="equal">
      <formula>"FALL GRAZED"</formula>
    </cfRule>
  </conditionalFormatting>
  <conditionalFormatting sqref="C13:C14">
    <cfRule type="containsText" dxfId="831" priority="52" operator="containsText" text="PEARL MILLET">
      <formula>NOT(ISERROR(SEARCH("PEARL MILLET",C13)))</formula>
    </cfRule>
    <cfRule type="containsText" dxfId="830" priority="53" operator="containsText" text="PROSO MILLET">
      <formula>NOT(ISERROR(SEARCH("PROSO MILLET",C13)))</formula>
    </cfRule>
    <cfRule type="containsText" dxfId="829" priority="54" operator="containsText" text="GOLDEN GERMAN">
      <formula>NOT(ISERROR(SEARCH("GOLDEN GERMAN",C13)))</formula>
    </cfRule>
    <cfRule type="containsText" dxfId="828" priority="55" operator="containsText" text="BUILDING SITE">
      <formula>NOT(ISERROR(SEARCH("BUILDING SITE",C13)))</formula>
    </cfRule>
    <cfRule type="containsText" dxfId="827" priority="56" operator="containsText" text="WASTE">
      <formula>NOT(ISERROR(SEARCH("WASTE",C13)))</formula>
    </cfRule>
    <cfRule type="containsText" dxfId="826" priority="57" operator="containsText" text="PASTURE">
      <formula>NOT(ISERROR(SEARCH("PASTURE",C13)))</formula>
    </cfRule>
    <cfRule type="cellIs" dxfId="825" priority="58" operator="equal">
      <formula>"FORG/ WHEAT"</formula>
    </cfRule>
    <cfRule type="cellIs" dxfId="824" priority="59" operator="equal">
      <formula>"FALL GRAZED"</formula>
    </cfRule>
    <cfRule type="cellIs" dxfId="823" priority="60" operator="equal">
      <formula>"FALLOW"</formula>
    </cfRule>
    <cfRule type="cellIs" dxfId="822" priority="61" operator="equal">
      <formula>"FALL GRAZED"</formula>
    </cfRule>
    <cfRule type="cellIs" dxfId="821" priority="62" operator="equal">
      <formula>"TRITICALE"</formula>
    </cfRule>
    <cfRule type="cellIs" dxfId="820" priority="63" operator="equal">
      <formula>"SORGHUM"</formula>
    </cfRule>
    <cfRule type="cellIs" dxfId="819" priority="64" operator="equal">
      <formula>"OAT/WHEAT"</formula>
    </cfRule>
    <cfRule type="cellIs" dxfId="818" priority="65" operator="equal">
      <formula>"SPRING GRAZED"</formula>
    </cfRule>
    <cfRule type="cellIs" dxfId="817" priority="66" operator="equal">
      <formula>"WHEAT"</formula>
    </cfRule>
    <cfRule type="cellIs" dxfId="816" priority="67" operator="equal">
      <formula>"SORGHUM SUDAN"</formula>
    </cfRule>
    <cfRule type="cellIs" dxfId="815" priority="68" operator="equal">
      <formula>"CORN"</formula>
    </cfRule>
  </conditionalFormatting>
  <conditionalFormatting sqref="C17">
    <cfRule type="containsText" dxfId="814" priority="35" operator="containsText" text="PEARL MILLET">
      <formula>NOT(ISERROR(SEARCH("PEARL MILLET",C17)))</formula>
    </cfRule>
    <cfRule type="containsText" dxfId="813" priority="36" operator="containsText" text="PROSO MILLET">
      <formula>NOT(ISERROR(SEARCH("PROSO MILLET",C17)))</formula>
    </cfRule>
    <cfRule type="containsText" dxfId="812" priority="37" operator="containsText" text="GOLDEN GERMAN">
      <formula>NOT(ISERROR(SEARCH("GOLDEN GERMAN",C17)))</formula>
    </cfRule>
    <cfRule type="containsText" dxfId="811" priority="38" operator="containsText" text="BUILDING SITE">
      <formula>NOT(ISERROR(SEARCH("BUILDING SITE",C17)))</formula>
    </cfRule>
    <cfRule type="containsText" dxfId="810" priority="39" operator="containsText" text="WASTE">
      <formula>NOT(ISERROR(SEARCH("WASTE",C17)))</formula>
    </cfRule>
    <cfRule type="containsText" dxfId="809" priority="40" operator="containsText" text="PASTURE">
      <formula>NOT(ISERROR(SEARCH("PASTURE",C17)))</formula>
    </cfRule>
    <cfRule type="cellIs" dxfId="808" priority="41" operator="equal">
      <formula>"FORG/ WHEAT"</formula>
    </cfRule>
    <cfRule type="cellIs" dxfId="807" priority="42" operator="equal">
      <formula>"FALL GRAZED"</formula>
    </cfRule>
    <cfRule type="cellIs" dxfId="806" priority="43" operator="equal">
      <formula>"FALLOW"</formula>
    </cfRule>
    <cfRule type="cellIs" dxfId="805" priority="44" operator="equal">
      <formula>"FALL GRAZED"</formula>
    </cfRule>
    <cfRule type="cellIs" dxfId="804" priority="45" operator="equal">
      <formula>"TRITICALE"</formula>
    </cfRule>
    <cfRule type="cellIs" dxfId="803" priority="46" operator="equal">
      <formula>"SORGHUM"</formula>
    </cfRule>
    <cfRule type="cellIs" dxfId="802" priority="47" operator="equal">
      <formula>"OAT/WHEAT"</formula>
    </cfRule>
    <cfRule type="cellIs" dxfId="801" priority="48" operator="equal">
      <formula>"SPRING GRAZED"</formula>
    </cfRule>
    <cfRule type="cellIs" dxfId="800" priority="49" operator="equal">
      <formula>"WHEAT"</formula>
    </cfRule>
    <cfRule type="cellIs" dxfId="799" priority="50" operator="equal">
      <formula>"SORGHUM SUDAN"</formula>
    </cfRule>
    <cfRule type="cellIs" dxfId="798" priority="51" operator="equal">
      <formula>"CORN"</formula>
    </cfRule>
  </conditionalFormatting>
  <conditionalFormatting sqref="C37">
    <cfRule type="containsText" dxfId="797" priority="18" operator="containsText" text="PEARL MILLET">
      <formula>NOT(ISERROR(SEARCH("PEARL MILLET",C37)))</formula>
    </cfRule>
    <cfRule type="containsText" dxfId="796" priority="19" operator="containsText" text="PROSO MILLET">
      <formula>NOT(ISERROR(SEARCH("PROSO MILLET",C37)))</formula>
    </cfRule>
    <cfRule type="containsText" dxfId="795" priority="20" operator="containsText" text="GOLDEN GERMAN">
      <formula>NOT(ISERROR(SEARCH("GOLDEN GERMAN",C37)))</formula>
    </cfRule>
    <cfRule type="containsText" dxfId="794" priority="21" operator="containsText" text="BUILDING SITE">
      <formula>NOT(ISERROR(SEARCH("BUILDING SITE",C37)))</formula>
    </cfRule>
    <cfRule type="containsText" dxfId="793" priority="22" operator="containsText" text="WASTE">
      <formula>NOT(ISERROR(SEARCH("WASTE",C37)))</formula>
    </cfRule>
    <cfRule type="containsText" dxfId="792" priority="23" operator="containsText" text="PASTURE">
      <formula>NOT(ISERROR(SEARCH("PASTURE",C37)))</formula>
    </cfRule>
    <cfRule type="cellIs" dxfId="791" priority="24" operator="equal">
      <formula>"FORG/ WHEAT"</formula>
    </cfRule>
    <cfRule type="cellIs" dxfId="790" priority="25" operator="equal">
      <formula>"FALL GRAZED"</formula>
    </cfRule>
    <cfRule type="cellIs" dxfId="789" priority="26" operator="equal">
      <formula>"FALLOW"</formula>
    </cfRule>
    <cfRule type="cellIs" dxfId="788" priority="27" operator="equal">
      <formula>"FALL GRAZED"</formula>
    </cfRule>
    <cfRule type="cellIs" dxfId="787" priority="28" operator="equal">
      <formula>"TRITICALE"</formula>
    </cfRule>
    <cfRule type="cellIs" dxfId="786" priority="29" operator="equal">
      <formula>"SORGHUM"</formula>
    </cfRule>
    <cfRule type="cellIs" dxfId="785" priority="30" operator="equal">
      <formula>"OAT/WHEAT"</formula>
    </cfRule>
    <cfRule type="cellIs" dxfId="784" priority="31" operator="equal">
      <formula>"SPRING GRAZED"</formula>
    </cfRule>
    <cfRule type="cellIs" dxfId="783" priority="32" operator="equal">
      <formula>"WHEAT"</formula>
    </cfRule>
    <cfRule type="cellIs" dxfId="782" priority="33" operator="equal">
      <formula>"SORGHUM SUDAN"</formula>
    </cfRule>
    <cfRule type="cellIs" dxfId="781" priority="34" operator="equal">
      <formula>"CORN"</formula>
    </cfRule>
  </conditionalFormatting>
  <conditionalFormatting sqref="C64">
    <cfRule type="containsText" dxfId="780" priority="1" operator="containsText" text="PEARL MILLET">
      <formula>NOT(ISERROR(SEARCH("PEARL MILLET",C64)))</formula>
    </cfRule>
    <cfRule type="containsText" dxfId="779" priority="2" operator="containsText" text="PROSO MILLET">
      <formula>NOT(ISERROR(SEARCH("PROSO MILLET",C64)))</formula>
    </cfRule>
    <cfRule type="containsText" dxfId="778" priority="3" operator="containsText" text="GOLDEN GERMAN">
      <formula>NOT(ISERROR(SEARCH("GOLDEN GERMAN",C64)))</formula>
    </cfRule>
    <cfRule type="containsText" dxfId="777" priority="4" operator="containsText" text="BUILDING SITE">
      <formula>NOT(ISERROR(SEARCH("BUILDING SITE",C64)))</formula>
    </cfRule>
    <cfRule type="containsText" dxfId="776" priority="5" operator="containsText" text="WASTE">
      <formula>NOT(ISERROR(SEARCH("WASTE",C64)))</formula>
    </cfRule>
    <cfRule type="containsText" dxfId="775" priority="6" operator="containsText" text="PASTURE">
      <formula>NOT(ISERROR(SEARCH("PASTURE",C64)))</formula>
    </cfRule>
    <cfRule type="cellIs" dxfId="774" priority="7" operator="equal">
      <formula>"FORG/ WHEAT"</formula>
    </cfRule>
    <cfRule type="cellIs" dxfId="773" priority="8" operator="equal">
      <formula>"FALL GRAZED"</formula>
    </cfRule>
    <cfRule type="cellIs" dxfId="772" priority="9" operator="equal">
      <formula>"FALLOW"</formula>
    </cfRule>
    <cfRule type="cellIs" dxfId="771" priority="10" operator="equal">
      <formula>"FALL GRAZED"</formula>
    </cfRule>
    <cfRule type="cellIs" dxfId="770" priority="11" operator="equal">
      <formula>"TRITICALE"</formula>
    </cfRule>
    <cfRule type="cellIs" dxfId="769" priority="12" operator="equal">
      <formula>"SORGHUM"</formula>
    </cfRule>
    <cfRule type="cellIs" dxfId="768" priority="13" operator="equal">
      <formula>"OAT/WHEAT"</formula>
    </cfRule>
    <cfRule type="cellIs" dxfId="767" priority="14" operator="equal">
      <formula>"SPRING GRAZED"</formula>
    </cfRule>
    <cfRule type="cellIs" dxfId="766" priority="15" operator="equal">
      <formula>"WHEAT"</formula>
    </cfRule>
    <cfRule type="cellIs" dxfId="765" priority="16" operator="equal">
      <formula>"SORGHUM SUDAN"</formula>
    </cfRule>
    <cfRule type="cellIs" dxfId="764" priority="17" operator="equal">
      <formula>"CORN"</formula>
    </cfRule>
  </conditionalFormatting>
  <dataValidations count="4">
    <dataValidation type="list" allowBlank="1" showInputMessage="1" showErrorMessage="1" sqref="A102:A122" xr:uid="{081F3746-1118-4BC9-891A-DC33BAF23FB0}">
      <formula1>FARMS</formula1>
    </dataValidation>
    <dataValidation type="list" allowBlank="1" showInputMessage="1" showErrorMessage="1" sqref="I100:I113 J27:J30 E134:N134 K24:N30 C102:C122 J58:R62 O63:R64 AA49:AB49 P98:R98 J65:R97 J4:R21 S4:V98 J32:N45 O22:R57" xr:uid="{56C3632D-ACA2-4562-BA09-BF37D2D0B98F}">
      <formula1>CROP</formula1>
    </dataValidation>
    <dataValidation type="list" allowBlank="1" showInputMessage="1" showErrorMessage="1" sqref="B102:B122" xr:uid="{DEB61117-0D5D-4242-9F3E-C812D768A338}">
      <formula1>CROPYEAR</formula1>
    </dataValidation>
    <dataValidation type="list" allowBlank="1" showInputMessage="1" showErrorMessage="1" sqref="B132:C133" xr:uid="{0806F0D6-FA25-4C37-8160-F588230D0D5D}">
      <formula1>$J$3:$U$3</formula1>
    </dataValidation>
  </dataValidations>
  <pageMargins left="0.25" right="0.25" top="0.75" bottom="0.75" header="0.3" footer="0.3"/>
  <pageSetup scale="52" orientation="portrait" r:id="rId1"/>
  <rowBreaks count="1" manualBreakCount="1">
    <brk id="114" max="16383" man="1"/>
  </rowBreaks>
  <ignoredErrors>
    <ignoredError sqref="D138 D145" formula="1"/>
    <ignoredError sqref="E139:O145 E147:O150 E146 G146:O146" calculatedColumn="1"/>
  </ignoredErrors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3D336-A267-4FEE-9FF9-1CD39CC30933}">
  <sheetPr>
    <pageSetUpPr fitToPage="1"/>
  </sheetPr>
  <dimension ref="A1:M87"/>
  <sheetViews>
    <sheetView topLeftCell="A11" workbookViewId="0">
      <selection activeCell="F86" sqref="F86"/>
    </sheetView>
  </sheetViews>
  <sheetFormatPr defaultRowHeight="15" x14ac:dyDescent="0.25"/>
  <cols>
    <col min="1" max="2" width="10.85546875" bestFit="1" customWidth="1"/>
    <col min="3" max="3" width="24.5703125" bestFit="1" customWidth="1"/>
    <col min="4" max="4" width="10.28515625" bestFit="1" customWidth="1"/>
    <col min="5" max="5" width="11.42578125" style="662" bestFit="1" customWidth="1"/>
    <col min="6" max="6" width="17" bestFit="1" customWidth="1"/>
    <col min="7" max="7" width="15" bestFit="1" customWidth="1"/>
    <col min="8" max="8" width="12.140625" customWidth="1"/>
    <col min="11" max="11" width="12.140625" customWidth="1"/>
    <col min="12" max="12" width="12.85546875" style="661" customWidth="1"/>
  </cols>
  <sheetData>
    <row r="1" spans="1:13" ht="31.5" x14ac:dyDescent="0.25">
      <c r="A1" s="743" t="s">
        <v>747</v>
      </c>
      <c r="B1" s="743"/>
      <c r="C1" s="743"/>
      <c r="D1" s="743"/>
      <c r="E1" s="744"/>
      <c r="F1" s="743"/>
      <c r="G1" s="743"/>
      <c r="H1" s="743"/>
      <c r="I1" s="743"/>
      <c r="J1" s="634"/>
      <c r="K1" s="659"/>
      <c r="L1" s="660"/>
      <c r="M1" s="54"/>
    </row>
    <row r="2" spans="1:13" ht="31.5" x14ac:dyDescent="0.25">
      <c r="A2" s="743"/>
      <c r="B2" s="743"/>
      <c r="C2" s="743"/>
      <c r="D2" s="743"/>
      <c r="E2" s="744"/>
      <c r="F2" s="743"/>
      <c r="G2" s="743"/>
      <c r="H2" s="743"/>
      <c r="I2" s="743"/>
      <c r="J2" s="634"/>
      <c r="K2" s="659"/>
      <c r="L2" s="660"/>
      <c r="M2" s="54"/>
    </row>
    <row r="3" spans="1:13" ht="31.5" x14ac:dyDescent="0.25">
      <c r="A3" s="743"/>
      <c r="B3" s="743"/>
      <c r="C3" s="743"/>
      <c r="D3" s="743"/>
      <c r="E3" s="744"/>
      <c r="F3" s="743"/>
      <c r="G3" s="743"/>
      <c r="H3" s="743"/>
      <c r="I3" s="743"/>
      <c r="J3" s="634"/>
      <c r="K3" s="659"/>
      <c r="L3" s="660"/>
      <c r="M3" s="54"/>
    </row>
    <row r="4" spans="1:13" x14ac:dyDescent="0.25">
      <c r="A4" t="s">
        <v>1</v>
      </c>
      <c r="B4" t="s">
        <v>2</v>
      </c>
      <c r="C4" t="s">
        <v>3</v>
      </c>
      <c r="D4" t="s">
        <v>42</v>
      </c>
      <c r="E4" s="662" t="s">
        <v>748</v>
      </c>
      <c r="F4" t="s">
        <v>282</v>
      </c>
      <c r="G4" t="s">
        <v>303</v>
      </c>
      <c r="H4" t="s">
        <v>749</v>
      </c>
      <c r="I4" t="s">
        <v>750</v>
      </c>
      <c r="J4" t="s">
        <v>751</v>
      </c>
      <c r="K4" t="s">
        <v>752</v>
      </c>
      <c r="L4" s="661" t="s">
        <v>753</v>
      </c>
      <c r="M4" t="s">
        <v>754</v>
      </c>
    </row>
    <row r="5" spans="1:13" ht="15.75" x14ac:dyDescent="0.25">
      <c r="A5" s="568" t="s">
        <v>20</v>
      </c>
      <c r="B5" s="568" t="s">
        <v>21</v>
      </c>
      <c r="C5" s="637" t="s">
        <v>163</v>
      </c>
      <c r="D5" s="570">
        <v>80.09</v>
      </c>
      <c r="E5" s="686">
        <v>1</v>
      </c>
      <c r="F5" s="569" t="s">
        <v>283</v>
      </c>
      <c r="I5">
        <f>Table18[[#This Row],[RATE]]*Table18[[#This Row],[ACRES]]</f>
        <v>0</v>
      </c>
      <c r="J5">
        <f>Table18[[#This Row],['#''S]]/50</f>
        <v>0</v>
      </c>
      <c r="K5">
        <v>14</v>
      </c>
      <c r="L5" s="661">
        <f>((Table18[[#This Row],[SKS/A]]*1000)*Table18[[#This Row],[ACRES]])/80000</f>
        <v>14.015750000000001</v>
      </c>
      <c r="M5">
        <f ca="1">Table18[[#This Row],[BAGS ]]</f>
        <v>0</v>
      </c>
    </row>
    <row r="6" spans="1:13" ht="15.75" x14ac:dyDescent="0.25">
      <c r="A6" s="568" t="s">
        <v>20</v>
      </c>
      <c r="B6" s="568" t="s">
        <v>21</v>
      </c>
      <c r="C6" s="637" t="s">
        <v>167</v>
      </c>
      <c r="D6" s="570">
        <v>79.849999999999994</v>
      </c>
      <c r="E6" s="686">
        <v>2</v>
      </c>
      <c r="F6" s="569" t="s">
        <v>283</v>
      </c>
      <c r="I6">
        <f>Table18[[#This Row],[RATE]]*Table18[[#This Row],[ACRES]]</f>
        <v>0</v>
      </c>
      <c r="J6">
        <f>Table18[[#This Row],['#''S]]/50</f>
        <v>0</v>
      </c>
      <c r="K6">
        <v>12.5</v>
      </c>
      <c r="L6" s="661">
        <f>((Table18[[#This Row],[SKS/A]]*1000)*Table18[[#This Row],[ACRES]])/80000</f>
        <v>12.476562499999998</v>
      </c>
      <c r="M6">
        <f ca="1">Table18[[#This Row],[BAGS ]]</f>
        <v>0</v>
      </c>
    </row>
    <row r="7" spans="1:13" ht="15.75" x14ac:dyDescent="0.25">
      <c r="A7" s="645" t="s">
        <v>20</v>
      </c>
      <c r="B7" s="645" t="s">
        <v>32</v>
      </c>
      <c r="C7" s="654" t="s">
        <v>33</v>
      </c>
      <c r="D7" s="646">
        <v>79.099999999999994</v>
      </c>
      <c r="E7" s="686">
        <v>3</v>
      </c>
      <c r="F7" s="569" t="s">
        <v>283</v>
      </c>
      <c r="I7">
        <f>Table18[[#This Row],[RATE]]*Table18[[#This Row],[ACRES]]</f>
        <v>0</v>
      </c>
      <c r="J7">
        <f>Table18[[#This Row],['#''S]]/50</f>
        <v>0</v>
      </c>
      <c r="K7">
        <v>13</v>
      </c>
      <c r="L7" s="661">
        <f>((Table18[[#This Row],[SKS/A]]*1000)*Table18[[#This Row],[ACRES]])/80000</f>
        <v>12.853749999999998</v>
      </c>
      <c r="M7">
        <f ca="1">Table18[[#This Row],[BAGS ]]</f>
        <v>0</v>
      </c>
    </row>
    <row r="8" spans="1:13" ht="15.75" x14ac:dyDescent="0.25">
      <c r="A8" s="651" t="s">
        <v>20</v>
      </c>
      <c r="B8" s="651" t="s">
        <v>32</v>
      </c>
      <c r="C8" s="652" t="s">
        <v>34</v>
      </c>
      <c r="D8" s="570">
        <v>77.400000000000006</v>
      </c>
      <c r="E8" s="686">
        <v>4</v>
      </c>
      <c r="F8" s="569" t="s">
        <v>283</v>
      </c>
      <c r="I8">
        <f>Table18[[#This Row],[RATE]]*Table18[[#This Row],[ACRES]]</f>
        <v>0</v>
      </c>
      <c r="J8">
        <f>Table18[[#This Row],['#''S]]/50</f>
        <v>0</v>
      </c>
      <c r="K8">
        <v>14</v>
      </c>
      <c r="L8" s="661">
        <f>((Table18[[#This Row],[SKS/A]]*1000)*Table18[[#This Row],[ACRES]])/80000</f>
        <v>13.545</v>
      </c>
      <c r="M8">
        <f ca="1">Table18[[#This Row],[BAGS ]]</f>
        <v>0</v>
      </c>
    </row>
    <row r="9" spans="1:13" ht="15.75" x14ac:dyDescent="0.25">
      <c r="A9" s="568" t="s">
        <v>20</v>
      </c>
      <c r="B9" s="568" t="s">
        <v>35</v>
      </c>
      <c r="C9" s="637" t="s">
        <v>36</v>
      </c>
      <c r="D9" s="570">
        <v>71.5</v>
      </c>
      <c r="E9" s="686">
        <v>5</v>
      </c>
      <c r="F9" s="569" t="s">
        <v>283</v>
      </c>
      <c r="I9">
        <f>Table18[[#This Row],[RATE]]*Table18[[#This Row],[ACRES]]</f>
        <v>0</v>
      </c>
      <c r="J9">
        <f>Table18[[#This Row],['#''S]]/50</f>
        <v>0</v>
      </c>
      <c r="K9">
        <v>14</v>
      </c>
      <c r="L9" s="661">
        <f>((Table18[[#This Row],[SKS/A]]*1000)*Table18[[#This Row],[ACRES]])/80000</f>
        <v>12.512499999999999</v>
      </c>
      <c r="M9">
        <f ca="1">Table18[[#This Row],[BAGS ]]</f>
        <v>0</v>
      </c>
    </row>
    <row r="10" spans="1:13" ht="15.75" x14ac:dyDescent="0.25">
      <c r="A10" s="645" t="s">
        <v>20</v>
      </c>
      <c r="B10" s="645" t="s">
        <v>35</v>
      </c>
      <c r="C10" s="645" t="s">
        <v>98</v>
      </c>
      <c r="D10" s="646">
        <v>4.18</v>
      </c>
      <c r="E10" s="686">
        <v>6</v>
      </c>
      <c r="F10" s="569" t="s">
        <v>283</v>
      </c>
      <c r="I10">
        <f>Table18[[#This Row],[RATE]]*Table18[[#This Row],[ACRES]]</f>
        <v>0</v>
      </c>
      <c r="J10">
        <f>Table18[[#This Row],['#''S]]/50</f>
        <v>0</v>
      </c>
      <c r="K10">
        <v>14</v>
      </c>
      <c r="L10" s="661">
        <f>((Table18[[#This Row],[SKS/A]]*1000)*Table18[[#This Row],[ACRES]])/80000</f>
        <v>0.73149999999999993</v>
      </c>
      <c r="M10">
        <f ca="1">Table18[[#This Row],[BAGS ]]</f>
        <v>0</v>
      </c>
    </row>
    <row r="11" spans="1:13" ht="15.75" x14ac:dyDescent="0.25">
      <c r="A11" s="647" t="s">
        <v>20</v>
      </c>
      <c r="B11" s="647" t="s">
        <v>28</v>
      </c>
      <c r="C11" s="655" t="s">
        <v>226</v>
      </c>
      <c r="D11" s="570">
        <v>78</v>
      </c>
      <c r="E11" s="686">
        <v>7</v>
      </c>
      <c r="F11" s="569" t="s">
        <v>283</v>
      </c>
      <c r="I11">
        <f>Table18[[#This Row],[RATE]]*Table18[[#This Row],[ACRES]]</f>
        <v>0</v>
      </c>
      <c r="J11">
        <f>Table18[[#This Row],['#''S]]/50</f>
        <v>0</v>
      </c>
      <c r="K11">
        <v>12.5</v>
      </c>
      <c r="L11" s="661">
        <f>((Table18[[#This Row],[SKS/A]]*1000)*Table18[[#This Row],[ACRES]])/80000</f>
        <v>12.1875</v>
      </c>
      <c r="M11">
        <f ca="1">Table18[[#This Row],[BAGS ]]</f>
        <v>0</v>
      </c>
    </row>
    <row r="12" spans="1:13" ht="15.75" x14ac:dyDescent="0.25">
      <c r="A12" s="568" t="s">
        <v>20</v>
      </c>
      <c r="B12" s="568" t="s">
        <v>28</v>
      </c>
      <c r="C12" s="637" t="s">
        <v>223</v>
      </c>
      <c r="D12" s="570">
        <v>51.9</v>
      </c>
      <c r="E12" s="686">
        <v>8</v>
      </c>
      <c r="F12" s="569" t="s">
        <v>283</v>
      </c>
      <c r="I12">
        <f>Table18[[#This Row],[RATE]]*Table18[[#This Row],[ACRES]]</f>
        <v>0</v>
      </c>
      <c r="J12">
        <f>Table18[[#This Row],['#''S]]/50</f>
        <v>0</v>
      </c>
      <c r="K12">
        <v>13</v>
      </c>
      <c r="L12" s="661">
        <f>((Table18[[#This Row],[SKS/A]]*1000)*Table18[[#This Row],[ACRES]])/80000</f>
        <v>8.4337499999999999</v>
      </c>
      <c r="M12">
        <f ca="1">Table18[[#This Row],[BAGS ]]</f>
        <v>0</v>
      </c>
    </row>
    <row r="13" spans="1:13" ht="15.75" x14ac:dyDescent="0.25">
      <c r="A13" s="568" t="s">
        <v>20</v>
      </c>
      <c r="B13" s="568" t="s">
        <v>21</v>
      </c>
      <c r="C13" s="637" t="s">
        <v>23</v>
      </c>
      <c r="D13" s="570">
        <v>78.599999999999994</v>
      </c>
      <c r="E13" s="686">
        <v>9</v>
      </c>
      <c r="F13" s="569" t="s">
        <v>283</v>
      </c>
      <c r="I13">
        <f>Table18[[#This Row],[RATE]]*Table18[[#This Row],[ACRES]]</f>
        <v>0</v>
      </c>
      <c r="J13">
        <f>Table18[[#This Row],['#''S]]/50</f>
        <v>0</v>
      </c>
      <c r="K13">
        <v>12.5</v>
      </c>
      <c r="L13" s="661">
        <f>((Table18[[#This Row],[SKS/A]]*1000)*Table18[[#This Row],[ACRES]])/80000</f>
        <v>12.281249999999998</v>
      </c>
      <c r="M13">
        <f ca="1">Table18[[#This Row],[BAGS ]]</f>
        <v>0</v>
      </c>
    </row>
    <row r="14" spans="1:13" ht="15.75" x14ac:dyDescent="0.25">
      <c r="A14" s="568" t="s">
        <v>20</v>
      </c>
      <c r="B14" s="568" t="s">
        <v>35</v>
      </c>
      <c r="C14" s="637" t="s">
        <v>271</v>
      </c>
      <c r="D14" s="570">
        <v>78.8</v>
      </c>
      <c r="E14" s="686">
        <v>10</v>
      </c>
      <c r="F14" s="569" t="s">
        <v>283</v>
      </c>
      <c r="I14">
        <f>Table18[[#This Row],[RATE]]*Table18[[#This Row],[ACRES]]</f>
        <v>0</v>
      </c>
      <c r="J14">
        <f>Table18[[#This Row],['#''S]]/50</f>
        <v>0</v>
      </c>
      <c r="K14">
        <v>12.5</v>
      </c>
      <c r="L14" s="661">
        <f>((Table18[[#This Row],[SKS/A]]*1000)*Table18[[#This Row],[ACRES]])/80000</f>
        <v>12.3125</v>
      </c>
      <c r="M14">
        <f ca="1">Table18[[#This Row],[BAGS ]]</f>
        <v>0</v>
      </c>
    </row>
    <row r="15" spans="1:13" ht="15.75" x14ac:dyDescent="0.25">
      <c r="A15" s="568" t="s">
        <v>20</v>
      </c>
      <c r="B15" s="568" t="s">
        <v>21</v>
      </c>
      <c r="C15" s="637" t="s">
        <v>157</v>
      </c>
      <c r="D15" s="570">
        <v>76.5</v>
      </c>
      <c r="E15" s="686">
        <v>11</v>
      </c>
      <c r="F15" s="569" t="s">
        <v>283</v>
      </c>
      <c r="I15">
        <f>Table18[[#This Row],[RATE]]*Table18[[#This Row],[ACRES]]</f>
        <v>0</v>
      </c>
      <c r="J15">
        <f>Table18[[#This Row],['#''S]]/50</f>
        <v>0</v>
      </c>
      <c r="K15">
        <v>12.5</v>
      </c>
      <c r="L15" s="661">
        <f>((Table18[[#This Row],[SKS/A]]*1000)*Table18[[#This Row],[ACRES]])/80000</f>
        <v>11.953125</v>
      </c>
      <c r="M15">
        <f ca="1">Table18[[#This Row],[BAGS ]]</f>
        <v>0</v>
      </c>
    </row>
    <row r="16" spans="1:13" ht="15.75" x14ac:dyDescent="0.25">
      <c r="A16" s="568" t="s">
        <v>20</v>
      </c>
      <c r="B16" s="568" t="s">
        <v>21</v>
      </c>
      <c r="C16" s="637" t="s">
        <v>158</v>
      </c>
      <c r="D16" s="570">
        <v>76.5</v>
      </c>
      <c r="E16" s="686">
        <v>12</v>
      </c>
      <c r="F16" s="569" t="s">
        <v>283</v>
      </c>
      <c r="I16">
        <f>Table18[[#This Row],[RATE]]*Table18[[#This Row],[ACRES]]</f>
        <v>0</v>
      </c>
      <c r="J16">
        <f>Table18[[#This Row],['#''S]]/50</f>
        <v>0</v>
      </c>
      <c r="K16">
        <v>12.5</v>
      </c>
      <c r="L16" s="661">
        <f>((Table18[[#This Row],[SKS/A]]*1000)*Table18[[#This Row],[ACRES]])/80000</f>
        <v>11.953125</v>
      </c>
      <c r="M16">
        <f ca="1">Table18[[#This Row],[BAGS ]]</f>
        <v>0</v>
      </c>
    </row>
    <row r="17" spans="1:13" ht="15.75" x14ac:dyDescent="0.25">
      <c r="A17" s="568" t="s">
        <v>20</v>
      </c>
      <c r="B17" s="568" t="s">
        <v>28</v>
      </c>
      <c r="C17" s="637" t="s">
        <v>29</v>
      </c>
      <c r="D17" s="570">
        <v>79.2</v>
      </c>
      <c r="E17" s="686">
        <v>13</v>
      </c>
      <c r="F17" s="569" t="s">
        <v>283</v>
      </c>
      <c r="I17">
        <f>Table18[[#This Row],[RATE]]*Table18[[#This Row],[ACRES]]</f>
        <v>0</v>
      </c>
      <c r="J17">
        <f>Table18[[#This Row],['#''S]]/50</f>
        <v>0</v>
      </c>
      <c r="K17">
        <v>12.5</v>
      </c>
      <c r="L17" s="661">
        <f>((Table18[[#This Row],[SKS/A]]*1000)*Table18[[#This Row],[ACRES]])/80000</f>
        <v>12.375</v>
      </c>
      <c r="M17">
        <f ca="1">Table18[[#This Row],[BAGS ]]</f>
        <v>0</v>
      </c>
    </row>
    <row r="18" spans="1:13" ht="15.75" x14ac:dyDescent="0.25">
      <c r="A18" s="568" t="s">
        <v>20</v>
      </c>
      <c r="B18" s="568" t="s">
        <v>21</v>
      </c>
      <c r="C18" s="637" t="s">
        <v>22</v>
      </c>
      <c r="D18" s="570">
        <v>79.2</v>
      </c>
      <c r="E18" s="686">
        <v>14</v>
      </c>
      <c r="F18" s="569" t="s">
        <v>283</v>
      </c>
      <c r="I18">
        <f>Table18[[#This Row],[RATE]]*Table18[[#This Row],[ACRES]]</f>
        <v>0</v>
      </c>
      <c r="J18">
        <f>Table18[[#This Row],['#''S]]/50</f>
        <v>0</v>
      </c>
      <c r="K18">
        <v>12.5</v>
      </c>
      <c r="L18" s="661">
        <f>((Table18[[#This Row],[SKS/A]]*1000)*Table18[[#This Row],[ACRES]])/80000</f>
        <v>12.375</v>
      </c>
      <c r="M18">
        <f ca="1">Table18[[#This Row],[BAGS ]]</f>
        <v>0</v>
      </c>
    </row>
    <row r="19" spans="1:13" ht="15.75" x14ac:dyDescent="0.25">
      <c r="A19" s="568" t="s">
        <v>20</v>
      </c>
      <c r="B19" s="568" t="s">
        <v>26</v>
      </c>
      <c r="C19" s="637" t="s">
        <v>188</v>
      </c>
      <c r="D19" s="570">
        <v>38.6</v>
      </c>
      <c r="E19" s="686">
        <v>15</v>
      </c>
      <c r="F19" s="569" t="s">
        <v>283</v>
      </c>
      <c r="I19">
        <f>Table18[[#This Row],[RATE]]*Table18[[#This Row],[ACRES]]</f>
        <v>0</v>
      </c>
      <c r="J19">
        <f>Table18[[#This Row],['#''S]]/50</f>
        <v>0</v>
      </c>
      <c r="K19">
        <v>12.5</v>
      </c>
      <c r="L19" s="661">
        <f>((Table18[[#This Row],[SKS/A]]*1000)*Table18[[#This Row],[ACRES]])/80000</f>
        <v>6.03125</v>
      </c>
      <c r="M19">
        <f ca="1">Table18[[#This Row],[BAGS ]]</f>
        <v>0</v>
      </c>
    </row>
    <row r="20" spans="1:13" ht="16.5" customHeight="1" x14ac:dyDescent="0.25">
      <c r="A20" s="651" t="s">
        <v>20</v>
      </c>
      <c r="B20" s="651" t="s">
        <v>26</v>
      </c>
      <c r="C20" s="652" t="s">
        <v>192</v>
      </c>
      <c r="D20" s="570">
        <v>64.2</v>
      </c>
      <c r="E20" s="686">
        <v>16</v>
      </c>
      <c r="F20" s="569" t="s">
        <v>283</v>
      </c>
      <c r="I20">
        <f>Table18[[#This Row],[RATE]]*Table18[[#This Row],[ACRES]]</f>
        <v>0</v>
      </c>
      <c r="J20">
        <f>Table18[[#This Row],['#''S]]/50</f>
        <v>0</v>
      </c>
      <c r="K20">
        <v>12.5</v>
      </c>
      <c r="L20" s="661">
        <f>((Table18[[#This Row],[SKS/A]]*1000)*Table18[[#This Row],[ACRES]])/80000</f>
        <v>10.03125</v>
      </c>
      <c r="M20">
        <f ca="1">Table18[[#This Row],[BAGS ]]</f>
        <v>0</v>
      </c>
    </row>
    <row r="21" spans="1:13" ht="15.75" hidden="1" x14ac:dyDescent="0.25">
      <c r="A21" s="651" t="s">
        <v>20</v>
      </c>
      <c r="B21" s="651" t="s">
        <v>21</v>
      </c>
      <c r="C21" s="652" t="s">
        <v>154</v>
      </c>
      <c r="D21" s="653">
        <v>74.900000000000006</v>
      </c>
      <c r="E21" s="570"/>
      <c r="F21" s="569" t="s">
        <v>285</v>
      </c>
      <c r="I21">
        <f>Table18[[#This Row],[RATE]]*Table18[[#This Row],[ACRES]]</f>
        <v>0</v>
      </c>
      <c r="J21">
        <f>Table18[[#This Row],['#''S]]/50</f>
        <v>0</v>
      </c>
      <c r="L21" s="661">
        <f>((Table18[[#This Row],[SKS/A]]*1000)*Table18[[#This Row],[ACRES]])/80000</f>
        <v>0</v>
      </c>
      <c r="M21">
        <f ca="1">Table18[[#This Row],[BAGS ]]</f>
        <v>0</v>
      </c>
    </row>
    <row r="22" spans="1:13" ht="15.75" hidden="1" x14ac:dyDescent="0.25">
      <c r="A22" s="647" t="s">
        <v>20</v>
      </c>
      <c r="B22" s="647" t="s">
        <v>28</v>
      </c>
      <c r="C22" s="655" t="s">
        <v>214</v>
      </c>
      <c r="D22" s="648">
        <v>79.2</v>
      </c>
      <c r="E22" s="570"/>
      <c r="F22" s="569" t="s">
        <v>285</v>
      </c>
      <c r="I22">
        <f>Table18[[#This Row],[RATE]]*Table18[[#This Row],[ACRES]]</f>
        <v>0</v>
      </c>
      <c r="J22">
        <f>Table18[[#This Row],['#''S]]/50</f>
        <v>0</v>
      </c>
      <c r="L22" s="661">
        <f>((Table18[[#This Row],[SKS/A]]*1000)*Table18[[#This Row],[ACRES]])/80000</f>
        <v>0</v>
      </c>
      <c r="M22">
        <f ca="1">Table18[[#This Row],[BAGS ]]</f>
        <v>0</v>
      </c>
    </row>
    <row r="23" spans="1:13" ht="15.75" hidden="1" x14ac:dyDescent="0.25">
      <c r="A23" s="568" t="s">
        <v>20</v>
      </c>
      <c r="B23" s="568" t="s">
        <v>28</v>
      </c>
      <c r="C23" s="637" t="s">
        <v>222</v>
      </c>
      <c r="D23" s="570">
        <v>50</v>
      </c>
      <c r="E23" s="686"/>
      <c r="F23" s="569" t="s">
        <v>285</v>
      </c>
      <c r="I23">
        <f>Table18[[#This Row],[RATE]]*Table18[[#This Row],[ACRES]]</f>
        <v>0</v>
      </c>
      <c r="J23" s="96">
        <f>Table18[[#This Row],['#''S]]/50</f>
        <v>0</v>
      </c>
      <c r="L23" s="661">
        <f>((Table18[[#This Row],[SKS/A]]*1000)*Table18[[#This Row],[ACRES]])/80000</f>
        <v>0</v>
      </c>
      <c r="M23">
        <f ca="1">Table18[[#This Row],[BAGS ]]</f>
        <v>0</v>
      </c>
    </row>
    <row r="24" spans="1:13" ht="15.75" hidden="1" x14ac:dyDescent="0.25">
      <c r="A24" s="568" t="s">
        <v>20</v>
      </c>
      <c r="B24" s="568" t="s">
        <v>32</v>
      </c>
      <c r="C24" s="637" t="s">
        <v>235</v>
      </c>
      <c r="D24" s="570">
        <v>78.400000000000006</v>
      </c>
      <c r="E24" s="686"/>
      <c r="F24" s="569" t="s">
        <v>285</v>
      </c>
      <c r="I24">
        <f>Table18[[#This Row],[RATE]]*Table18[[#This Row],[ACRES]]</f>
        <v>0</v>
      </c>
      <c r="J24" s="96">
        <f>Table18[[#This Row],['#''S]]/50</f>
        <v>0</v>
      </c>
      <c r="L24" s="661">
        <f>((Table18[[#This Row],[SKS/A]]*1000)*Table18[[#This Row],[ACRES]])/80000</f>
        <v>0</v>
      </c>
      <c r="M24">
        <f ca="1">Table18[[#This Row],[BAGS ]]</f>
        <v>0</v>
      </c>
    </row>
    <row r="25" spans="1:13" ht="15.75" hidden="1" x14ac:dyDescent="0.25">
      <c r="A25" s="568" t="s">
        <v>20</v>
      </c>
      <c r="B25" s="568" t="s">
        <v>32</v>
      </c>
      <c r="C25" s="637" t="s">
        <v>240</v>
      </c>
      <c r="D25" s="570">
        <v>79.099999999999994</v>
      </c>
      <c r="E25" s="686"/>
      <c r="F25" s="569" t="s">
        <v>285</v>
      </c>
      <c r="I25">
        <f>Table18[[#This Row],[RATE]]*Table18[[#This Row],[ACRES]]</f>
        <v>0</v>
      </c>
      <c r="J25" s="96">
        <f>Table18[[#This Row],['#''S]]/50</f>
        <v>0</v>
      </c>
      <c r="L25" s="661">
        <f>((Table18[[#This Row],[SKS/A]]*1000)*Table18[[#This Row],[ACRES]])/80000</f>
        <v>0</v>
      </c>
      <c r="M25">
        <f ca="1">Table18[[#This Row],[BAGS ]]</f>
        <v>0</v>
      </c>
    </row>
    <row r="26" spans="1:13" ht="15.75" hidden="1" x14ac:dyDescent="0.25">
      <c r="A26" s="568" t="s">
        <v>20</v>
      </c>
      <c r="B26" s="568" t="s">
        <v>35</v>
      </c>
      <c r="C26" s="637" t="s">
        <v>755</v>
      </c>
      <c r="D26" s="570" t="s">
        <v>586</v>
      </c>
      <c r="E26" s="686"/>
      <c r="F26" s="569" t="s">
        <v>285</v>
      </c>
      <c r="I26" t="e">
        <f>Table18[[#This Row],[RATE]]*Table18[[#This Row],[ACRES]]</f>
        <v>#VALUE!</v>
      </c>
      <c r="J26" s="96" t="e">
        <f>Table18[[#This Row],['#''S]]/50</f>
        <v>#VALUE!</v>
      </c>
      <c r="L26" s="661" t="e">
        <f>((Table18[[#This Row],[SKS/A]]*1000)*Table18[[#This Row],[ACRES]])/80000</f>
        <v>#VALUE!</v>
      </c>
      <c r="M26">
        <f ca="1">Table18[[#This Row],[BAGS ]]</f>
        <v>0</v>
      </c>
    </row>
    <row r="27" spans="1:13" ht="15.75" hidden="1" x14ac:dyDescent="0.25">
      <c r="A27" s="568" t="s">
        <v>20</v>
      </c>
      <c r="B27" s="568" t="s">
        <v>35</v>
      </c>
      <c r="C27" s="637" t="s">
        <v>267</v>
      </c>
      <c r="D27" s="570">
        <v>73.599999999999994</v>
      </c>
      <c r="E27" s="686"/>
      <c r="F27" s="569" t="s">
        <v>285</v>
      </c>
      <c r="I27">
        <f>Table18[[#This Row],[RATE]]*Table18[[#This Row],[ACRES]]</f>
        <v>0</v>
      </c>
      <c r="J27" s="96">
        <f>Table18[[#This Row],['#''S]]/50</f>
        <v>0</v>
      </c>
      <c r="L27" s="661">
        <f>((Table18[[#This Row],[SKS/A]]*1000)*Table18[[#This Row],[ACRES]])/80000</f>
        <v>0</v>
      </c>
      <c r="M27">
        <f ca="1">Table18[[#This Row],[BAGS ]]</f>
        <v>0</v>
      </c>
    </row>
    <row r="28" spans="1:13" ht="15.75" hidden="1" x14ac:dyDescent="0.25">
      <c r="A28" s="568" t="s">
        <v>20</v>
      </c>
      <c r="B28" s="568" t="s">
        <v>80</v>
      </c>
      <c r="C28" s="637" t="s">
        <v>756</v>
      </c>
      <c r="D28" s="570">
        <v>78.8</v>
      </c>
      <c r="E28" s="686"/>
      <c r="F28" s="569" t="s">
        <v>285</v>
      </c>
      <c r="I28">
        <f>Table18[[#This Row],[RATE]]*Table18[[#This Row],[ACRES]]</f>
        <v>0</v>
      </c>
      <c r="J28" s="96">
        <f>Table18[[#This Row],['#''S]]/50</f>
        <v>0</v>
      </c>
      <c r="L28" s="661">
        <f>((Table18[[#This Row],[SKS/A]]*1000)*Table18[[#This Row],[ACRES]])/80000</f>
        <v>0</v>
      </c>
      <c r="M28">
        <f ca="1">Table18[[#This Row],[BAGS ]]</f>
        <v>0</v>
      </c>
    </row>
    <row r="29" spans="1:13" ht="15.75" hidden="1" x14ac:dyDescent="0.25">
      <c r="A29" s="568" t="s">
        <v>20</v>
      </c>
      <c r="B29" s="568" t="s">
        <v>80</v>
      </c>
      <c r="C29" s="637" t="s">
        <v>281</v>
      </c>
      <c r="D29" s="570">
        <v>78.900000000000006</v>
      </c>
      <c r="E29" s="570"/>
      <c r="F29" s="569" t="s">
        <v>285</v>
      </c>
      <c r="I29">
        <f>Table18[[#This Row],[RATE]]*Table18[[#This Row],[ACRES]]</f>
        <v>0</v>
      </c>
      <c r="J29">
        <f>Table18[[#This Row],['#''S]]/50</f>
        <v>0</v>
      </c>
      <c r="L29" s="661">
        <f>((Table18[[#This Row],[SKS/A]]*1000)*Table18[[#This Row],[ACRES]])/80000</f>
        <v>0</v>
      </c>
      <c r="M29">
        <f ca="1">Table18[[#This Row],[BAGS ]]</f>
        <v>0</v>
      </c>
    </row>
    <row r="30" spans="1:13" ht="15.75" hidden="1" x14ac:dyDescent="0.25">
      <c r="A30" s="568" t="s">
        <v>20</v>
      </c>
      <c r="B30" s="568" t="s">
        <v>32</v>
      </c>
      <c r="C30" s="568" t="s">
        <v>252</v>
      </c>
      <c r="D30" s="570">
        <v>98.77</v>
      </c>
      <c r="E30" s="686">
        <v>7</v>
      </c>
      <c r="F30" s="569" t="s">
        <v>289</v>
      </c>
      <c r="I30">
        <f>Table18[[#This Row],[RATE]]*Table18[[#This Row],[ACRES]]</f>
        <v>0</v>
      </c>
      <c r="J30">
        <f>Table18[[#This Row],['#''S]]/50</f>
        <v>0</v>
      </c>
      <c r="K30">
        <v>14</v>
      </c>
      <c r="L30" s="661">
        <f>((Table18[[#This Row],[SKS/A]]*1000)*Table18[[#This Row],[ACRES]])/80000</f>
        <v>17.284749999999999</v>
      </c>
      <c r="M30">
        <f ca="1">Table18[[#This Row],[BAGS ]]</f>
        <v>0</v>
      </c>
    </row>
    <row r="31" spans="1:13" ht="15.75" hidden="1" x14ac:dyDescent="0.25">
      <c r="A31" s="568" t="s">
        <v>20</v>
      </c>
      <c r="B31" s="568" t="s">
        <v>21</v>
      </c>
      <c r="C31" s="637" t="s">
        <v>162</v>
      </c>
      <c r="D31" s="570">
        <v>62.85</v>
      </c>
      <c r="E31" s="570"/>
      <c r="F31" s="569" t="s">
        <v>289</v>
      </c>
      <c r="I31">
        <f>Table18[[#This Row],[RATE]]*Table18[[#This Row],[ACRES]]</f>
        <v>0</v>
      </c>
      <c r="J31">
        <f>Table18[[#This Row],['#''S]]/50</f>
        <v>0</v>
      </c>
      <c r="L31" s="661">
        <f>((Table18[[#This Row],[SKS/A]]*1000)*Table18[[#This Row],[ACRES]])/80000</f>
        <v>0</v>
      </c>
      <c r="M31">
        <f ca="1">Table18[[#This Row],[BAGS ]]</f>
        <v>0</v>
      </c>
    </row>
    <row r="32" spans="1:13" ht="15.75" hidden="1" x14ac:dyDescent="0.25">
      <c r="A32" s="568" t="s">
        <v>20</v>
      </c>
      <c r="B32" s="568" t="s">
        <v>32</v>
      </c>
      <c r="C32" s="568" t="s">
        <v>250</v>
      </c>
      <c r="D32" s="570">
        <v>68.260000000000005</v>
      </c>
      <c r="E32" s="686">
        <v>6</v>
      </c>
      <c r="F32" s="569" t="s">
        <v>291</v>
      </c>
      <c r="I32">
        <f>Table18[[#This Row],[RATE]]*Table18[[#This Row],[ACRES]]</f>
        <v>0</v>
      </c>
      <c r="J32">
        <f>Table18[[#This Row],['#''S]]/50</f>
        <v>0</v>
      </c>
      <c r="K32">
        <v>14</v>
      </c>
      <c r="L32" s="661">
        <f>((Table18[[#This Row],[SKS/A]]*1000)*Table18[[#This Row],[ACRES]])/80000</f>
        <v>11.945500000000001</v>
      </c>
      <c r="M32">
        <f ca="1">Table18[[#This Row],[BAGS ]]</f>
        <v>0</v>
      </c>
    </row>
    <row r="33" spans="1:13" ht="15.75" hidden="1" x14ac:dyDescent="0.25">
      <c r="A33" s="568" t="s">
        <v>20</v>
      </c>
      <c r="B33" s="568" t="s">
        <v>21</v>
      </c>
      <c r="C33" s="637" t="s">
        <v>166</v>
      </c>
      <c r="D33" s="570">
        <v>79.849999999999994</v>
      </c>
      <c r="E33" s="686">
        <v>2</v>
      </c>
      <c r="F33" s="569" t="s">
        <v>291</v>
      </c>
      <c r="I33">
        <f>Table18[[#This Row],[RATE]]*Table18[[#This Row],[ACRES]]</f>
        <v>0</v>
      </c>
      <c r="J33">
        <f>Table18[[#This Row],['#''S]]/50</f>
        <v>0</v>
      </c>
      <c r="K33">
        <v>14</v>
      </c>
      <c r="L33" s="661">
        <f>((Table18[[#This Row],[SKS/A]]*1000)*Table18[[#This Row],[ACRES]])/80000</f>
        <v>13.973750000000001</v>
      </c>
      <c r="M33">
        <f ca="1">Table18[[#This Row],[BAGS ]]</f>
        <v>0</v>
      </c>
    </row>
    <row r="34" spans="1:13" ht="15.75" hidden="1" x14ac:dyDescent="0.25">
      <c r="A34" s="568" t="s">
        <v>20</v>
      </c>
      <c r="B34" s="568" t="s">
        <v>35</v>
      </c>
      <c r="C34" s="637" t="s">
        <v>270</v>
      </c>
      <c r="D34" s="570">
        <v>78.849999999999994</v>
      </c>
      <c r="E34" s="686">
        <v>13</v>
      </c>
      <c r="F34" s="569" t="s">
        <v>291</v>
      </c>
      <c r="I34">
        <f>Table18[[#This Row],[RATE]]*Table18[[#This Row],[ACRES]]</f>
        <v>0</v>
      </c>
      <c r="J34" s="96">
        <f>Table18[[#This Row],['#''S]]/50</f>
        <v>0</v>
      </c>
      <c r="K34">
        <v>12.5</v>
      </c>
      <c r="L34" s="661">
        <f>((Table18[[#This Row],[SKS/A]]*1000)*Table18[[#This Row],[ACRES]])/80000</f>
        <v>12.320312499999998</v>
      </c>
      <c r="M34">
        <f ca="1">Table18[[#This Row],[BAGS ]]</f>
        <v>0</v>
      </c>
    </row>
    <row r="35" spans="1:13" ht="15.75" hidden="1" x14ac:dyDescent="0.25">
      <c r="A35" s="568" t="s">
        <v>20</v>
      </c>
      <c r="B35" s="568" t="s">
        <v>21</v>
      </c>
      <c r="C35" s="637" t="s">
        <v>149</v>
      </c>
      <c r="D35" s="570">
        <v>78.599999999999994</v>
      </c>
      <c r="E35" s="570"/>
      <c r="F35" s="569" t="s">
        <v>291</v>
      </c>
      <c r="I35">
        <f>Table18[[#This Row],[RATE]]*Table18[[#This Row],[ACRES]]</f>
        <v>0</v>
      </c>
      <c r="J35">
        <f>Table18[[#This Row],['#''S]]/50</f>
        <v>0</v>
      </c>
      <c r="L35" s="661">
        <f>((Table18[[#This Row],[SKS/A]]*1000)*Table18[[#This Row],[ACRES]])/80000</f>
        <v>0</v>
      </c>
      <c r="M35">
        <f ca="1">Table18[[#This Row],[BAGS ]]</f>
        <v>0</v>
      </c>
    </row>
    <row r="36" spans="1:13" ht="15.75" hidden="1" x14ac:dyDescent="0.25">
      <c r="A36" s="568" t="s">
        <v>20</v>
      </c>
      <c r="B36" s="568" t="s">
        <v>28</v>
      </c>
      <c r="C36" s="568" t="s">
        <v>610</v>
      </c>
      <c r="D36" s="570">
        <v>78.75</v>
      </c>
      <c r="E36" s="570"/>
      <c r="F36" s="569" t="s">
        <v>291</v>
      </c>
      <c r="I36">
        <f>Table18[[#This Row],[RATE]]*Table18[[#This Row],[ACRES]]</f>
        <v>0</v>
      </c>
      <c r="J36">
        <f>Table18[[#This Row],['#''S]]/50</f>
        <v>0</v>
      </c>
      <c r="L36" s="661">
        <f>((Table18[[#This Row],[SKS/A]]*1000)*Table18[[#This Row],[ACRES]])/80000</f>
        <v>0</v>
      </c>
      <c r="M36">
        <f ca="1">Table18[[#This Row],[BAGS ]]</f>
        <v>0</v>
      </c>
    </row>
    <row r="37" spans="1:13" ht="15.75" hidden="1" x14ac:dyDescent="0.25">
      <c r="A37" s="651" t="s">
        <v>20</v>
      </c>
      <c r="B37" s="651" t="s">
        <v>26</v>
      </c>
      <c r="C37" s="652" t="s">
        <v>639</v>
      </c>
      <c r="D37" s="570">
        <v>78</v>
      </c>
      <c r="E37" s="570"/>
      <c r="F37" s="569" t="s">
        <v>291</v>
      </c>
      <c r="I37">
        <f>Table18[[#This Row],[RATE]]*Table18[[#This Row],[ACRES]]</f>
        <v>0</v>
      </c>
      <c r="J37">
        <f>Table18[[#This Row],['#''S]]/50</f>
        <v>0</v>
      </c>
      <c r="L37" s="661">
        <f>((Table18[[#This Row],[SKS/A]]*1000)*Table18[[#This Row],[ACRES]])/80000</f>
        <v>0</v>
      </c>
      <c r="M37">
        <f ca="1">Table18[[#This Row],[BAGS ]]</f>
        <v>0</v>
      </c>
    </row>
    <row r="38" spans="1:13" ht="15.75" hidden="1" x14ac:dyDescent="0.25">
      <c r="A38" s="651" t="s">
        <v>20</v>
      </c>
      <c r="B38" s="651" t="s">
        <v>28</v>
      </c>
      <c r="C38" s="652" t="s">
        <v>218</v>
      </c>
      <c r="D38" s="570">
        <v>79.3</v>
      </c>
      <c r="E38" s="570"/>
      <c r="F38" s="569" t="s">
        <v>291</v>
      </c>
      <c r="I38">
        <f>Table18[[#This Row],[RATE]]*Table18[[#This Row],[ACRES]]</f>
        <v>0</v>
      </c>
      <c r="J38">
        <f>Table18[[#This Row],['#''S]]/50</f>
        <v>0</v>
      </c>
      <c r="L38" s="661">
        <f>((Table18[[#This Row],[SKS/A]]*1000)*Table18[[#This Row],[ACRES]])/80000</f>
        <v>0</v>
      </c>
      <c r="M38">
        <f ca="1">Table18[[#This Row],[BAGS ]]</f>
        <v>0</v>
      </c>
    </row>
    <row r="39" spans="1:13" ht="15.75" hidden="1" x14ac:dyDescent="0.25">
      <c r="A39" s="651" t="s">
        <v>20</v>
      </c>
      <c r="B39" s="651" t="s">
        <v>28</v>
      </c>
      <c r="C39" s="652" t="s">
        <v>225</v>
      </c>
      <c r="D39" s="570">
        <v>78.7</v>
      </c>
      <c r="E39" s="570"/>
      <c r="F39" s="569" t="s">
        <v>291</v>
      </c>
      <c r="I39">
        <f>Table18[[#This Row],[RATE]]*Table18[[#This Row],[ACRES]]</f>
        <v>0</v>
      </c>
      <c r="J39">
        <f>Table18[[#This Row],['#''S]]/50</f>
        <v>0</v>
      </c>
      <c r="L39" s="661">
        <f>((Table18[[#This Row],[SKS/A]]*1000)*Table18[[#This Row],[ACRES]])/80000</f>
        <v>0</v>
      </c>
      <c r="M39">
        <f ca="1">Table18[[#This Row],[BAGS ]]</f>
        <v>0</v>
      </c>
    </row>
    <row r="40" spans="1:13" ht="15.75" hidden="1" x14ac:dyDescent="0.25">
      <c r="A40" s="647" t="s">
        <v>20</v>
      </c>
      <c r="B40" s="647" t="s">
        <v>32</v>
      </c>
      <c r="C40" s="655" t="s">
        <v>239</v>
      </c>
      <c r="D40" s="570">
        <v>79.099999999999994</v>
      </c>
      <c r="E40" s="570"/>
      <c r="F40" s="569" t="s">
        <v>291</v>
      </c>
      <c r="I40">
        <f>Table18[[#This Row],[RATE]]*Table18[[#This Row],[ACRES]]</f>
        <v>0</v>
      </c>
      <c r="J40">
        <f>Table18[[#This Row],['#''S]]/50</f>
        <v>0</v>
      </c>
      <c r="L40" s="661">
        <f>((Table18[[#This Row],[SKS/A]]*1000)*Table18[[#This Row],[ACRES]])/80000</f>
        <v>0</v>
      </c>
      <c r="M40">
        <f ca="1">Table18[[#This Row],[BAGS ]]</f>
        <v>0</v>
      </c>
    </row>
    <row r="41" spans="1:13" ht="15.75" hidden="1" x14ac:dyDescent="0.25">
      <c r="A41" s="568" t="s">
        <v>20</v>
      </c>
      <c r="B41" s="568" t="s">
        <v>32</v>
      </c>
      <c r="C41" s="637" t="s">
        <v>247</v>
      </c>
      <c r="D41" s="570">
        <v>77.5</v>
      </c>
      <c r="E41" s="570"/>
      <c r="F41" s="569" t="s">
        <v>291</v>
      </c>
      <c r="I41">
        <f>Table18[[#This Row],[RATE]]*Table18[[#This Row],[ACRES]]</f>
        <v>0</v>
      </c>
      <c r="J41">
        <f>Table18[[#This Row],['#''S]]/50</f>
        <v>0</v>
      </c>
      <c r="L41" s="661">
        <f>((Table18[[#This Row],[SKS/A]]*1000)*Table18[[#This Row],[ACRES]])/80000</f>
        <v>0</v>
      </c>
      <c r="M41">
        <f ca="1">Table18[[#This Row],[BAGS ]]</f>
        <v>0</v>
      </c>
    </row>
    <row r="42" spans="1:13" ht="15.75" hidden="1" x14ac:dyDescent="0.25">
      <c r="A42" s="568" t="s">
        <v>20</v>
      </c>
      <c r="B42" s="568" t="s">
        <v>32</v>
      </c>
      <c r="C42" s="568" t="s">
        <v>96</v>
      </c>
      <c r="D42" s="570">
        <v>117.25</v>
      </c>
      <c r="E42" s="570"/>
      <c r="F42" s="569" t="s">
        <v>291</v>
      </c>
      <c r="I42">
        <f>Table18[[#This Row],[RATE]]*Table18[[#This Row],[ACRES]]</f>
        <v>0</v>
      </c>
      <c r="J42">
        <f>Table18[[#This Row],['#''S]]/50</f>
        <v>0</v>
      </c>
      <c r="L42" s="661">
        <f>((Table18[[#This Row],[SKS/A]]*1000)*Table18[[#This Row],[ACRES]])/80000</f>
        <v>0</v>
      </c>
      <c r="M42">
        <f ca="1">Table18[[#This Row],[BAGS ]]</f>
        <v>0</v>
      </c>
    </row>
    <row r="43" spans="1:13" ht="15.75" hidden="1" x14ac:dyDescent="0.25">
      <c r="A43" s="568" t="s">
        <v>20</v>
      </c>
      <c r="B43" s="568" t="s">
        <v>35</v>
      </c>
      <c r="C43" s="637" t="s">
        <v>263</v>
      </c>
      <c r="D43" s="570">
        <v>78.39</v>
      </c>
      <c r="E43" s="570"/>
      <c r="F43" s="569" t="s">
        <v>291</v>
      </c>
      <c r="I43">
        <f>Table18[[#This Row],[RATE]]*Table18[[#This Row],[ACRES]]</f>
        <v>0</v>
      </c>
      <c r="J43">
        <f>Table18[[#This Row],['#''S]]/50</f>
        <v>0</v>
      </c>
      <c r="L43" s="661">
        <f>((Table18[[#This Row],[SKS/A]]*1000)*Table18[[#This Row],[ACRES]])/80000</f>
        <v>0</v>
      </c>
      <c r="M43">
        <f ca="1">Table18[[#This Row],[BAGS ]]</f>
        <v>0</v>
      </c>
    </row>
    <row r="44" spans="1:13" ht="15.75" hidden="1" x14ac:dyDescent="0.25">
      <c r="A44" s="568" t="s">
        <v>20</v>
      </c>
      <c r="B44" s="568" t="s">
        <v>80</v>
      </c>
      <c r="C44" s="637" t="s">
        <v>280</v>
      </c>
      <c r="D44" s="570">
        <v>78.900000000000006</v>
      </c>
      <c r="E44" s="570"/>
      <c r="F44" s="569" t="s">
        <v>291</v>
      </c>
      <c r="I44">
        <f>Table18[[#This Row],[RATE]]*Table18[[#This Row],[ACRES]]</f>
        <v>0</v>
      </c>
      <c r="J44">
        <f>Table18[[#This Row],['#''S]]/50</f>
        <v>0</v>
      </c>
      <c r="L44" s="661">
        <f>((Table18[[#This Row],[SKS/A]]*1000)*Table18[[#This Row],[ACRES]])/80000</f>
        <v>0</v>
      </c>
      <c r="M44">
        <f ca="1">Table18[[#This Row],[BAGS ]]</f>
        <v>0</v>
      </c>
    </row>
    <row r="45" spans="1:13" ht="15.75" hidden="1" x14ac:dyDescent="0.25">
      <c r="A45" s="645" t="s">
        <v>20</v>
      </c>
      <c r="B45" s="645" t="s">
        <v>26</v>
      </c>
      <c r="C45" s="645" t="s">
        <v>171</v>
      </c>
      <c r="D45" s="570">
        <v>64.8</v>
      </c>
      <c r="E45" s="570"/>
      <c r="F45" s="569" t="s">
        <v>292</v>
      </c>
      <c r="I45">
        <f>Table18[[#This Row],[RATE]]*Table18[[#This Row],[ACRES]]</f>
        <v>0</v>
      </c>
      <c r="J45">
        <f>Table18[[#This Row],['#''S]]/50</f>
        <v>0</v>
      </c>
      <c r="L45" s="661">
        <f>((Table18[[#This Row],[SKS/A]]*1000)*Table18[[#This Row],[ACRES]])/80000</f>
        <v>0</v>
      </c>
      <c r="M45">
        <f ca="1">Table18[[#This Row],[BAGS ]]</f>
        <v>0</v>
      </c>
    </row>
    <row r="46" spans="1:13" ht="15.75" hidden="1" x14ac:dyDescent="0.25">
      <c r="A46" s="647" t="s">
        <v>20</v>
      </c>
      <c r="B46" s="647" t="s">
        <v>26</v>
      </c>
      <c r="C46" s="655" t="s">
        <v>640</v>
      </c>
      <c r="D46" s="648">
        <v>72</v>
      </c>
      <c r="E46" s="686"/>
      <c r="F46" s="569" t="s">
        <v>292</v>
      </c>
      <c r="I46">
        <f>Table18[[#This Row],[RATE]]*Table18[[#This Row],[ACRES]]</f>
        <v>0</v>
      </c>
      <c r="J46">
        <f>Table18[[#This Row],['#''S]]/50</f>
        <v>0</v>
      </c>
      <c r="L46" s="661">
        <f>((Table18[[#This Row],[SKS/A]]*1000)*Table18[[#This Row],[ACRES]])/80000</f>
        <v>0</v>
      </c>
      <c r="M46">
        <f ca="1">Table18[[#This Row],[BAGS ]]</f>
        <v>0</v>
      </c>
    </row>
    <row r="47" spans="1:13" ht="15.75" hidden="1" x14ac:dyDescent="0.25">
      <c r="A47" s="568" t="s">
        <v>20</v>
      </c>
      <c r="B47" s="568" t="s">
        <v>26</v>
      </c>
      <c r="C47" s="637" t="s">
        <v>625</v>
      </c>
      <c r="D47" s="570">
        <v>40.9</v>
      </c>
      <c r="E47" s="686"/>
      <c r="F47" s="569" t="s">
        <v>292</v>
      </c>
      <c r="I47">
        <f>Table18[[#This Row],[RATE]]*Table18[[#This Row],[ACRES]]</f>
        <v>0</v>
      </c>
      <c r="J47" s="96">
        <f>Table18[[#This Row],['#''S]]/50</f>
        <v>0</v>
      </c>
      <c r="L47" s="661">
        <f>((Table18[[#This Row],[SKS/A]]*1000)*Table18[[#This Row],[ACRES]])/80000</f>
        <v>0</v>
      </c>
      <c r="M47">
        <f ca="1">Table18[[#This Row],[BAGS ]]</f>
        <v>0</v>
      </c>
    </row>
    <row r="48" spans="1:13" ht="15.75" hidden="1" x14ac:dyDescent="0.25">
      <c r="A48" s="568" t="s">
        <v>20</v>
      </c>
      <c r="B48" s="568" t="s">
        <v>26</v>
      </c>
      <c r="C48" s="637" t="s">
        <v>626</v>
      </c>
      <c r="D48" s="570">
        <v>39.1</v>
      </c>
      <c r="E48" s="686"/>
      <c r="F48" s="569" t="s">
        <v>292</v>
      </c>
      <c r="I48">
        <f>Table18[[#This Row],[RATE]]*Table18[[#This Row],[ACRES]]</f>
        <v>0</v>
      </c>
      <c r="J48">
        <f>Table18[[#This Row],['#''S]]/50</f>
        <v>0</v>
      </c>
      <c r="L48" s="661">
        <f>((Table18[[#This Row],[SKS/A]]*1000)*Table18[[#This Row],[ACRES]])/80000</f>
        <v>0</v>
      </c>
      <c r="M48">
        <f ca="1">Table18[[#This Row],[BAGS ]]</f>
        <v>0</v>
      </c>
    </row>
    <row r="49" spans="1:13" ht="15.75" hidden="1" x14ac:dyDescent="0.25">
      <c r="A49" s="568" t="s">
        <v>20</v>
      </c>
      <c r="B49" s="568" t="s">
        <v>21</v>
      </c>
      <c r="C49" s="637" t="s">
        <v>160</v>
      </c>
      <c r="D49" s="570">
        <v>48.2</v>
      </c>
      <c r="E49" s="570"/>
      <c r="F49" s="569" t="s">
        <v>294</v>
      </c>
      <c r="I49">
        <f>Table18[[#This Row],[RATE]]*Table18[[#This Row],[ACRES]]</f>
        <v>0</v>
      </c>
      <c r="J49">
        <f>Table18[[#This Row],['#''S]]/50</f>
        <v>0</v>
      </c>
      <c r="L49" s="661">
        <f>((Table18[[#This Row],[SKS/A]]*1000)*Table18[[#This Row],[ACRES]])/80000</f>
        <v>0</v>
      </c>
      <c r="M49">
        <f ca="1">Table18[[#This Row],[BAGS ]]</f>
        <v>0</v>
      </c>
    </row>
    <row r="50" spans="1:13" ht="15.75" hidden="1" x14ac:dyDescent="0.25">
      <c r="A50" s="568" t="s">
        <v>20</v>
      </c>
      <c r="B50" s="568" t="s">
        <v>26</v>
      </c>
      <c r="C50" s="568" t="s">
        <v>180</v>
      </c>
      <c r="D50" s="570">
        <v>44.69</v>
      </c>
      <c r="E50" s="570"/>
      <c r="F50" s="569" t="s">
        <v>294</v>
      </c>
      <c r="I50">
        <f>Table18[[#This Row],[RATE]]*Table18[[#This Row],[ACRES]]</f>
        <v>0</v>
      </c>
      <c r="J50">
        <f>Table18[[#This Row],['#''S]]/50</f>
        <v>0</v>
      </c>
      <c r="L50" s="661">
        <f>((Table18[[#This Row],[SKS/A]]*1000)*Table18[[#This Row],[ACRES]])/80000</f>
        <v>0</v>
      </c>
      <c r="M50">
        <f ca="1">Table18[[#This Row],[BAGS ]]</f>
        <v>0</v>
      </c>
    </row>
    <row r="51" spans="1:13" ht="15.75" hidden="1" x14ac:dyDescent="0.25">
      <c r="A51" s="645" t="s">
        <v>20</v>
      </c>
      <c r="B51" s="645" t="s">
        <v>26</v>
      </c>
      <c r="C51" s="645" t="s">
        <v>182</v>
      </c>
      <c r="D51" s="646">
        <v>160</v>
      </c>
      <c r="E51" s="570"/>
      <c r="F51" s="569" t="s">
        <v>294</v>
      </c>
      <c r="I51">
        <f>Table18[[#This Row],[RATE]]*Table18[[#This Row],[ACRES]]</f>
        <v>0</v>
      </c>
      <c r="J51">
        <f>Table18[[#This Row],['#''S]]/50</f>
        <v>0</v>
      </c>
      <c r="L51" s="661">
        <f>((Table18[[#This Row],[SKS/A]]*1000)*Table18[[#This Row],[ACRES]])/80000</f>
        <v>0</v>
      </c>
      <c r="M51">
        <f ca="1">Table18[[#This Row],[BAGS ]]</f>
        <v>0</v>
      </c>
    </row>
    <row r="52" spans="1:13" ht="15.75" hidden="1" x14ac:dyDescent="0.25">
      <c r="A52" s="647" t="s">
        <v>20</v>
      </c>
      <c r="B52" s="647" t="s">
        <v>26</v>
      </c>
      <c r="C52" s="647" t="s">
        <v>193</v>
      </c>
      <c r="D52" s="570">
        <v>107.9</v>
      </c>
      <c r="E52" s="570"/>
      <c r="F52" s="569" t="s">
        <v>294</v>
      </c>
      <c r="I52">
        <f>Table18[[#This Row],[RATE]]*Table18[[#This Row],[ACRES]]</f>
        <v>0</v>
      </c>
      <c r="J52">
        <f>Table18[[#This Row],['#''S]]/50</f>
        <v>0</v>
      </c>
      <c r="L52" s="661">
        <f>((Table18[[#This Row],[SKS/A]]*1000)*Table18[[#This Row],[ACRES]])/80000</f>
        <v>0</v>
      </c>
      <c r="M52">
        <f ca="1">Table18[[#This Row],[BAGS ]]</f>
        <v>0</v>
      </c>
    </row>
    <row r="53" spans="1:13" ht="15.75" hidden="1" x14ac:dyDescent="0.25">
      <c r="A53" s="568" t="s">
        <v>20</v>
      </c>
      <c r="B53" s="568" t="s">
        <v>21</v>
      </c>
      <c r="C53" s="637" t="s">
        <v>132</v>
      </c>
      <c r="D53" s="570">
        <v>79.25</v>
      </c>
      <c r="E53" s="570"/>
      <c r="F53" s="569" t="s">
        <v>295</v>
      </c>
      <c r="I53">
        <f>Table18[[#This Row],[RATE]]*Table18[[#This Row],[ACRES]]</f>
        <v>0</v>
      </c>
      <c r="J53">
        <f>Table18[[#This Row],['#''S]]/50</f>
        <v>0</v>
      </c>
      <c r="L53" s="661">
        <f>((Table18[[#This Row],[SKS/A]]*1000)*Table18[[#This Row],[ACRES]])/80000</f>
        <v>0</v>
      </c>
      <c r="M53">
        <f ca="1">Table18[[#This Row],[BAGS ]]</f>
        <v>0</v>
      </c>
    </row>
    <row r="54" spans="1:13" ht="15.75" hidden="1" x14ac:dyDescent="0.25">
      <c r="A54" s="568" t="s">
        <v>20</v>
      </c>
      <c r="B54" s="568" t="s">
        <v>21</v>
      </c>
      <c r="C54" s="637" t="s">
        <v>153</v>
      </c>
      <c r="D54" s="570">
        <v>74.900000000000006</v>
      </c>
      <c r="E54" s="570"/>
      <c r="F54" s="569" t="s">
        <v>295</v>
      </c>
      <c r="I54">
        <f>Table18[[#This Row],[RATE]]*Table18[[#This Row],[ACRES]]</f>
        <v>0</v>
      </c>
      <c r="J54">
        <f>Table18[[#This Row],['#''S]]/50</f>
        <v>0</v>
      </c>
      <c r="L54" s="661">
        <f>((Table18[[#This Row],[SKS/A]]*1000)*Table18[[#This Row],[ACRES]])/80000</f>
        <v>0</v>
      </c>
      <c r="M54">
        <f ca="1">Table18[[#This Row],[BAGS ]]</f>
        <v>0</v>
      </c>
    </row>
    <row r="55" spans="1:13" ht="15.75" hidden="1" x14ac:dyDescent="0.25">
      <c r="A55" s="568" t="s">
        <v>20</v>
      </c>
      <c r="B55" s="568" t="s">
        <v>28</v>
      </c>
      <c r="C55" s="637" t="s">
        <v>219</v>
      </c>
      <c r="D55" s="570">
        <v>79.400000000000006</v>
      </c>
      <c r="E55" s="570"/>
      <c r="F55" s="569" t="s">
        <v>295</v>
      </c>
      <c r="I55">
        <f>Table18[[#This Row],[RATE]]*Table18[[#This Row],[ACRES]]</f>
        <v>0</v>
      </c>
      <c r="J55">
        <f>Table18[[#This Row],['#''S]]/50</f>
        <v>0</v>
      </c>
      <c r="L55" s="661">
        <f>((Table18[[#This Row],[SKS/A]]*1000)*Table18[[#This Row],[ACRES]])/80000</f>
        <v>0</v>
      </c>
      <c r="M55">
        <f ca="1">Table18[[#This Row],[BAGS ]]</f>
        <v>0</v>
      </c>
    </row>
    <row r="56" spans="1:13" ht="15.75" hidden="1" x14ac:dyDescent="0.25">
      <c r="A56" s="568" t="s">
        <v>20</v>
      </c>
      <c r="B56" s="568" t="s">
        <v>32</v>
      </c>
      <c r="C56" s="637" t="s">
        <v>236</v>
      </c>
      <c r="D56" s="570">
        <v>78.400000000000006</v>
      </c>
      <c r="E56" s="570"/>
      <c r="F56" s="569" t="s">
        <v>295</v>
      </c>
      <c r="I56">
        <f>Table18[[#This Row],[RATE]]*Table18[[#This Row],[ACRES]]</f>
        <v>0</v>
      </c>
      <c r="J56">
        <f>Table18[[#This Row],['#''S]]/50</f>
        <v>0</v>
      </c>
      <c r="L56" s="661">
        <f>((Table18[[#This Row],[SKS/A]]*1000)*Table18[[#This Row],[ACRES]])/80000</f>
        <v>0</v>
      </c>
      <c r="M56">
        <f ca="1">Table18[[#This Row],[BAGS ]]</f>
        <v>0</v>
      </c>
    </row>
    <row r="57" spans="1:13" ht="15.75" hidden="1" x14ac:dyDescent="0.25">
      <c r="A57" s="568" t="s">
        <v>20</v>
      </c>
      <c r="B57" s="568" t="s">
        <v>32</v>
      </c>
      <c r="C57" s="637" t="s">
        <v>243</v>
      </c>
      <c r="D57" s="570">
        <v>79.099999999999994</v>
      </c>
      <c r="E57" s="570"/>
      <c r="F57" s="569" t="s">
        <v>295</v>
      </c>
      <c r="I57">
        <f>Table18[[#This Row],[RATE]]*Table18[[#This Row],[ACRES]]</f>
        <v>0</v>
      </c>
      <c r="J57">
        <f>Table18[[#This Row],['#''S]]/50</f>
        <v>0</v>
      </c>
      <c r="L57" s="661">
        <f>((Table18[[#This Row],[SKS/A]]*1000)*Table18[[#This Row],[ACRES]])/80000</f>
        <v>0</v>
      </c>
      <c r="M57">
        <f ca="1">Table18[[#This Row],[BAGS ]]</f>
        <v>0</v>
      </c>
    </row>
    <row r="58" spans="1:13" ht="15.75" hidden="1" x14ac:dyDescent="0.25">
      <c r="A58" s="568" t="s">
        <v>20</v>
      </c>
      <c r="B58" s="568" t="s">
        <v>35</v>
      </c>
      <c r="C58" s="568" t="s">
        <v>258</v>
      </c>
      <c r="D58" s="570">
        <v>25.67</v>
      </c>
      <c r="E58" s="686"/>
      <c r="F58" s="569" t="s">
        <v>295</v>
      </c>
      <c r="I58">
        <f>Table18[[#This Row],[RATE]]*Table18[[#This Row],[ACRES]]</f>
        <v>0</v>
      </c>
      <c r="J58" s="96">
        <f>Table18[[#This Row],['#''S]]/50</f>
        <v>0</v>
      </c>
      <c r="L58" s="661">
        <f>((Table18[[#This Row],[SKS/A]]*1000)*Table18[[#This Row],[ACRES]])/80000</f>
        <v>0</v>
      </c>
      <c r="M58">
        <f ca="1">Table18[[#This Row],[BAGS ]]</f>
        <v>0</v>
      </c>
    </row>
    <row r="59" spans="1:13" ht="15.75" hidden="1" x14ac:dyDescent="0.25">
      <c r="A59" s="568" t="s">
        <v>20</v>
      </c>
      <c r="B59" s="568" t="s">
        <v>35</v>
      </c>
      <c r="C59" s="568" t="s">
        <v>259</v>
      </c>
      <c r="D59" s="570">
        <v>49.63</v>
      </c>
      <c r="E59" s="570"/>
      <c r="F59" s="569" t="s">
        <v>295</v>
      </c>
      <c r="I59">
        <f>Table18[[#This Row],[RATE]]*Table18[[#This Row],[ACRES]]</f>
        <v>0</v>
      </c>
      <c r="J59">
        <f>Table18[[#This Row],['#''S]]/50</f>
        <v>0</v>
      </c>
      <c r="L59" s="661">
        <f>((Table18[[#This Row],[SKS/A]]*1000)*Table18[[#This Row],[ACRES]])/80000</f>
        <v>0</v>
      </c>
      <c r="M59">
        <f ca="1">Table18[[#This Row],[BAGS ]]</f>
        <v>0</v>
      </c>
    </row>
    <row r="60" spans="1:13" ht="15.75" hidden="1" x14ac:dyDescent="0.25">
      <c r="A60" s="651" t="s">
        <v>20</v>
      </c>
      <c r="B60" s="651" t="s">
        <v>80</v>
      </c>
      <c r="C60" s="636" t="s">
        <v>638</v>
      </c>
      <c r="D60" s="570">
        <v>78.8</v>
      </c>
      <c r="E60" s="570"/>
      <c r="F60" s="569" t="s">
        <v>295</v>
      </c>
      <c r="I60">
        <f>Table18[[#This Row],[RATE]]*Table18[[#This Row],[ACRES]]</f>
        <v>0</v>
      </c>
      <c r="J60">
        <f>Table18[[#This Row],['#''S]]/50</f>
        <v>0</v>
      </c>
      <c r="L60" s="661">
        <f>((Table18[[#This Row],[SKS/A]]*1000)*Table18[[#This Row],[ACRES]])/80000</f>
        <v>0</v>
      </c>
      <c r="M60">
        <f ca="1">Table18[[#This Row],[BAGS ]]</f>
        <v>0</v>
      </c>
    </row>
    <row r="61" spans="1:13" ht="15.75" hidden="1" x14ac:dyDescent="0.25">
      <c r="A61" s="568"/>
      <c r="B61" s="568"/>
      <c r="C61" s="637"/>
      <c r="D61" s="570"/>
      <c r="E61" s="570"/>
      <c r="F61" s="569"/>
      <c r="I61">
        <f>Table18[[#This Row],[RATE]]*Table18[[#This Row],[ACRES]]</f>
        <v>0</v>
      </c>
      <c r="J61" s="96">
        <f>Table18[[#This Row],['#''S]]/50</f>
        <v>0</v>
      </c>
      <c r="L61" s="661">
        <f>((Table18[[#This Row],[SKS/A]]*1000)*Table18[[#This Row],[ACRES]])/80000</f>
        <v>0</v>
      </c>
      <c r="M61">
        <f ca="1">Table18[[#This Row],[BAGS ]]</f>
        <v>0</v>
      </c>
    </row>
    <row r="62" spans="1:13" ht="15.75" hidden="1" x14ac:dyDescent="0.25">
      <c r="A62" s="651"/>
      <c r="B62" s="651"/>
      <c r="C62" s="636"/>
      <c r="D62" s="570"/>
      <c r="E62" s="570"/>
      <c r="F62" s="569"/>
      <c r="I62">
        <f>Table18[[#This Row],[RATE]]*Table18[[#This Row],[ACRES]]</f>
        <v>0</v>
      </c>
      <c r="J62" s="96">
        <f>Table18[[#This Row],['#''S]]/50</f>
        <v>0</v>
      </c>
      <c r="L62" s="661">
        <f>((Table18[[#This Row],[SKS/A]]*1000)*Table18[[#This Row],[ACRES]])/80000</f>
        <v>0</v>
      </c>
      <c r="M62">
        <f ca="1">Table18[[#This Row],[BAGS ]]</f>
        <v>0</v>
      </c>
    </row>
    <row r="63" spans="1:13" ht="15.75" x14ac:dyDescent="0.25">
      <c r="A63" s="656" t="s">
        <v>38</v>
      </c>
      <c r="B63" s="656"/>
      <c r="C63" s="656"/>
      <c r="D63" s="658">
        <f>SUBTOTAL(109,Table18[ACRES])</f>
        <v>1093.6200000000001</v>
      </c>
      <c r="E63" s="663"/>
      <c r="F63" s="657"/>
      <c r="I63">
        <f>SUBTOTAL(109,Table18['#''S])</f>
        <v>0</v>
      </c>
      <c r="J63" s="96">
        <f>SUBTOTAL(109,Table18[BAGS1])</f>
        <v>0</v>
      </c>
      <c r="K63">
        <f>SUBTOTAL(101,Table18[SKS/A])</f>
        <v>12.9375</v>
      </c>
      <c r="L63" s="661">
        <f>SUBTOTAL(109,Table18[BAGS 80K])</f>
        <v>176.06881249999998</v>
      </c>
    </row>
    <row r="65" spans="1:12" x14ac:dyDescent="0.25">
      <c r="A65" s="687"/>
      <c r="B65" s="687"/>
      <c r="C65" s="687"/>
      <c r="D65" s="687"/>
      <c r="E65" s="688"/>
    </row>
    <row r="66" spans="1:12" x14ac:dyDescent="0.25">
      <c r="A66" s="745" t="s">
        <v>757</v>
      </c>
      <c r="B66" s="745"/>
      <c r="C66" s="687"/>
      <c r="D66" s="745" t="s">
        <v>758</v>
      </c>
      <c r="E66" s="745"/>
      <c r="G66" s="745" t="s">
        <v>759</v>
      </c>
      <c r="H66" s="745"/>
      <c r="K66" s="745" t="s">
        <v>760</v>
      </c>
      <c r="L66" s="745"/>
    </row>
    <row r="67" spans="1:12" x14ac:dyDescent="0.25">
      <c r="A67" s="569" t="s">
        <v>761</v>
      </c>
      <c r="B67" s="569" t="s">
        <v>762</v>
      </c>
      <c r="C67" s="687"/>
      <c r="D67" s="569" t="s">
        <v>761</v>
      </c>
      <c r="E67" s="569" t="s">
        <v>762</v>
      </c>
      <c r="G67" s="569" t="s">
        <v>761</v>
      </c>
      <c r="H67" s="569" t="s">
        <v>762</v>
      </c>
      <c r="K67" s="569" t="s">
        <v>761</v>
      </c>
      <c r="L67" s="569" t="s">
        <v>762</v>
      </c>
    </row>
    <row r="68" spans="1:12" x14ac:dyDescent="0.25">
      <c r="A68" s="569" t="s">
        <v>763</v>
      </c>
      <c r="B68" s="569" t="s">
        <v>764</v>
      </c>
      <c r="C68" s="687"/>
      <c r="D68" s="569" t="s">
        <v>313</v>
      </c>
      <c r="E68" s="686" t="s">
        <v>765</v>
      </c>
      <c r="G68" s="569" t="s">
        <v>766</v>
      </c>
      <c r="H68" s="569" t="s">
        <v>767</v>
      </c>
      <c r="K68" s="569"/>
      <c r="L68" s="686"/>
    </row>
    <row r="69" spans="1:12" x14ac:dyDescent="0.25">
      <c r="A69" s="569">
        <v>14</v>
      </c>
      <c r="B69" s="569">
        <v>14</v>
      </c>
      <c r="C69" s="687"/>
      <c r="D69" s="569">
        <v>14</v>
      </c>
      <c r="E69" s="686">
        <v>14</v>
      </c>
      <c r="G69" s="569">
        <v>7</v>
      </c>
      <c r="H69" s="569">
        <v>7</v>
      </c>
      <c r="K69" s="569"/>
      <c r="L69" s="686"/>
    </row>
    <row r="70" spans="1:12" x14ac:dyDescent="0.25">
      <c r="A70" s="687"/>
      <c r="B70" s="687"/>
      <c r="C70" s="687"/>
      <c r="D70" s="687"/>
      <c r="E70" s="688"/>
      <c r="G70" s="687"/>
      <c r="H70" s="687"/>
      <c r="K70" s="687"/>
      <c r="L70" s="688"/>
    </row>
    <row r="71" spans="1:12" x14ac:dyDescent="0.25">
      <c r="A71" s="745" t="s">
        <v>768</v>
      </c>
      <c r="B71" s="745"/>
      <c r="C71" s="687"/>
      <c r="D71" s="745" t="s">
        <v>769</v>
      </c>
      <c r="E71" s="745"/>
      <c r="G71" s="745" t="s">
        <v>770</v>
      </c>
      <c r="H71" s="745"/>
      <c r="K71" s="745" t="s">
        <v>771</v>
      </c>
      <c r="L71" s="745"/>
    </row>
    <row r="72" spans="1:12" x14ac:dyDescent="0.25">
      <c r="A72" s="569" t="s">
        <v>761</v>
      </c>
      <c r="B72" s="569" t="s">
        <v>762</v>
      </c>
      <c r="C72" s="687"/>
      <c r="D72" s="569" t="s">
        <v>761</v>
      </c>
      <c r="E72" s="569" t="s">
        <v>762</v>
      </c>
      <c r="G72" s="569" t="s">
        <v>761</v>
      </c>
      <c r="H72" s="569" t="s">
        <v>762</v>
      </c>
      <c r="K72" s="569" t="s">
        <v>761</v>
      </c>
      <c r="L72" s="569" t="s">
        <v>762</v>
      </c>
    </row>
    <row r="73" spans="1:12" x14ac:dyDescent="0.25">
      <c r="A73" s="569" t="s">
        <v>772</v>
      </c>
      <c r="B73" s="569" t="s">
        <v>773</v>
      </c>
      <c r="C73" s="687"/>
      <c r="D73" s="569" t="s">
        <v>774</v>
      </c>
      <c r="E73" s="686" t="s">
        <v>775</v>
      </c>
      <c r="G73" s="569"/>
      <c r="H73" s="569"/>
      <c r="K73" s="569"/>
      <c r="L73" s="686"/>
    </row>
    <row r="74" spans="1:12" x14ac:dyDescent="0.25">
      <c r="A74" s="569">
        <v>7</v>
      </c>
      <c r="B74" s="569">
        <v>7</v>
      </c>
      <c r="C74" s="687"/>
      <c r="D74" s="569">
        <v>7</v>
      </c>
      <c r="E74" s="686">
        <v>7</v>
      </c>
      <c r="G74" s="569"/>
      <c r="H74" s="569"/>
      <c r="K74" s="569"/>
      <c r="L74" s="686"/>
    </row>
    <row r="75" spans="1:12" x14ac:dyDescent="0.25">
      <c r="A75" s="687"/>
      <c r="B75" s="687"/>
      <c r="C75" s="687"/>
      <c r="D75" s="687"/>
      <c r="E75" s="688"/>
      <c r="G75" s="687"/>
      <c r="H75" s="687"/>
      <c r="K75" s="687"/>
      <c r="L75" s="688"/>
    </row>
    <row r="76" spans="1:12" x14ac:dyDescent="0.25">
      <c r="A76" s="745" t="s">
        <v>776</v>
      </c>
      <c r="B76" s="745"/>
      <c r="C76" s="687"/>
      <c r="D76" s="745" t="s">
        <v>777</v>
      </c>
      <c r="E76" s="745"/>
      <c r="G76" s="745" t="s">
        <v>778</v>
      </c>
      <c r="H76" s="745"/>
      <c r="K76" s="745" t="s">
        <v>779</v>
      </c>
      <c r="L76" s="745"/>
    </row>
    <row r="77" spans="1:12" x14ac:dyDescent="0.25">
      <c r="A77" s="569" t="s">
        <v>761</v>
      </c>
      <c r="B77" s="569" t="s">
        <v>762</v>
      </c>
      <c r="C77" s="687"/>
      <c r="D77" s="569" t="s">
        <v>761</v>
      </c>
      <c r="E77" s="569" t="s">
        <v>762</v>
      </c>
      <c r="G77" s="569" t="s">
        <v>761</v>
      </c>
      <c r="H77" s="569" t="s">
        <v>762</v>
      </c>
      <c r="K77" s="569" t="s">
        <v>761</v>
      </c>
      <c r="L77" s="569" t="s">
        <v>762</v>
      </c>
    </row>
    <row r="78" spans="1:12" x14ac:dyDescent="0.25">
      <c r="A78" s="569" t="s">
        <v>780</v>
      </c>
      <c r="B78" s="569" t="s">
        <v>781</v>
      </c>
      <c r="C78" s="687"/>
      <c r="D78" s="569" t="s">
        <v>782</v>
      </c>
      <c r="E78" s="686" t="s">
        <v>783</v>
      </c>
      <c r="G78" s="569"/>
      <c r="H78" s="569"/>
      <c r="K78" s="569"/>
      <c r="L78" s="686"/>
    </row>
    <row r="79" spans="1:12" x14ac:dyDescent="0.25">
      <c r="A79" s="569">
        <v>14</v>
      </c>
      <c r="B79" s="569">
        <v>14</v>
      </c>
      <c r="C79" s="687"/>
      <c r="D79" s="569">
        <v>7</v>
      </c>
      <c r="E79" s="686">
        <v>7</v>
      </c>
      <c r="G79" s="569"/>
      <c r="H79" s="569"/>
      <c r="K79" s="569"/>
      <c r="L79" s="686"/>
    </row>
    <row r="80" spans="1:12" x14ac:dyDescent="0.25">
      <c r="A80" s="687"/>
      <c r="B80" s="687"/>
      <c r="C80" s="687"/>
      <c r="D80" s="687"/>
      <c r="E80" s="688"/>
      <c r="G80" s="687"/>
      <c r="H80" s="687"/>
      <c r="K80" s="687"/>
      <c r="L80" s="688"/>
    </row>
    <row r="81" spans="1:12" x14ac:dyDescent="0.25">
      <c r="A81" s="745" t="s">
        <v>784</v>
      </c>
      <c r="B81" s="745"/>
      <c r="C81" s="687"/>
      <c r="D81" s="745" t="s">
        <v>785</v>
      </c>
      <c r="E81" s="745"/>
      <c r="G81" s="745" t="s">
        <v>786</v>
      </c>
      <c r="H81" s="745"/>
      <c r="K81" s="745" t="s">
        <v>787</v>
      </c>
      <c r="L81" s="745"/>
    </row>
    <row r="82" spans="1:12" x14ac:dyDescent="0.25">
      <c r="A82" s="569" t="s">
        <v>761</v>
      </c>
      <c r="B82" s="569" t="s">
        <v>762</v>
      </c>
      <c r="C82" s="687"/>
      <c r="D82" s="691" t="s">
        <v>761</v>
      </c>
      <c r="E82" s="569" t="s">
        <v>762</v>
      </c>
      <c r="G82" s="569" t="s">
        <v>761</v>
      </c>
      <c r="H82" s="569" t="s">
        <v>762</v>
      </c>
      <c r="K82" s="569" t="s">
        <v>761</v>
      </c>
      <c r="L82" s="569" t="s">
        <v>762</v>
      </c>
    </row>
    <row r="83" spans="1:12" x14ac:dyDescent="0.25">
      <c r="A83" s="569" t="s">
        <v>788</v>
      </c>
      <c r="B83" s="569" t="s">
        <v>789</v>
      </c>
      <c r="C83" s="687"/>
      <c r="D83" s="690" t="s">
        <v>790</v>
      </c>
      <c r="E83" s="689" t="s">
        <v>791</v>
      </c>
      <c r="G83" s="569"/>
      <c r="H83" s="569"/>
      <c r="K83" s="569"/>
      <c r="L83" s="686"/>
    </row>
    <row r="84" spans="1:12" x14ac:dyDescent="0.25">
      <c r="A84" s="569">
        <v>7</v>
      </c>
      <c r="B84" s="569">
        <v>7</v>
      </c>
      <c r="D84" s="630">
        <v>14</v>
      </c>
      <c r="E84" s="686">
        <v>14</v>
      </c>
      <c r="G84" s="569"/>
      <c r="H84" s="569"/>
      <c r="K84" s="569"/>
      <c r="L84" s="686"/>
    </row>
    <row r="87" spans="1:12" x14ac:dyDescent="0.25">
      <c r="B87">
        <f>SUM(A69:B69,D69:E69,D74:E74,D79:E79,D84:E84,A84:B84,A79:B79,A74:B74,G69:H69)</f>
        <v>182</v>
      </c>
    </row>
  </sheetData>
  <mergeCells count="17">
    <mergeCell ref="G81:H81"/>
    <mergeCell ref="K66:L66"/>
    <mergeCell ref="K71:L71"/>
    <mergeCell ref="K76:L76"/>
    <mergeCell ref="K81:L81"/>
    <mergeCell ref="A81:B81"/>
    <mergeCell ref="D66:E66"/>
    <mergeCell ref="D71:E71"/>
    <mergeCell ref="D76:E76"/>
    <mergeCell ref="D81:E81"/>
    <mergeCell ref="A1:I3"/>
    <mergeCell ref="A66:B66"/>
    <mergeCell ref="A71:B71"/>
    <mergeCell ref="A76:B76"/>
    <mergeCell ref="G66:H66"/>
    <mergeCell ref="G71:H71"/>
    <mergeCell ref="G76:H76"/>
  </mergeCells>
  <phoneticPr fontId="26" type="noConversion"/>
  <conditionalFormatting sqref="A61:D61 D62 A9:C18 D5:D18 F5:F62 E5:E61">
    <cfRule type="containsText" dxfId="661" priority="222" operator="containsText" text="PEARL MILLET">
      <formula>NOT(ISERROR(SEARCH("PEARL MILLET",A5)))</formula>
    </cfRule>
    <cfRule type="containsText" dxfId="660" priority="223" operator="containsText" text="PROSO MILLET">
      <formula>NOT(ISERROR(SEARCH("PROSO MILLET",A5)))</formula>
    </cfRule>
    <cfRule type="containsText" dxfId="659" priority="224" operator="containsText" text="GOLDEN GERMAN">
      <formula>NOT(ISERROR(SEARCH("GOLDEN GERMAN",A5)))</formula>
    </cfRule>
    <cfRule type="containsText" dxfId="658" priority="225" operator="containsText" text="BUILDING SITE">
      <formula>NOT(ISERROR(SEARCH("BUILDING SITE",A5)))</formula>
    </cfRule>
    <cfRule type="containsText" dxfId="657" priority="226" operator="containsText" text="WASTE">
      <formula>NOT(ISERROR(SEARCH("WASTE",A5)))</formula>
    </cfRule>
    <cfRule type="containsText" dxfId="656" priority="227" operator="containsText" text="PASTURE">
      <formula>NOT(ISERROR(SEARCH("PASTURE",A5)))</formula>
    </cfRule>
    <cfRule type="cellIs" dxfId="655" priority="228" operator="equal">
      <formula>"FORG/ WHEAT"</formula>
    </cfRule>
    <cfRule type="cellIs" dxfId="654" priority="229" operator="equal">
      <formula>"FALL GRAZED"</formula>
    </cfRule>
    <cfRule type="cellIs" dxfId="653" priority="230" operator="equal">
      <formula>"FALLOW"</formula>
    </cfRule>
    <cfRule type="cellIs" dxfId="652" priority="231" operator="equal">
      <formula>"FALL GRAZED"</formula>
    </cfRule>
    <cfRule type="cellIs" dxfId="651" priority="232" operator="equal">
      <formula>"TRITICALE"</formula>
    </cfRule>
    <cfRule type="cellIs" dxfId="650" priority="233" operator="equal">
      <formula>"SORGHUM"</formula>
    </cfRule>
    <cfRule type="cellIs" dxfId="649" priority="234" operator="equal">
      <formula>"OAT/WHEAT"</formula>
    </cfRule>
    <cfRule type="cellIs" dxfId="648" priority="235" operator="equal">
      <formula>"SPRING GRAZED"</formula>
    </cfRule>
    <cfRule type="cellIs" dxfId="647" priority="236" operator="equal">
      <formula>"WHEAT"</formula>
    </cfRule>
    <cfRule type="cellIs" dxfId="646" priority="237" operator="equal">
      <formula>"SORGHUM SUDAN"</formula>
    </cfRule>
    <cfRule type="cellIs" dxfId="645" priority="238" operator="equal">
      <formula>"CORN"</formula>
    </cfRule>
  </conditionalFormatting>
  <conditionalFormatting sqref="A62:B62">
    <cfRule type="containsText" dxfId="644" priority="137" operator="containsText" text="PEARL MILLET">
      <formula>NOT(ISERROR(SEARCH("PEARL MILLET",A62)))</formula>
    </cfRule>
    <cfRule type="containsText" dxfId="643" priority="138" operator="containsText" text="PROSO MILLET">
      <formula>NOT(ISERROR(SEARCH("PROSO MILLET",A62)))</formula>
    </cfRule>
    <cfRule type="containsText" dxfId="642" priority="139" operator="containsText" text="GOLDEN GERMAN">
      <formula>NOT(ISERROR(SEARCH("GOLDEN GERMAN",A62)))</formula>
    </cfRule>
    <cfRule type="containsText" dxfId="641" priority="140" operator="containsText" text="BUILDING SITE">
      <formula>NOT(ISERROR(SEARCH("BUILDING SITE",A62)))</formula>
    </cfRule>
    <cfRule type="containsText" dxfId="640" priority="141" operator="containsText" text="WASTE">
      <formula>NOT(ISERROR(SEARCH("WASTE",A62)))</formula>
    </cfRule>
    <cfRule type="containsText" dxfId="639" priority="142" operator="containsText" text="PASTURE">
      <formula>NOT(ISERROR(SEARCH("PASTURE",A62)))</formula>
    </cfRule>
    <cfRule type="cellIs" dxfId="638" priority="143" operator="equal">
      <formula>"FORG/ WHEAT"</formula>
    </cfRule>
    <cfRule type="cellIs" dxfId="637" priority="144" operator="equal">
      <formula>"FALL GRAZED"</formula>
    </cfRule>
    <cfRule type="cellIs" dxfId="636" priority="145" operator="equal">
      <formula>"FALLOW"</formula>
    </cfRule>
    <cfRule type="cellIs" dxfId="635" priority="146" operator="equal">
      <formula>"FALL GRAZED"</formula>
    </cfRule>
    <cfRule type="cellIs" dxfId="634" priority="147" operator="equal">
      <formula>"TRITICALE"</formula>
    </cfRule>
    <cfRule type="cellIs" dxfId="633" priority="148" operator="equal">
      <formula>"SORGHUM"</formula>
    </cfRule>
    <cfRule type="cellIs" dxfId="632" priority="149" operator="equal">
      <formula>"OAT/WHEAT"</formula>
    </cfRule>
    <cfRule type="cellIs" dxfId="631" priority="150" operator="equal">
      <formula>"SPRING GRAZED"</formula>
    </cfRule>
    <cfRule type="cellIs" dxfId="630" priority="151" operator="equal">
      <formula>"WHEAT"</formula>
    </cfRule>
    <cfRule type="cellIs" dxfId="629" priority="152" operator="equal">
      <formula>"SORGHUM SUDAN"</formula>
    </cfRule>
    <cfRule type="cellIs" dxfId="628" priority="153" operator="equal">
      <formula>"CORN"</formula>
    </cfRule>
  </conditionalFormatting>
  <conditionalFormatting sqref="A60:B60 A22:C59 A20:B20 A8:B8 A5:C7">
    <cfRule type="containsText" dxfId="627" priority="86" operator="containsText" text="PEARL MILLET">
      <formula>NOT(ISERROR(SEARCH("PEARL MILLET",A5)))</formula>
    </cfRule>
    <cfRule type="containsText" dxfId="626" priority="87" operator="containsText" text="PROSO MILLET">
      <formula>NOT(ISERROR(SEARCH("PROSO MILLET",A5)))</formula>
    </cfRule>
    <cfRule type="containsText" dxfId="625" priority="88" operator="containsText" text="GOLDEN GERMAN">
      <formula>NOT(ISERROR(SEARCH("GOLDEN GERMAN",A5)))</formula>
    </cfRule>
    <cfRule type="containsText" dxfId="624" priority="89" operator="containsText" text="BUILDING SITE">
      <formula>NOT(ISERROR(SEARCH("BUILDING SITE",A5)))</formula>
    </cfRule>
    <cfRule type="containsText" dxfId="623" priority="90" operator="containsText" text="WASTE">
      <formula>NOT(ISERROR(SEARCH("WASTE",A5)))</formula>
    </cfRule>
    <cfRule type="containsText" dxfId="622" priority="91" operator="containsText" text="PASTURE">
      <formula>NOT(ISERROR(SEARCH("PASTURE",A5)))</formula>
    </cfRule>
    <cfRule type="cellIs" dxfId="621" priority="92" operator="equal">
      <formula>"FORG/ WHEAT"</formula>
    </cfRule>
    <cfRule type="cellIs" dxfId="620" priority="93" operator="equal">
      <formula>"FALL GRAZED"</formula>
    </cfRule>
    <cfRule type="cellIs" dxfId="619" priority="94" operator="equal">
      <formula>"FALLOW"</formula>
    </cfRule>
    <cfRule type="cellIs" dxfId="618" priority="95" operator="equal">
      <formula>"FALL GRAZED"</formula>
    </cfRule>
    <cfRule type="cellIs" dxfId="617" priority="96" operator="equal">
      <formula>"TRITICALE"</formula>
    </cfRule>
    <cfRule type="cellIs" dxfId="616" priority="97" operator="equal">
      <formula>"SORGHUM"</formula>
    </cfRule>
    <cfRule type="cellIs" dxfId="615" priority="98" operator="equal">
      <formula>"OAT/WHEAT"</formula>
    </cfRule>
    <cfRule type="cellIs" dxfId="614" priority="99" operator="equal">
      <formula>"SPRING GRAZED"</formula>
    </cfRule>
    <cfRule type="cellIs" dxfId="613" priority="100" operator="equal">
      <formula>"WHEAT"</formula>
    </cfRule>
    <cfRule type="cellIs" dxfId="612" priority="101" operator="equal">
      <formula>"SORGHUM SUDAN"</formula>
    </cfRule>
    <cfRule type="cellIs" dxfId="611" priority="102" operator="equal">
      <formula>"CORN"</formula>
    </cfRule>
  </conditionalFormatting>
  <conditionalFormatting sqref="C8">
    <cfRule type="containsText" dxfId="610" priority="69" operator="containsText" text="PEARL MILLET">
      <formula>NOT(ISERROR(SEARCH("PEARL MILLET",C8)))</formula>
    </cfRule>
    <cfRule type="containsText" dxfId="609" priority="70" operator="containsText" text="PROSO MILLET">
      <formula>NOT(ISERROR(SEARCH("PROSO MILLET",C8)))</formula>
    </cfRule>
    <cfRule type="containsText" dxfId="608" priority="71" operator="containsText" text="GOLDEN GERMAN">
      <formula>NOT(ISERROR(SEARCH("GOLDEN GERMAN",C8)))</formula>
    </cfRule>
    <cfRule type="containsText" dxfId="607" priority="72" operator="containsText" text="BUILDING SITE">
      <formula>NOT(ISERROR(SEARCH("BUILDING SITE",C8)))</formula>
    </cfRule>
    <cfRule type="containsText" dxfId="606" priority="73" operator="containsText" text="WASTE">
      <formula>NOT(ISERROR(SEARCH("WASTE",C8)))</formula>
    </cfRule>
    <cfRule type="containsText" dxfId="605" priority="74" operator="containsText" text="PASTURE">
      <formula>NOT(ISERROR(SEARCH("PASTURE",C8)))</formula>
    </cfRule>
    <cfRule type="cellIs" dxfId="604" priority="75" operator="equal">
      <formula>"FORG/ WHEAT"</formula>
    </cfRule>
    <cfRule type="cellIs" dxfId="603" priority="76" operator="equal">
      <formula>"FALL GRAZED"</formula>
    </cfRule>
    <cfRule type="cellIs" dxfId="602" priority="77" operator="equal">
      <formula>"FALLOW"</formula>
    </cfRule>
    <cfRule type="cellIs" dxfId="601" priority="78" operator="equal">
      <formula>"FALL GRAZED"</formula>
    </cfRule>
    <cfRule type="cellIs" dxfId="600" priority="79" operator="equal">
      <formula>"TRITICALE"</formula>
    </cfRule>
    <cfRule type="cellIs" dxfId="599" priority="80" operator="equal">
      <formula>"SORGHUM"</formula>
    </cfRule>
    <cfRule type="cellIs" dxfId="598" priority="81" operator="equal">
      <formula>"OAT/WHEAT"</formula>
    </cfRule>
    <cfRule type="cellIs" dxfId="597" priority="82" operator="equal">
      <formula>"SPRING GRAZED"</formula>
    </cfRule>
    <cfRule type="cellIs" dxfId="596" priority="83" operator="equal">
      <formula>"WHEAT"</formula>
    </cfRule>
    <cfRule type="cellIs" dxfId="595" priority="84" operator="equal">
      <formula>"SORGHUM SUDAN"</formula>
    </cfRule>
    <cfRule type="cellIs" dxfId="594" priority="85" operator="equal">
      <formula>"CORN"</formula>
    </cfRule>
  </conditionalFormatting>
  <conditionalFormatting sqref="D20:D60">
    <cfRule type="containsText" dxfId="593" priority="52" operator="containsText" text="PEARL MILLET">
      <formula>NOT(ISERROR(SEARCH("PEARL MILLET",D20)))</formula>
    </cfRule>
    <cfRule type="containsText" dxfId="592" priority="53" operator="containsText" text="PROSO MILLET">
      <formula>NOT(ISERROR(SEARCH("PROSO MILLET",D20)))</formula>
    </cfRule>
    <cfRule type="containsText" dxfId="591" priority="54" operator="containsText" text="GOLDEN GERMAN">
      <formula>NOT(ISERROR(SEARCH("GOLDEN GERMAN",D20)))</formula>
    </cfRule>
    <cfRule type="containsText" dxfId="590" priority="55" operator="containsText" text="BUILDING SITE">
      <formula>NOT(ISERROR(SEARCH("BUILDING SITE",D20)))</formula>
    </cfRule>
    <cfRule type="containsText" dxfId="589" priority="56" operator="containsText" text="WASTE">
      <formula>NOT(ISERROR(SEARCH("WASTE",D20)))</formula>
    </cfRule>
    <cfRule type="containsText" dxfId="588" priority="57" operator="containsText" text="PASTURE">
      <formula>NOT(ISERROR(SEARCH("PASTURE",D20)))</formula>
    </cfRule>
    <cfRule type="cellIs" dxfId="587" priority="58" operator="equal">
      <formula>"FORG/ WHEAT"</formula>
    </cfRule>
    <cfRule type="cellIs" dxfId="586" priority="59" operator="equal">
      <formula>"FALL GRAZED"</formula>
    </cfRule>
    <cfRule type="cellIs" dxfId="585" priority="60" operator="equal">
      <formula>"FALLOW"</formula>
    </cfRule>
    <cfRule type="cellIs" dxfId="584" priority="61" operator="equal">
      <formula>"FALL GRAZED"</formula>
    </cfRule>
    <cfRule type="cellIs" dxfId="583" priority="62" operator="equal">
      <formula>"TRITICALE"</formula>
    </cfRule>
    <cfRule type="cellIs" dxfId="582" priority="63" operator="equal">
      <formula>"SORGHUM"</formula>
    </cfRule>
    <cfRule type="cellIs" dxfId="581" priority="64" operator="equal">
      <formula>"OAT/WHEAT"</formula>
    </cfRule>
    <cfRule type="cellIs" dxfId="580" priority="65" operator="equal">
      <formula>"SPRING GRAZED"</formula>
    </cfRule>
    <cfRule type="cellIs" dxfId="579" priority="66" operator="equal">
      <formula>"WHEAT"</formula>
    </cfRule>
    <cfRule type="cellIs" dxfId="578" priority="67" operator="equal">
      <formula>"SORGHUM SUDAN"</formula>
    </cfRule>
    <cfRule type="cellIs" dxfId="577" priority="68" operator="equal">
      <formula>"CORN"</formula>
    </cfRule>
  </conditionalFormatting>
  <conditionalFormatting sqref="A19:C19">
    <cfRule type="containsText" dxfId="576" priority="18" operator="containsText" text="PEARL MILLET">
      <formula>NOT(ISERROR(SEARCH("PEARL MILLET",A19)))</formula>
    </cfRule>
    <cfRule type="containsText" dxfId="575" priority="19" operator="containsText" text="PROSO MILLET">
      <formula>NOT(ISERROR(SEARCH("PROSO MILLET",A19)))</formula>
    </cfRule>
    <cfRule type="containsText" dxfId="574" priority="20" operator="containsText" text="GOLDEN GERMAN">
      <formula>NOT(ISERROR(SEARCH("GOLDEN GERMAN",A19)))</formula>
    </cfRule>
    <cfRule type="containsText" dxfId="573" priority="21" operator="containsText" text="BUILDING SITE">
      <formula>NOT(ISERROR(SEARCH("BUILDING SITE",A19)))</formula>
    </cfRule>
    <cfRule type="containsText" dxfId="572" priority="22" operator="containsText" text="WASTE">
      <formula>NOT(ISERROR(SEARCH("WASTE",A19)))</formula>
    </cfRule>
    <cfRule type="containsText" dxfId="571" priority="23" operator="containsText" text="PASTURE">
      <formula>NOT(ISERROR(SEARCH("PASTURE",A19)))</formula>
    </cfRule>
    <cfRule type="cellIs" dxfId="570" priority="24" operator="equal">
      <formula>"FORG/ WHEAT"</formula>
    </cfRule>
    <cfRule type="cellIs" dxfId="569" priority="25" operator="equal">
      <formula>"FALL GRAZED"</formula>
    </cfRule>
    <cfRule type="cellIs" dxfId="568" priority="26" operator="equal">
      <formula>"FALLOW"</formula>
    </cfRule>
    <cfRule type="cellIs" dxfId="567" priority="27" operator="equal">
      <formula>"FALL GRAZED"</formula>
    </cfRule>
    <cfRule type="cellIs" dxfId="566" priority="28" operator="equal">
      <formula>"TRITICALE"</formula>
    </cfRule>
    <cfRule type="cellIs" dxfId="565" priority="29" operator="equal">
      <formula>"SORGHUM"</formula>
    </cfRule>
    <cfRule type="cellIs" dxfId="564" priority="30" operator="equal">
      <formula>"OAT/WHEAT"</formula>
    </cfRule>
    <cfRule type="cellIs" dxfId="563" priority="31" operator="equal">
      <formula>"SPRING GRAZED"</formula>
    </cfRule>
    <cfRule type="cellIs" dxfId="562" priority="32" operator="equal">
      <formula>"WHEAT"</formula>
    </cfRule>
    <cfRule type="cellIs" dxfId="561" priority="33" operator="equal">
      <formula>"SORGHUM SUDAN"</formula>
    </cfRule>
    <cfRule type="cellIs" dxfId="560" priority="34" operator="equal">
      <formula>"CORN"</formula>
    </cfRule>
  </conditionalFormatting>
  <conditionalFormatting sqref="D19">
    <cfRule type="containsText" dxfId="559" priority="1" operator="containsText" text="PEARL MILLET">
      <formula>NOT(ISERROR(SEARCH("PEARL MILLET",D19)))</formula>
    </cfRule>
    <cfRule type="containsText" dxfId="558" priority="2" operator="containsText" text="PROSO MILLET">
      <formula>NOT(ISERROR(SEARCH("PROSO MILLET",D19)))</formula>
    </cfRule>
    <cfRule type="containsText" dxfId="557" priority="3" operator="containsText" text="GOLDEN GERMAN">
      <formula>NOT(ISERROR(SEARCH("GOLDEN GERMAN",D19)))</formula>
    </cfRule>
    <cfRule type="containsText" dxfId="556" priority="4" operator="containsText" text="BUILDING SITE">
      <formula>NOT(ISERROR(SEARCH("BUILDING SITE",D19)))</formula>
    </cfRule>
    <cfRule type="containsText" dxfId="555" priority="5" operator="containsText" text="WASTE">
      <formula>NOT(ISERROR(SEARCH("WASTE",D19)))</formula>
    </cfRule>
    <cfRule type="containsText" dxfId="554" priority="6" operator="containsText" text="PASTURE">
      <formula>NOT(ISERROR(SEARCH("PASTURE",D19)))</formula>
    </cfRule>
    <cfRule type="cellIs" dxfId="553" priority="7" operator="equal">
      <formula>"FORG/ WHEAT"</formula>
    </cfRule>
    <cfRule type="cellIs" dxfId="552" priority="8" operator="equal">
      <formula>"FALL GRAZED"</formula>
    </cfRule>
    <cfRule type="cellIs" dxfId="551" priority="9" operator="equal">
      <formula>"FALLOW"</formula>
    </cfRule>
    <cfRule type="cellIs" dxfId="550" priority="10" operator="equal">
      <formula>"FALL GRAZED"</formula>
    </cfRule>
    <cfRule type="cellIs" dxfId="549" priority="11" operator="equal">
      <formula>"TRITICALE"</formula>
    </cfRule>
    <cfRule type="cellIs" dxfId="548" priority="12" operator="equal">
      <formula>"SORGHUM"</formula>
    </cfRule>
    <cfRule type="cellIs" dxfId="547" priority="13" operator="equal">
      <formula>"OAT/WHEAT"</formula>
    </cfRule>
    <cfRule type="cellIs" dxfId="546" priority="14" operator="equal">
      <formula>"SPRING GRAZED"</formula>
    </cfRule>
    <cfRule type="cellIs" dxfId="545" priority="15" operator="equal">
      <formula>"WHEAT"</formula>
    </cfRule>
    <cfRule type="cellIs" dxfId="544" priority="16" operator="equal">
      <formula>"SORGHUM SUDAN"</formula>
    </cfRule>
    <cfRule type="cellIs" dxfId="543" priority="17" operator="equal">
      <formula>"CORN"</formula>
    </cfRule>
  </conditionalFormatting>
  <dataValidations count="1">
    <dataValidation type="list" allowBlank="1" showInputMessage="1" showErrorMessage="1" sqref="F5:F62" xr:uid="{E1EADADB-D865-4CD6-86DA-93AD3F15BA37}">
      <formula1>CROP</formula1>
    </dataValidation>
  </dataValidations>
  <pageMargins left="0.25" right="0.25" top="0.75" bottom="0.75" header="0.3" footer="0.3"/>
  <pageSetup scale="66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72257-D2FC-48EB-9B0B-DC7421384647}">
  <sheetPr>
    <pageSetUpPr fitToPage="1"/>
  </sheetPr>
  <dimension ref="A1:W78"/>
  <sheetViews>
    <sheetView workbookViewId="0">
      <selection activeCell="O18" sqref="O18"/>
    </sheetView>
  </sheetViews>
  <sheetFormatPr defaultRowHeight="15" x14ac:dyDescent="0.25"/>
  <cols>
    <col min="1" max="2" width="10.85546875" bestFit="1" customWidth="1"/>
    <col min="3" max="3" width="22.140625" bestFit="1" customWidth="1"/>
    <col min="4" max="4" width="13.7109375" bestFit="1" customWidth="1"/>
    <col min="5" max="5" width="13.5703125" bestFit="1" customWidth="1"/>
    <col min="7" max="7" width="9.85546875" bestFit="1" customWidth="1"/>
    <col min="8" max="8" width="15.5703125" bestFit="1" customWidth="1"/>
    <col min="9" max="9" width="10" bestFit="1" customWidth="1"/>
    <col min="10" max="10" width="13.140625" bestFit="1" customWidth="1"/>
    <col min="11" max="11" width="12.140625" bestFit="1" customWidth="1"/>
    <col min="14" max="14" width="10.85546875" bestFit="1" customWidth="1"/>
    <col min="15" max="15" width="12.5703125" bestFit="1" customWidth="1"/>
    <col min="21" max="21" width="19.42578125" bestFit="1" customWidth="1"/>
  </cols>
  <sheetData>
    <row r="1" spans="1:23" s="166" customFormat="1" ht="23.25" x14ac:dyDescent="0.25">
      <c r="A1" s="469" t="s">
        <v>283</v>
      </c>
      <c r="B1" s="469">
        <v>2020</v>
      </c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  <c r="Q1" s="469"/>
      <c r="R1" s="469"/>
      <c r="S1" s="469"/>
      <c r="T1" s="469"/>
      <c r="U1" s="469"/>
      <c r="V1" s="469"/>
      <c r="W1" s="469"/>
    </row>
    <row r="2" spans="1:23" s="166" customFormat="1" ht="15" customHeight="1" x14ac:dyDescent="0.25">
      <c r="A2" s="469"/>
      <c r="B2" s="469"/>
      <c r="C2" s="469"/>
      <c r="D2" s="469"/>
      <c r="E2" s="469"/>
      <c r="F2" s="469"/>
      <c r="G2" s="469"/>
      <c r="H2" s="469"/>
      <c r="I2" s="469"/>
      <c r="J2" s="469"/>
      <c r="K2" s="469"/>
      <c r="L2" s="469"/>
      <c r="M2" s="469"/>
      <c r="N2" s="469"/>
      <c r="O2" s="469"/>
      <c r="P2" s="469"/>
      <c r="Q2" s="469"/>
      <c r="R2" s="469"/>
      <c r="S2" s="469"/>
      <c r="T2" s="469"/>
      <c r="U2" s="469"/>
      <c r="V2" s="469"/>
      <c r="W2" s="469"/>
    </row>
    <row r="3" spans="1:23" s="675" customFormat="1" ht="15" customHeight="1" x14ac:dyDescent="0.25">
      <c r="A3" s="673"/>
      <c r="B3" s="674" t="s">
        <v>116</v>
      </c>
      <c r="C3" s="674" t="s">
        <v>118</v>
      </c>
      <c r="D3" s="674" t="s">
        <v>483</v>
      </c>
      <c r="E3" s="674" t="s">
        <v>484</v>
      </c>
      <c r="F3" s="674" t="s">
        <v>485</v>
      </c>
      <c r="G3" s="674" t="s">
        <v>119</v>
      </c>
      <c r="H3" s="674" t="s">
        <v>792</v>
      </c>
      <c r="I3" s="674" t="s">
        <v>793</v>
      </c>
      <c r="J3" s="674" t="s">
        <v>794</v>
      </c>
      <c r="K3" s="674" t="s">
        <v>795</v>
      </c>
      <c r="L3" s="674" t="s">
        <v>796</v>
      </c>
      <c r="M3" s="674" t="s">
        <v>797</v>
      </c>
      <c r="N3" s="674" t="s">
        <v>798</v>
      </c>
      <c r="O3" s="674" t="s">
        <v>799</v>
      </c>
      <c r="P3" s="674" t="s">
        <v>800</v>
      </c>
      <c r="Q3" s="674" t="s">
        <v>801</v>
      </c>
      <c r="R3" s="673"/>
      <c r="S3" s="673"/>
      <c r="T3" s="673"/>
      <c r="U3" s="673"/>
      <c r="V3" s="673"/>
      <c r="W3" s="673"/>
    </row>
    <row r="4" spans="1:23" s="166" customFormat="1" ht="15" customHeight="1" x14ac:dyDescent="0.25">
      <c r="A4" s="469"/>
      <c r="B4" s="157" t="s">
        <v>21</v>
      </c>
      <c r="C4" s="664" t="s">
        <v>149</v>
      </c>
      <c r="D4" s="676" t="s">
        <v>147</v>
      </c>
      <c r="E4" s="676">
        <v>3438</v>
      </c>
      <c r="F4" s="676">
        <v>1750</v>
      </c>
      <c r="G4" s="677">
        <v>78.599999999999994</v>
      </c>
      <c r="H4" s="672"/>
      <c r="I4" s="672"/>
      <c r="J4" s="672">
        <v>90</v>
      </c>
      <c r="K4" s="672">
        <f>Table21[[#This Row],[Spec Yield]]*Table21[[#This Row],[Acres]]</f>
        <v>7073.9999999999991</v>
      </c>
      <c r="L4" s="672">
        <v>0.65</v>
      </c>
      <c r="M4" s="672">
        <v>0.35</v>
      </c>
      <c r="N4" s="672">
        <f>Table21[[#This Row],[M77%]]*Table21[[#This Row],[Spec Bu]]</f>
        <v>4598.0999999999995</v>
      </c>
      <c r="O4" s="672">
        <f>Table21[[#This Row],[LL %]]*Table21[[#This Row],[Spec Bu]]</f>
        <v>2475.8999999999996</v>
      </c>
      <c r="P4" s="672"/>
      <c r="Q4" s="672"/>
      <c r="R4" s="469"/>
      <c r="S4" s="469"/>
      <c r="T4" s="469"/>
      <c r="U4" s="469"/>
      <c r="V4" s="469"/>
      <c r="W4" s="469"/>
    </row>
    <row r="5" spans="1:23" s="166" customFormat="1" ht="15" customHeight="1" x14ac:dyDescent="0.25">
      <c r="A5" s="469"/>
      <c r="B5" s="157" t="s">
        <v>21</v>
      </c>
      <c r="C5" s="664" t="s">
        <v>163</v>
      </c>
      <c r="D5" s="676" t="s">
        <v>161</v>
      </c>
      <c r="E5" s="676">
        <v>3939</v>
      </c>
      <c r="F5" s="676">
        <v>3938</v>
      </c>
      <c r="G5" s="677">
        <v>80.09</v>
      </c>
      <c r="H5" s="672"/>
      <c r="I5" s="672"/>
      <c r="J5" s="672">
        <v>80</v>
      </c>
      <c r="K5" s="672">
        <f>Table21[[#This Row],[Spec Yield]]*Table21[[#This Row],[Acres]]</f>
        <v>6407.2000000000007</v>
      </c>
      <c r="L5" s="672">
        <v>0.65</v>
      </c>
      <c r="M5" s="672">
        <v>0.35</v>
      </c>
      <c r="N5" s="672">
        <f>Table21[[#This Row],[M77%]]*Table21[[#This Row],[Spec Bu]]</f>
        <v>4164.68</v>
      </c>
      <c r="O5" s="672">
        <f>Table21[[#This Row],[LL %]]*Table21[[#This Row],[Spec Bu]]</f>
        <v>2242.52</v>
      </c>
      <c r="P5" s="672"/>
      <c r="Q5" s="672"/>
      <c r="R5" s="469"/>
      <c r="S5" s="469"/>
      <c r="T5" s="469"/>
      <c r="U5" s="469"/>
      <c r="V5" s="469"/>
      <c r="W5" s="469"/>
    </row>
    <row r="6" spans="1:23" s="166" customFormat="1" ht="15" customHeight="1" x14ac:dyDescent="0.25">
      <c r="A6" s="469"/>
      <c r="B6" s="157" t="s">
        <v>26</v>
      </c>
      <c r="C6" s="664" t="s">
        <v>639</v>
      </c>
      <c r="D6" s="676" t="s">
        <v>201</v>
      </c>
      <c r="E6" s="676">
        <v>0</v>
      </c>
      <c r="F6" s="676">
        <v>0</v>
      </c>
      <c r="G6" s="677">
        <v>78</v>
      </c>
      <c r="H6" s="672"/>
      <c r="I6" s="672"/>
      <c r="J6" s="672">
        <v>75</v>
      </c>
      <c r="K6" s="672">
        <f>Table21[[#This Row],[Spec Yield]]*Table21[[#This Row],[Acres]]</f>
        <v>5850</v>
      </c>
      <c r="L6" s="672">
        <v>1</v>
      </c>
      <c r="M6" s="672">
        <v>0</v>
      </c>
      <c r="N6" s="672">
        <f>Table21[[#This Row],[M77%]]*Table21[[#This Row],[Spec Bu]]</f>
        <v>5850</v>
      </c>
      <c r="O6" s="672">
        <f>Table21[[#This Row],[LL %]]*Table21[[#This Row],[Spec Bu]]</f>
        <v>0</v>
      </c>
      <c r="P6" s="672"/>
      <c r="Q6" s="672"/>
      <c r="R6" s="469"/>
      <c r="S6" s="469"/>
      <c r="T6" s="469"/>
      <c r="U6" s="469"/>
      <c r="V6" s="469"/>
      <c r="W6" s="469"/>
    </row>
    <row r="7" spans="1:23" s="166" customFormat="1" ht="15" customHeight="1" x14ac:dyDescent="0.25">
      <c r="A7" s="469"/>
      <c r="B7" s="157" t="s">
        <v>26</v>
      </c>
      <c r="C7" s="664" t="s">
        <v>640</v>
      </c>
      <c r="D7" s="676" t="s">
        <v>201</v>
      </c>
      <c r="E7" s="676">
        <v>0</v>
      </c>
      <c r="F7" s="676">
        <v>0</v>
      </c>
      <c r="G7" s="677">
        <v>72</v>
      </c>
      <c r="H7" s="672"/>
      <c r="I7" s="672"/>
      <c r="J7" s="672">
        <v>70</v>
      </c>
      <c r="K7" s="672">
        <f>Table21[[#This Row],[Spec Yield]]*Table21[[#This Row],[Acres]]</f>
        <v>5040</v>
      </c>
      <c r="L7" s="672">
        <v>1</v>
      </c>
      <c r="M7" s="672">
        <v>0</v>
      </c>
      <c r="N7" s="672">
        <f>Table21[[#This Row],[M77%]]*Table21[[#This Row],[Spec Bu]]</f>
        <v>5040</v>
      </c>
      <c r="O7" s="672">
        <f>Table21[[#This Row],[LL %]]*Table21[[#This Row],[Spec Bu]]</f>
        <v>0</v>
      </c>
      <c r="P7" s="672"/>
      <c r="Q7" s="672"/>
      <c r="R7" s="469"/>
      <c r="S7" s="469"/>
      <c r="T7" s="469"/>
      <c r="U7" s="469"/>
      <c r="V7" s="469"/>
      <c r="W7" s="469"/>
    </row>
    <row r="8" spans="1:23" s="166" customFormat="1" ht="15" customHeight="1" x14ac:dyDescent="0.25">
      <c r="A8" s="469"/>
      <c r="B8" s="157" t="s">
        <v>28</v>
      </c>
      <c r="C8" s="664" t="s">
        <v>218</v>
      </c>
      <c r="D8" s="676" t="s">
        <v>216</v>
      </c>
      <c r="E8" s="676">
        <v>50</v>
      </c>
      <c r="F8" s="676">
        <v>1339</v>
      </c>
      <c r="G8" s="677">
        <v>79.3</v>
      </c>
      <c r="H8" s="672"/>
      <c r="I8" s="672"/>
      <c r="J8" s="672">
        <v>80</v>
      </c>
      <c r="K8" s="672">
        <f>Table21[[#This Row],[Spec Yield]]*Table21[[#This Row],[Acres]]</f>
        <v>6344</v>
      </c>
      <c r="L8" s="672">
        <v>0.65</v>
      </c>
      <c r="M8" s="672">
        <v>0.35</v>
      </c>
      <c r="N8" s="672">
        <f>Table21[[#This Row],[M77%]]*Table21[[#This Row],[Spec Bu]]</f>
        <v>4123.6000000000004</v>
      </c>
      <c r="O8" s="672">
        <f>Table21[[#This Row],[LL %]]*Table21[[#This Row],[Spec Bu]]</f>
        <v>2220.3999999999996</v>
      </c>
      <c r="P8" s="672"/>
      <c r="Q8" s="672"/>
      <c r="R8" s="469"/>
      <c r="S8" s="469"/>
      <c r="T8" s="469"/>
      <c r="U8" s="469"/>
      <c r="V8" s="469"/>
      <c r="W8" s="469"/>
    </row>
    <row r="9" spans="1:23" s="166" customFormat="1" ht="15" customHeight="1" x14ac:dyDescent="0.25">
      <c r="A9" s="469"/>
      <c r="B9" s="157" t="s">
        <v>32</v>
      </c>
      <c r="C9" s="664" t="s">
        <v>239</v>
      </c>
      <c r="D9" s="676" t="s">
        <v>238</v>
      </c>
      <c r="E9" s="676">
        <v>2522</v>
      </c>
      <c r="F9" s="676">
        <v>3251</v>
      </c>
      <c r="G9" s="677">
        <v>79.099999999999994</v>
      </c>
      <c r="H9" s="672"/>
      <c r="I9" s="672"/>
      <c r="J9" s="672">
        <v>85</v>
      </c>
      <c r="K9" s="672">
        <f>Table21[[#This Row],[Spec Yield]]*Table21[[#This Row],[Acres]]</f>
        <v>6723.4999999999991</v>
      </c>
      <c r="L9" s="672">
        <v>0.65</v>
      </c>
      <c r="M9" s="672">
        <v>0.35</v>
      </c>
      <c r="N9" s="672">
        <f>Table21[[#This Row],[M77%]]*Table21[[#This Row],[Spec Bu]]</f>
        <v>4370.2749999999996</v>
      </c>
      <c r="O9" s="672">
        <f>Table21[[#This Row],[LL %]]*Table21[[#This Row],[Spec Bu]]</f>
        <v>2353.2249999999995</v>
      </c>
      <c r="P9" s="672"/>
      <c r="Q9" s="672"/>
      <c r="R9" s="469"/>
      <c r="S9" s="469"/>
      <c r="T9" s="469"/>
      <c r="U9" s="469"/>
      <c r="V9" s="469"/>
      <c r="W9" s="469"/>
    </row>
    <row r="10" spans="1:23" s="166" customFormat="1" ht="15" customHeight="1" x14ac:dyDescent="0.25">
      <c r="A10" s="469"/>
      <c r="B10" s="157" t="s">
        <v>32</v>
      </c>
      <c r="C10" s="664" t="s">
        <v>247</v>
      </c>
      <c r="D10" s="676" t="s">
        <v>245</v>
      </c>
      <c r="E10" s="676">
        <v>2522</v>
      </c>
      <c r="F10" s="676">
        <v>1626</v>
      </c>
      <c r="G10" s="677">
        <v>77.5</v>
      </c>
      <c r="H10" s="672"/>
      <c r="I10" s="672"/>
      <c r="J10" s="672">
        <v>80</v>
      </c>
      <c r="K10" s="672">
        <f>Table21[[#This Row],[Spec Yield]]*Table21[[#This Row],[Acres]]</f>
        <v>6200</v>
      </c>
      <c r="L10" s="672">
        <v>0.65</v>
      </c>
      <c r="M10" s="672">
        <v>0.35</v>
      </c>
      <c r="N10" s="672">
        <f>Table21[[#This Row],[M77%]]*Table21[[#This Row],[Spec Bu]]</f>
        <v>4030</v>
      </c>
      <c r="O10" s="672">
        <f>Table21[[#This Row],[LL %]]*Table21[[#This Row],[Spec Bu]]</f>
        <v>2170</v>
      </c>
      <c r="P10" s="672"/>
      <c r="Q10" s="672"/>
      <c r="R10" s="469"/>
      <c r="S10" s="469"/>
      <c r="T10" s="469"/>
      <c r="U10" s="469"/>
      <c r="V10" s="469"/>
      <c r="W10" s="469"/>
    </row>
    <row r="11" spans="1:23" s="166" customFormat="1" ht="15" customHeight="1" x14ac:dyDescent="0.25">
      <c r="A11" s="469"/>
      <c r="B11" s="157" t="s">
        <v>32</v>
      </c>
      <c r="C11" s="157" t="s">
        <v>96</v>
      </c>
      <c r="D11" s="676" t="s">
        <v>248</v>
      </c>
      <c r="E11" s="676">
        <v>2522</v>
      </c>
      <c r="F11" s="676">
        <v>1586</v>
      </c>
      <c r="G11" s="677">
        <v>117.25</v>
      </c>
      <c r="H11" s="672"/>
      <c r="I11" s="672"/>
      <c r="J11" s="672">
        <v>80</v>
      </c>
      <c r="K11" s="672">
        <f>Table21[[#This Row],[Spec Yield]]*Table21[[#This Row],[Acres]]</f>
        <v>9380</v>
      </c>
      <c r="L11" s="672">
        <v>0.65</v>
      </c>
      <c r="M11" s="672">
        <v>0.35</v>
      </c>
      <c r="N11" s="672">
        <f>Table21[[#This Row],[M77%]]*Table21[[#This Row],[Spec Bu]]</f>
        <v>6097</v>
      </c>
      <c r="O11" s="672">
        <f>Table21[[#This Row],[LL %]]*Table21[[#This Row],[Spec Bu]]</f>
        <v>3283</v>
      </c>
      <c r="P11" s="672"/>
      <c r="Q11" s="672"/>
      <c r="R11" s="469"/>
      <c r="S11" s="469"/>
      <c r="T11" s="469"/>
      <c r="U11" s="469"/>
      <c r="V11" s="469"/>
      <c r="W11" s="469"/>
    </row>
    <row r="12" spans="1:23" s="166" customFormat="1" ht="15" customHeight="1" x14ac:dyDescent="0.25">
      <c r="A12" s="469"/>
      <c r="B12" s="157" t="s">
        <v>32</v>
      </c>
      <c r="C12" s="157" t="s">
        <v>250</v>
      </c>
      <c r="D12" s="676" t="s">
        <v>228</v>
      </c>
      <c r="E12" s="676">
        <v>2522</v>
      </c>
      <c r="F12" s="676">
        <v>1534</v>
      </c>
      <c r="G12" s="677">
        <v>68.260000000000005</v>
      </c>
      <c r="H12" s="672"/>
      <c r="I12" s="672"/>
      <c r="J12" s="672">
        <v>80</v>
      </c>
      <c r="K12" s="672">
        <f>Table21[[#This Row],[Spec Yield]]*Table21[[#This Row],[Acres]]</f>
        <v>5460.8</v>
      </c>
      <c r="L12" s="672">
        <v>0.65</v>
      </c>
      <c r="M12" s="672">
        <v>0.35</v>
      </c>
      <c r="N12" s="672">
        <f>Table21[[#This Row],[M77%]]*Table21[[#This Row],[Spec Bu]]</f>
        <v>3549.5200000000004</v>
      </c>
      <c r="O12" s="672">
        <f>Table21[[#This Row],[LL %]]*Table21[[#This Row],[Spec Bu]]</f>
        <v>1911.28</v>
      </c>
      <c r="P12" s="672"/>
      <c r="Q12" s="672"/>
      <c r="R12" s="469"/>
      <c r="S12" s="469"/>
      <c r="T12" s="469"/>
      <c r="U12" s="469"/>
      <c r="V12" s="469"/>
      <c r="W12" s="469"/>
    </row>
    <row r="13" spans="1:23" s="166" customFormat="1" ht="15" customHeight="1" x14ac:dyDescent="0.25">
      <c r="A13" s="469"/>
      <c r="B13" s="157" t="s">
        <v>35</v>
      </c>
      <c r="C13" s="157" t="s">
        <v>258</v>
      </c>
      <c r="D13" s="676" t="s">
        <v>256</v>
      </c>
      <c r="E13" s="676">
        <v>4071</v>
      </c>
      <c r="F13" s="676">
        <v>4021</v>
      </c>
      <c r="G13" s="677">
        <v>25.67</v>
      </c>
      <c r="H13" s="672"/>
      <c r="I13" s="672"/>
      <c r="J13" s="672">
        <v>80</v>
      </c>
      <c r="K13" s="672">
        <f>Table21[[#This Row],[Spec Yield]]*Table21[[#This Row],[Acres]]</f>
        <v>2053.6000000000004</v>
      </c>
      <c r="L13" s="672">
        <v>1</v>
      </c>
      <c r="M13" s="672">
        <v>0</v>
      </c>
      <c r="N13" s="672">
        <f>Table21[[#This Row],[M77%]]*Table21[[#This Row],[Spec Bu]]</f>
        <v>2053.6000000000004</v>
      </c>
      <c r="O13" s="672">
        <f>Table21[[#This Row],[LL %]]*Table21[[#This Row],[Spec Bu]]</f>
        <v>0</v>
      </c>
      <c r="P13" s="672"/>
      <c r="Q13" s="672"/>
      <c r="R13" s="469"/>
      <c r="S13" s="469"/>
      <c r="T13" s="469"/>
      <c r="U13" s="469"/>
      <c r="V13" s="469"/>
      <c r="W13" s="469"/>
    </row>
    <row r="14" spans="1:23" s="166" customFormat="1" ht="15" customHeight="1" x14ac:dyDescent="0.25">
      <c r="A14" s="469"/>
      <c r="B14" s="157" t="s">
        <v>35</v>
      </c>
      <c r="C14" s="157" t="s">
        <v>259</v>
      </c>
      <c r="D14" s="676" t="s">
        <v>256</v>
      </c>
      <c r="E14" s="676">
        <v>4071</v>
      </c>
      <c r="F14" s="676">
        <v>4021</v>
      </c>
      <c r="G14" s="677">
        <v>49.63</v>
      </c>
      <c r="H14" s="672"/>
      <c r="I14" s="672"/>
      <c r="J14" s="672">
        <v>80</v>
      </c>
      <c r="K14" s="672">
        <f>Table21[[#This Row],[Spec Yield]]*Table21[[#This Row],[Acres]]</f>
        <v>3970.4</v>
      </c>
      <c r="L14" s="672">
        <v>1</v>
      </c>
      <c r="M14" s="672">
        <v>0</v>
      </c>
      <c r="N14" s="672">
        <f>Table21[[#This Row],[M77%]]*Table21[[#This Row],[Spec Bu]]</f>
        <v>3970.4</v>
      </c>
      <c r="O14" s="672">
        <f>Table21[[#This Row],[LL %]]*Table21[[#This Row],[Spec Bu]]</f>
        <v>0</v>
      </c>
      <c r="P14" s="672"/>
      <c r="Q14" s="672"/>
      <c r="R14" s="469"/>
      <c r="S14" s="469"/>
      <c r="T14" s="469"/>
      <c r="U14" s="469"/>
      <c r="V14" s="469"/>
      <c r="W14" s="469"/>
    </row>
    <row r="15" spans="1:23" s="166" customFormat="1" ht="15" customHeight="1" x14ac:dyDescent="0.25">
      <c r="A15" s="469"/>
      <c r="B15" s="157" t="s">
        <v>35</v>
      </c>
      <c r="C15" s="664" t="s">
        <v>802</v>
      </c>
      <c r="D15" s="676" t="s">
        <v>261</v>
      </c>
      <c r="E15" s="676">
        <v>247</v>
      </c>
      <c r="F15" s="676">
        <v>1311</v>
      </c>
      <c r="G15" s="677">
        <v>74.8</v>
      </c>
      <c r="H15" s="672"/>
      <c r="I15" s="672"/>
      <c r="J15" s="672">
        <v>83</v>
      </c>
      <c r="K15" s="672">
        <f>Table21[[#This Row],[Spec Yield]]*Table21[[#This Row],[Acres]]</f>
        <v>6208.4</v>
      </c>
      <c r="L15" s="672">
        <v>1</v>
      </c>
      <c r="M15" s="672">
        <v>0</v>
      </c>
      <c r="N15" s="672">
        <f>Table21[[#This Row],[M77%]]*Table21[[#This Row],[Spec Bu]]</f>
        <v>6208.4</v>
      </c>
      <c r="O15" s="672">
        <f>Table21[[#This Row],[LL %]]*Table21[[#This Row],[Spec Bu]]</f>
        <v>0</v>
      </c>
      <c r="P15" s="672"/>
      <c r="Q15" s="672"/>
      <c r="R15" s="469"/>
      <c r="S15" s="469"/>
      <c r="T15" s="469"/>
      <c r="U15" s="469"/>
      <c r="V15" s="469"/>
      <c r="W15" s="469"/>
    </row>
    <row r="16" spans="1:23" s="166" customFormat="1" ht="15" customHeight="1" x14ac:dyDescent="0.25">
      <c r="A16" s="469"/>
      <c r="B16" s="157" t="s">
        <v>80</v>
      </c>
      <c r="C16" s="664" t="s">
        <v>280</v>
      </c>
      <c r="D16" s="676" t="s">
        <v>279</v>
      </c>
      <c r="E16" s="676">
        <v>6759</v>
      </c>
      <c r="F16" s="676">
        <v>3794</v>
      </c>
      <c r="G16" s="677">
        <v>78.900000000000006</v>
      </c>
      <c r="H16" s="672"/>
      <c r="I16" s="672"/>
      <c r="J16" s="672">
        <v>83</v>
      </c>
      <c r="K16" s="672">
        <f>Table21[[#This Row],[Spec Yield]]*Table21[[#This Row],[Acres]]</f>
        <v>6548.7000000000007</v>
      </c>
      <c r="L16" s="672">
        <v>0.65</v>
      </c>
      <c r="M16" s="672">
        <v>0.35</v>
      </c>
      <c r="N16" s="672">
        <f>Table21[[#This Row],[M77%]]*Table21[[#This Row],[Spec Bu]]</f>
        <v>4256.6550000000007</v>
      </c>
      <c r="O16" s="672">
        <f>Table21[[#This Row],[LL %]]*Table21[[#This Row],[Spec Bu]]</f>
        <v>2292.0450000000001</v>
      </c>
      <c r="P16" s="672"/>
      <c r="Q16" s="672"/>
      <c r="R16" s="469"/>
      <c r="S16" s="469"/>
      <c r="T16" s="469"/>
      <c r="U16" s="469"/>
      <c r="V16" s="469"/>
      <c r="W16" s="469"/>
    </row>
    <row r="17" spans="1:23" s="166" customFormat="1" ht="15" customHeight="1" x14ac:dyDescent="0.25">
      <c r="A17" s="469"/>
      <c r="B17" s="157"/>
      <c r="C17" s="664"/>
      <c r="D17" s="676"/>
      <c r="E17" s="676"/>
      <c r="F17" s="676"/>
      <c r="G17" s="677"/>
      <c r="H17" s="672"/>
      <c r="I17" s="672"/>
      <c r="J17" s="672">
        <f>AVERAGE(Table21[Spec Yield])</f>
        <v>80.461538461538467</v>
      </c>
      <c r="K17" s="672">
        <f>SUBTOTAL(109,Table21[Spec Bu])</f>
        <v>77260.599999999991</v>
      </c>
      <c r="L17" s="672"/>
      <c r="M17" s="672"/>
      <c r="N17" s="672">
        <f>SUBTOTAL(109,Table21[M77 BU])</f>
        <v>58312.23</v>
      </c>
      <c r="O17" s="672">
        <f>SUBTOTAL(109,Table21[LL BU])</f>
        <v>18948.369999999995</v>
      </c>
      <c r="P17" s="672"/>
      <c r="Q17" s="672"/>
      <c r="R17" s="469"/>
      <c r="S17" s="469"/>
      <c r="T17" s="469"/>
      <c r="U17" s="469"/>
      <c r="V17" s="469"/>
      <c r="W17" s="469"/>
    </row>
    <row r="18" spans="1:23" s="166" customFormat="1" ht="15" customHeight="1" x14ac:dyDescent="0.25">
      <c r="A18" s="469"/>
      <c r="B18" s="157"/>
      <c r="C18" s="664"/>
      <c r="D18" s="676"/>
      <c r="E18" s="676"/>
      <c r="F18" s="676"/>
      <c r="G18" s="677"/>
      <c r="H18" s="672"/>
      <c r="I18" s="672"/>
      <c r="J18" s="672"/>
      <c r="K18" s="672"/>
      <c r="L18" s="672"/>
      <c r="M18" s="672"/>
      <c r="N18" s="672"/>
      <c r="O18" s="672"/>
      <c r="P18" s="672"/>
      <c r="Q18" s="672"/>
      <c r="R18" s="469"/>
      <c r="S18" s="469"/>
      <c r="T18" s="469"/>
      <c r="U18" s="469"/>
      <c r="V18" s="469"/>
      <c r="W18" s="469"/>
    </row>
    <row r="19" spans="1:23" s="166" customFormat="1" ht="15" customHeight="1" x14ac:dyDescent="0.25">
      <c r="A19" s="469"/>
      <c r="B19" s="157"/>
      <c r="C19" s="664"/>
      <c r="D19" s="676"/>
      <c r="E19" s="676"/>
      <c r="F19" s="676"/>
      <c r="G19" s="677"/>
      <c r="H19" s="672"/>
      <c r="I19" s="672"/>
      <c r="J19" s="672"/>
      <c r="K19" s="672"/>
      <c r="L19" s="672"/>
      <c r="M19" s="672"/>
      <c r="N19" s="672"/>
      <c r="O19" s="672"/>
      <c r="P19" s="672"/>
      <c r="Q19" s="672"/>
      <c r="R19" s="469"/>
      <c r="S19" s="469"/>
      <c r="T19" s="469"/>
      <c r="U19" s="469"/>
      <c r="V19" s="469"/>
      <c r="W19" s="469"/>
    </row>
    <row r="20" spans="1:23" s="166" customFormat="1" ht="15" customHeight="1" x14ac:dyDescent="0.25">
      <c r="A20" s="469"/>
      <c r="B20" s="157"/>
      <c r="C20" s="664"/>
      <c r="D20" s="676"/>
      <c r="E20" s="676"/>
      <c r="F20" s="676"/>
      <c r="G20" s="677"/>
      <c r="H20" s="672"/>
      <c r="I20" s="672"/>
      <c r="J20" s="672"/>
      <c r="K20" s="672"/>
      <c r="L20" s="672"/>
      <c r="M20" s="672"/>
      <c r="N20" s="672"/>
      <c r="O20" s="672"/>
      <c r="P20" s="672"/>
      <c r="Q20" s="672"/>
      <c r="R20" s="469"/>
      <c r="S20" s="469"/>
      <c r="T20" s="469"/>
      <c r="U20" s="469"/>
      <c r="V20" s="469"/>
      <c r="W20" s="469"/>
    </row>
    <row r="21" spans="1:23" s="166" customFormat="1" ht="15" customHeight="1" x14ac:dyDescent="0.25">
      <c r="A21" s="469"/>
      <c r="B21" s="469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69"/>
      <c r="R21" s="469"/>
      <c r="S21" s="469"/>
      <c r="T21" s="469"/>
      <c r="U21" s="469"/>
      <c r="V21" s="469"/>
      <c r="W21" s="469"/>
    </row>
    <row r="22" spans="1:23" s="166" customFormat="1" x14ac:dyDescent="0.25">
      <c r="A22" s="470" t="s">
        <v>440</v>
      </c>
      <c r="B22" s="470" t="s">
        <v>442</v>
      </c>
      <c r="C22" s="470" t="s">
        <v>476</v>
      </c>
      <c r="D22" s="470" t="s">
        <v>443</v>
      </c>
      <c r="E22" s="470" t="s">
        <v>578</v>
      </c>
      <c r="F22" s="470" t="s">
        <v>115</v>
      </c>
      <c r="G22" s="470" t="s">
        <v>116</v>
      </c>
      <c r="H22" s="470" t="s">
        <v>118</v>
      </c>
      <c r="I22" s="470" t="s">
        <v>477</v>
      </c>
      <c r="J22" s="470" t="s">
        <v>478</v>
      </c>
      <c r="K22" s="470" t="s">
        <v>579</v>
      </c>
      <c r="L22" s="470" t="s">
        <v>580</v>
      </c>
      <c r="M22" s="470" t="s">
        <v>581</v>
      </c>
      <c r="N22" s="470" t="s">
        <v>447</v>
      </c>
      <c r="O22" s="470" t="s">
        <v>448</v>
      </c>
      <c r="P22" s="470" t="s">
        <v>449</v>
      </c>
      <c r="Q22" s="470" t="s">
        <v>450</v>
      </c>
      <c r="R22" s="471" t="s">
        <v>451</v>
      </c>
      <c r="S22" s="470" t="s">
        <v>479</v>
      </c>
      <c r="T22" s="472" t="s">
        <v>453</v>
      </c>
      <c r="U22" s="470" t="s">
        <v>454</v>
      </c>
      <c r="V22" s="472" t="s">
        <v>455</v>
      </c>
      <c r="W22" s="472" t="s">
        <v>456</v>
      </c>
    </row>
    <row r="23" spans="1:23" s="166" customFormat="1" x14ac:dyDescent="0.25">
      <c r="A23" s="473"/>
      <c r="B23" s="474"/>
      <c r="C23" s="474"/>
      <c r="D23" s="474"/>
      <c r="E23" s="474"/>
      <c r="F23" s="474"/>
      <c r="G23" s="474"/>
      <c r="H23" s="474"/>
      <c r="I23" s="474"/>
      <c r="J23" s="474"/>
      <c r="K23" s="474"/>
      <c r="L23" s="474"/>
      <c r="M23" s="475"/>
      <c r="N23" s="475"/>
      <c r="O23" s="476">
        <f>(corntbl17[[#This Row],[Gross/ -Truck Net]]-corntbl17[[#This Row],[Tare]])</f>
        <v>0</v>
      </c>
      <c r="P23" s="476"/>
      <c r="Q23" s="476"/>
      <c r="R23" s="477"/>
      <c r="S23" s="476"/>
      <c r="T23" s="478">
        <f>corntbl17[[#This Row],[Net]]/56</f>
        <v>0</v>
      </c>
      <c r="U23" s="478"/>
      <c r="V23" s="478"/>
      <c r="W23" s="478">
        <f>corntbl17[[#This Row],[Gross Units]]-corntbl17[[#This Row],[Shrink]]</f>
        <v>0</v>
      </c>
    </row>
    <row r="24" spans="1:23" s="166" customFormat="1" x14ac:dyDescent="0.25">
      <c r="A24" s="473"/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5"/>
      <c r="N24" s="475"/>
      <c r="O24" s="476">
        <f>(corntbl17[[#This Row],[Gross/ -Truck Net]]-corntbl17[[#This Row],[Tare]])</f>
        <v>0</v>
      </c>
      <c r="P24" s="476"/>
      <c r="Q24" s="476"/>
      <c r="R24" s="477"/>
      <c r="S24" s="476"/>
      <c r="T24" s="478">
        <f>corntbl17[[#This Row],[Net]]/56</f>
        <v>0</v>
      </c>
      <c r="U24" s="478"/>
      <c r="V24" s="478"/>
      <c r="W24" s="478">
        <f>corntbl17[[#This Row],[Gross Units]]-corntbl17[[#This Row],[Shrink]]</f>
        <v>0</v>
      </c>
    </row>
    <row r="25" spans="1:23" s="166" customFormat="1" x14ac:dyDescent="0.25">
      <c r="A25" s="473"/>
      <c r="B25" s="474"/>
      <c r="C25" s="474"/>
      <c r="D25" s="474"/>
      <c r="E25" s="474"/>
      <c r="F25" s="474"/>
      <c r="G25" s="474"/>
      <c r="H25" s="474"/>
      <c r="I25" s="474"/>
      <c r="J25" s="474"/>
      <c r="K25" s="474"/>
      <c r="L25" s="474"/>
      <c r="M25" s="475"/>
      <c r="N25" s="475"/>
      <c r="O25" s="476">
        <f>(corntbl17[[#This Row],[Gross/ -Truck Net]]-corntbl17[[#This Row],[Tare]])</f>
        <v>0</v>
      </c>
      <c r="P25" s="476"/>
      <c r="Q25" s="476"/>
      <c r="R25" s="477"/>
      <c r="S25" s="476"/>
      <c r="T25" s="478">
        <f>corntbl17[[#This Row],[Net]]/56</f>
        <v>0</v>
      </c>
      <c r="U25" s="478"/>
      <c r="V25" s="478"/>
      <c r="W25" s="478">
        <f>corntbl17[[#This Row],[Gross Units]]-corntbl17[[#This Row],[Shrink]]</f>
        <v>0</v>
      </c>
    </row>
    <row r="26" spans="1:23" s="166" customFormat="1" x14ac:dyDescent="0.25">
      <c r="A26" s="473"/>
      <c r="B26" s="474"/>
      <c r="C26" s="474"/>
      <c r="D26" s="474"/>
      <c r="E26" s="474"/>
      <c r="F26" s="474"/>
      <c r="G26" s="474"/>
      <c r="H26" s="474"/>
      <c r="I26" s="474"/>
      <c r="J26" s="474"/>
      <c r="K26" s="474"/>
      <c r="L26" s="474"/>
      <c r="M26" s="475"/>
      <c r="N26" s="475"/>
      <c r="O26" s="476">
        <f>(corntbl17[[#This Row],[Gross/ -Truck Net]]-corntbl17[[#This Row],[Tare]])</f>
        <v>0</v>
      </c>
      <c r="P26" s="476"/>
      <c r="Q26" s="476"/>
      <c r="R26" s="477"/>
      <c r="S26" s="476"/>
      <c r="T26" s="478">
        <f>corntbl17[[#This Row],[Net]]/56</f>
        <v>0</v>
      </c>
      <c r="U26" s="478"/>
      <c r="V26" s="478"/>
      <c r="W26" s="478">
        <f>corntbl17[[#This Row],[Gross Units]]-corntbl17[[#This Row],[Shrink]]</f>
        <v>0</v>
      </c>
    </row>
    <row r="27" spans="1:23" s="166" customFormat="1" x14ac:dyDescent="0.25">
      <c r="A27" s="473"/>
      <c r="B27" s="474"/>
      <c r="C27" s="474"/>
      <c r="D27" s="474"/>
      <c r="E27" s="474"/>
      <c r="F27" s="474"/>
      <c r="G27" s="474"/>
      <c r="H27" s="474"/>
      <c r="I27" s="474"/>
      <c r="J27" s="474"/>
      <c r="K27" s="474"/>
      <c r="L27" s="474"/>
      <c r="M27" s="475"/>
      <c r="N27" s="475"/>
      <c r="O27" s="476">
        <f>(corntbl17[[#This Row],[Gross/ -Truck Net]]-corntbl17[[#This Row],[Tare]])</f>
        <v>0</v>
      </c>
      <c r="P27" s="476"/>
      <c r="Q27" s="476"/>
      <c r="R27" s="477"/>
      <c r="S27" s="476"/>
      <c r="T27" s="478">
        <f>corntbl17[[#This Row],[Net]]/56</f>
        <v>0</v>
      </c>
      <c r="U27" s="478"/>
      <c r="V27" s="478"/>
      <c r="W27" s="478">
        <f>corntbl17[[#This Row],[Gross Units]]-corntbl17[[#This Row],[Shrink]]</f>
        <v>0</v>
      </c>
    </row>
    <row r="28" spans="1:23" s="166" customFormat="1" x14ac:dyDescent="0.25">
      <c r="A28" s="473"/>
      <c r="B28" s="474"/>
      <c r="C28" s="474"/>
      <c r="D28" s="474"/>
      <c r="E28" s="474"/>
      <c r="F28" s="474"/>
      <c r="G28" s="474"/>
      <c r="H28" s="474"/>
      <c r="I28" s="474"/>
      <c r="J28" s="474"/>
      <c r="K28" s="474"/>
      <c r="L28" s="474"/>
      <c r="M28" s="475"/>
      <c r="N28" s="475"/>
      <c r="O28" s="476">
        <f>(corntbl17[[#This Row],[Gross/ -Truck Net]]-corntbl17[[#This Row],[Tare]])</f>
        <v>0</v>
      </c>
      <c r="P28" s="476"/>
      <c r="Q28" s="476"/>
      <c r="R28" s="477"/>
      <c r="S28" s="476"/>
      <c r="T28" s="478">
        <f>corntbl17[[#This Row],[Net]]/56</f>
        <v>0</v>
      </c>
      <c r="U28" s="478"/>
      <c r="V28" s="478"/>
      <c r="W28" s="478">
        <f>corntbl17[[#This Row],[Gross Units]]-corntbl17[[#This Row],[Shrink]]</f>
        <v>0</v>
      </c>
    </row>
    <row r="29" spans="1:23" s="166" customFormat="1" x14ac:dyDescent="0.25">
      <c r="A29" s="473"/>
      <c r="B29" s="474"/>
      <c r="C29" s="474"/>
      <c r="D29" s="474"/>
      <c r="E29" s="474"/>
      <c r="F29" s="474"/>
      <c r="G29" s="474"/>
      <c r="H29" s="474"/>
      <c r="I29" s="474"/>
      <c r="J29" s="474"/>
      <c r="K29" s="474"/>
      <c r="L29" s="474"/>
      <c r="M29" s="475"/>
      <c r="N29" s="475"/>
      <c r="O29" s="476">
        <f>(corntbl17[[#This Row],[Gross/ -Truck Net]]-corntbl17[[#This Row],[Tare]])</f>
        <v>0</v>
      </c>
      <c r="P29" s="476"/>
      <c r="Q29" s="476"/>
      <c r="R29" s="477"/>
      <c r="S29" s="476"/>
      <c r="T29" s="478">
        <f>corntbl17[[#This Row],[Net]]/56</f>
        <v>0</v>
      </c>
      <c r="U29" s="478"/>
      <c r="V29" s="478"/>
      <c r="W29" s="478">
        <f>corntbl17[[#This Row],[Gross Units]]-corntbl17[[#This Row],[Shrink]]</f>
        <v>0</v>
      </c>
    </row>
    <row r="30" spans="1:23" s="166" customFormat="1" x14ac:dyDescent="0.25">
      <c r="A30" s="473"/>
      <c r="B30" s="474"/>
      <c r="C30" s="474"/>
      <c r="D30" s="474"/>
      <c r="E30" s="474"/>
      <c r="F30" s="474"/>
      <c r="G30" s="474"/>
      <c r="H30" s="474"/>
      <c r="I30" s="474"/>
      <c r="J30" s="474"/>
      <c r="K30" s="474"/>
      <c r="L30" s="474"/>
      <c r="M30" s="475"/>
      <c r="N30" s="475"/>
      <c r="O30" s="476">
        <f>(corntbl17[[#This Row],[Gross/ -Truck Net]]-corntbl17[[#This Row],[Tare]])</f>
        <v>0</v>
      </c>
      <c r="P30" s="476"/>
      <c r="Q30" s="476"/>
      <c r="R30" s="477"/>
      <c r="S30" s="476"/>
      <c r="T30" s="478">
        <f>corntbl17[[#This Row],[Net]]/56</f>
        <v>0</v>
      </c>
      <c r="U30" s="478"/>
      <c r="V30" s="478"/>
      <c r="W30" s="478">
        <f>corntbl17[[#This Row],[Gross Units]]-corntbl17[[#This Row],[Shrink]]</f>
        <v>0</v>
      </c>
    </row>
    <row r="31" spans="1:23" s="166" customFormat="1" x14ac:dyDescent="0.25">
      <c r="A31" s="473"/>
      <c r="B31" s="474"/>
      <c r="C31" s="474"/>
      <c r="D31" s="474"/>
      <c r="E31" s="474"/>
      <c r="F31" s="474"/>
      <c r="G31" s="474"/>
      <c r="H31" s="474"/>
      <c r="I31" s="474"/>
      <c r="J31" s="474"/>
      <c r="K31" s="474"/>
      <c r="L31" s="474"/>
      <c r="M31" s="475"/>
      <c r="N31" s="475"/>
      <c r="O31" s="476">
        <f>(corntbl17[[#This Row],[Gross/ -Truck Net]]-corntbl17[[#This Row],[Tare]])</f>
        <v>0</v>
      </c>
      <c r="P31" s="476"/>
      <c r="Q31" s="476"/>
      <c r="R31" s="477"/>
      <c r="S31" s="476"/>
      <c r="T31" s="478">
        <f>corntbl17[[#This Row],[Net]]/56</f>
        <v>0</v>
      </c>
      <c r="U31" s="478"/>
      <c r="V31" s="478"/>
      <c r="W31" s="478">
        <f>corntbl17[[#This Row],[Gross Units]]-corntbl17[[#This Row],[Shrink]]</f>
        <v>0</v>
      </c>
    </row>
    <row r="32" spans="1:23" s="166" customFormat="1" x14ac:dyDescent="0.25">
      <c r="A32" s="473"/>
      <c r="B32" s="474"/>
      <c r="C32" s="474"/>
      <c r="D32" s="474"/>
      <c r="E32" s="474"/>
      <c r="F32" s="474"/>
      <c r="G32" s="474"/>
      <c r="H32" s="474"/>
      <c r="I32" s="474"/>
      <c r="J32" s="474"/>
      <c r="K32" s="474"/>
      <c r="L32" s="474"/>
      <c r="M32" s="475"/>
      <c r="N32" s="475"/>
      <c r="O32" s="476">
        <f>(corntbl17[[#This Row],[Gross/ -Truck Net]]-corntbl17[[#This Row],[Tare]])</f>
        <v>0</v>
      </c>
      <c r="P32" s="476"/>
      <c r="Q32" s="476"/>
      <c r="R32" s="477"/>
      <c r="S32" s="476"/>
      <c r="T32" s="478">
        <f>corntbl17[[#This Row],[Net]]/56</f>
        <v>0</v>
      </c>
      <c r="U32" s="478"/>
      <c r="V32" s="478"/>
      <c r="W32" s="478">
        <f>corntbl17[[#This Row],[Gross Units]]-corntbl17[[#This Row],[Shrink]]</f>
        <v>0</v>
      </c>
    </row>
    <row r="33" spans="1:23" s="166" customFormat="1" x14ac:dyDescent="0.25">
      <c r="A33" s="473"/>
      <c r="B33" s="474"/>
      <c r="C33" s="474"/>
      <c r="D33" s="474"/>
      <c r="E33" s="474"/>
      <c r="F33" s="474"/>
      <c r="G33" s="474"/>
      <c r="H33" s="474"/>
      <c r="I33" s="474"/>
      <c r="J33" s="474"/>
      <c r="K33" s="474"/>
      <c r="L33" s="474"/>
      <c r="M33" s="475"/>
      <c r="N33" s="475"/>
      <c r="O33" s="476">
        <f>(corntbl17[[#This Row],[Gross/ -Truck Net]]-corntbl17[[#This Row],[Tare]])</f>
        <v>0</v>
      </c>
      <c r="P33" s="476"/>
      <c r="Q33" s="476"/>
      <c r="R33" s="477"/>
      <c r="S33" s="476"/>
      <c r="T33" s="478">
        <f>corntbl17[[#This Row],[Net]]/56</f>
        <v>0</v>
      </c>
      <c r="U33" s="478"/>
      <c r="V33" s="478"/>
      <c r="W33" s="478">
        <f>corntbl17[[#This Row],[Gross Units]]-corntbl17[[#This Row],[Shrink]]</f>
        <v>0</v>
      </c>
    </row>
    <row r="34" spans="1:23" s="166" customFormat="1" x14ac:dyDescent="0.25">
      <c r="A34" s="473"/>
      <c r="B34" s="474"/>
      <c r="C34" s="474"/>
      <c r="D34" s="474"/>
      <c r="E34" s="474"/>
      <c r="F34" s="474"/>
      <c r="G34" s="474"/>
      <c r="H34" s="474"/>
      <c r="I34" s="474"/>
      <c r="J34" s="474"/>
      <c r="K34" s="474"/>
      <c r="L34" s="474"/>
      <c r="M34" s="475"/>
      <c r="N34" s="475"/>
      <c r="O34" s="476">
        <f>(corntbl17[[#This Row],[Gross/ -Truck Net]]-corntbl17[[#This Row],[Tare]])</f>
        <v>0</v>
      </c>
      <c r="P34" s="476"/>
      <c r="Q34" s="476"/>
      <c r="R34" s="477"/>
      <c r="S34" s="476"/>
      <c r="T34" s="478">
        <f>corntbl17[[#This Row],[Net]]/56</f>
        <v>0</v>
      </c>
      <c r="U34" s="478"/>
      <c r="V34" s="478"/>
      <c r="W34" s="478">
        <f>corntbl17[[#This Row],[Gross Units]]-corntbl17[[#This Row],[Shrink]]</f>
        <v>0</v>
      </c>
    </row>
    <row r="35" spans="1:23" s="166" customFormat="1" x14ac:dyDescent="0.25">
      <c r="A35" s="473"/>
      <c r="B35" s="474"/>
      <c r="C35" s="474"/>
      <c r="D35" s="474"/>
      <c r="E35" s="474"/>
      <c r="F35" s="474"/>
      <c r="G35" s="474"/>
      <c r="H35" s="474"/>
      <c r="I35" s="474"/>
      <c r="J35" s="474"/>
      <c r="K35" s="474"/>
      <c r="L35" s="474"/>
      <c r="M35" s="475"/>
      <c r="N35" s="475"/>
      <c r="O35" s="476">
        <f>(corntbl17[[#This Row],[Gross/ -Truck Net]]-corntbl17[[#This Row],[Tare]])</f>
        <v>0</v>
      </c>
      <c r="P35" s="476"/>
      <c r="Q35" s="476"/>
      <c r="R35" s="477"/>
      <c r="S35" s="476"/>
      <c r="T35" s="478">
        <f>corntbl17[[#This Row],[Net]]/56</f>
        <v>0</v>
      </c>
      <c r="U35" s="478"/>
      <c r="V35" s="478"/>
      <c r="W35" s="478">
        <f>corntbl17[[#This Row],[Gross Units]]-corntbl17[[#This Row],[Shrink]]</f>
        <v>0</v>
      </c>
    </row>
    <row r="36" spans="1:23" s="166" customFormat="1" x14ac:dyDescent="0.25">
      <c r="A36" s="473"/>
      <c r="B36" s="474"/>
      <c r="C36" s="474"/>
      <c r="D36" s="474"/>
      <c r="E36" s="474"/>
      <c r="F36" s="474"/>
      <c r="G36" s="474"/>
      <c r="H36" s="474"/>
      <c r="I36" s="474"/>
      <c r="J36" s="474"/>
      <c r="K36" s="474"/>
      <c r="L36" s="474"/>
      <c r="M36" s="475"/>
      <c r="N36" s="475"/>
      <c r="O36" s="476">
        <f>(corntbl17[[#This Row],[Gross/ -Truck Net]]-corntbl17[[#This Row],[Tare]])</f>
        <v>0</v>
      </c>
      <c r="P36" s="476"/>
      <c r="Q36" s="476"/>
      <c r="R36" s="477"/>
      <c r="S36" s="476"/>
      <c r="T36" s="478">
        <f>corntbl17[[#This Row],[Net]]/56</f>
        <v>0</v>
      </c>
      <c r="U36" s="478"/>
      <c r="V36" s="478"/>
      <c r="W36" s="478">
        <f>corntbl17[[#This Row],[Gross Units]]-corntbl17[[#This Row],[Shrink]]</f>
        <v>0</v>
      </c>
    </row>
    <row r="37" spans="1:23" s="166" customFormat="1" x14ac:dyDescent="0.25">
      <c r="A37" s="473"/>
      <c r="B37" s="474"/>
      <c r="C37" s="474"/>
      <c r="D37" s="474"/>
      <c r="E37" s="474"/>
      <c r="F37" s="474"/>
      <c r="G37" s="474"/>
      <c r="H37" s="474"/>
      <c r="I37" s="474"/>
      <c r="J37" s="474"/>
      <c r="K37" s="474"/>
      <c r="L37" s="474"/>
      <c r="M37" s="475"/>
      <c r="N37" s="475"/>
      <c r="O37" s="476">
        <f>(corntbl17[[#This Row],[Gross/ -Truck Net]]-corntbl17[[#This Row],[Tare]])</f>
        <v>0</v>
      </c>
      <c r="P37" s="476"/>
      <c r="Q37" s="476"/>
      <c r="R37" s="477"/>
      <c r="S37" s="476"/>
      <c r="T37" s="478">
        <f>corntbl17[[#This Row],[Net]]/56</f>
        <v>0</v>
      </c>
      <c r="U37" s="478"/>
      <c r="V37" s="478"/>
      <c r="W37" s="478">
        <f>corntbl17[[#This Row],[Gross Units]]-corntbl17[[#This Row],[Shrink]]</f>
        <v>0</v>
      </c>
    </row>
    <row r="38" spans="1:23" s="166" customFormat="1" x14ac:dyDescent="0.25">
      <c r="A38" s="479"/>
      <c r="B38" s="476"/>
      <c r="C38" s="476"/>
      <c r="D38" s="474"/>
      <c r="E38" s="474"/>
      <c r="F38" s="474"/>
      <c r="G38" s="474"/>
      <c r="H38" s="474"/>
      <c r="I38" s="474"/>
      <c r="J38" s="474"/>
      <c r="K38" s="476"/>
      <c r="L38" s="476"/>
      <c r="M38" s="480"/>
      <c r="N38" s="480"/>
      <c r="O38" s="476">
        <f>(corntbl17[[#This Row],[Gross/ -Truck Net]]-corntbl17[[#This Row],[Tare]])</f>
        <v>0</v>
      </c>
      <c r="P38" s="476"/>
      <c r="Q38" s="476"/>
      <c r="R38" s="477"/>
      <c r="S38" s="476"/>
      <c r="T38" s="478">
        <f>corntbl17[[#This Row],[Net]]/56</f>
        <v>0</v>
      </c>
      <c r="U38" s="478"/>
      <c r="V38" s="478"/>
      <c r="W38" s="478">
        <f>corntbl17[[#This Row],[Gross Units]]-corntbl17[[#This Row],[Shrink]]</f>
        <v>0</v>
      </c>
    </row>
    <row r="39" spans="1:23" s="166" customFormat="1" x14ac:dyDescent="0.25">
      <c r="A39" s="479"/>
      <c r="B39" s="476"/>
      <c r="C39" s="476"/>
      <c r="D39" s="474"/>
      <c r="E39" s="474"/>
      <c r="F39" s="474"/>
      <c r="G39" s="474"/>
      <c r="H39" s="474"/>
      <c r="I39" s="474"/>
      <c r="J39" s="474"/>
      <c r="K39" s="476"/>
      <c r="L39" s="476"/>
      <c r="M39" s="480"/>
      <c r="N39" s="480"/>
      <c r="O39" s="476">
        <f>(corntbl17[[#This Row],[Gross/ -Truck Net]]-corntbl17[[#This Row],[Tare]])</f>
        <v>0</v>
      </c>
      <c r="P39" s="476"/>
      <c r="Q39" s="476"/>
      <c r="R39" s="477"/>
      <c r="S39" s="476"/>
      <c r="T39" s="478">
        <f>corntbl17[[#This Row],[Net]]/56</f>
        <v>0</v>
      </c>
      <c r="U39" s="478"/>
      <c r="V39" s="478"/>
      <c r="W39" s="478">
        <f>corntbl17[[#This Row],[Gross Units]]-corntbl17[[#This Row],[Shrink]]</f>
        <v>0</v>
      </c>
    </row>
    <row r="40" spans="1:23" s="166" customFormat="1" x14ac:dyDescent="0.25">
      <c r="A40" s="473"/>
      <c r="B40" s="474"/>
      <c r="C40" s="474"/>
      <c r="D40" s="474"/>
      <c r="E40" s="474"/>
      <c r="F40" s="474"/>
      <c r="G40" s="474"/>
      <c r="H40" s="474"/>
      <c r="I40" s="474"/>
      <c r="J40" s="474"/>
      <c r="K40" s="474"/>
      <c r="L40" s="474"/>
      <c r="M40" s="475"/>
      <c r="N40" s="475"/>
      <c r="O40" s="476">
        <f>(corntbl17[[#This Row],[Gross/ -Truck Net]]-corntbl17[[#This Row],[Tare]])</f>
        <v>0</v>
      </c>
      <c r="P40" s="476"/>
      <c r="Q40" s="476"/>
      <c r="R40" s="477"/>
      <c r="S40" s="476"/>
      <c r="T40" s="478">
        <f>corntbl17[[#This Row],[Net]]/56</f>
        <v>0</v>
      </c>
      <c r="U40" s="478"/>
      <c r="V40" s="478"/>
      <c r="W40" s="478">
        <f>corntbl17[[#This Row],[Gross Units]]-corntbl17[[#This Row],[Shrink]]</f>
        <v>0</v>
      </c>
    </row>
    <row r="41" spans="1:23" s="166" customFormat="1" x14ac:dyDescent="0.25">
      <c r="A41" s="473"/>
      <c r="B41" s="474"/>
      <c r="C41" s="474"/>
      <c r="D41" s="474"/>
      <c r="E41" s="474"/>
      <c r="F41" s="474"/>
      <c r="G41" s="474"/>
      <c r="H41" s="474"/>
      <c r="I41" s="474"/>
      <c r="J41" s="474"/>
      <c r="K41" s="474"/>
      <c r="L41" s="474"/>
      <c r="M41" s="475"/>
      <c r="N41" s="475"/>
      <c r="O41" s="476">
        <f>(corntbl17[[#This Row],[Gross/ -Truck Net]]-corntbl17[[#This Row],[Tare]])</f>
        <v>0</v>
      </c>
      <c r="P41" s="476"/>
      <c r="Q41" s="476"/>
      <c r="R41" s="477"/>
      <c r="S41" s="476"/>
      <c r="T41" s="478">
        <f>corntbl17[[#This Row],[Net]]/56</f>
        <v>0</v>
      </c>
      <c r="U41" s="478"/>
      <c r="V41" s="478"/>
      <c r="W41" s="478">
        <f>corntbl17[[#This Row],[Gross Units]]-corntbl17[[#This Row],[Shrink]]</f>
        <v>0</v>
      </c>
    </row>
    <row r="42" spans="1:23" s="166" customFormat="1" x14ac:dyDescent="0.25">
      <c r="A42" s="473"/>
      <c r="B42" s="474"/>
      <c r="C42" s="474"/>
      <c r="D42" s="474"/>
      <c r="E42" s="474"/>
      <c r="F42" s="474"/>
      <c r="G42" s="474"/>
      <c r="H42" s="474"/>
      <c r="I42" s="474"/>
      <c r="J42" s="474"/>
      <c r="K42" s="474"/>
      <c r="L42" s="474"/>
      <c r="M42" s="475"/>
      <c r="N42" s="475"/>
      <c r="O42" s="476">
        <f>(corntbl17[[#This Row],[Gross/ -Truck Net]]-corntbl17[[#This Row],[Tare]])</f>
        <v>0</v>
      </c>
      <c r="P42" s="476"/>
      <c r="Q42" s="476"/>
      <c r="R42" s="477"/>
      <c r="S42" s="476"/>
      <c r="T42" s="478">
        <f>corntbl17[[#This Row],[Net]]/56</f>
        <v>0</v>
      </c>
      <c r="U42" s="478"/>
      <c r="V42" s="478"/>
      <c r="W42" s="478">
        <f>corntbl17[[#This Row],[Gross Units]]-corntbl17[[#This Row],[Shrink]]</f>
        <v>0</v>
      </c>
    </row>
    <row r="43" spans="1:23" s="166" customFormat="1" x14ac:dyDescent="0.25">
      <c r="A43" s="473"/>
      <c r="B43" s="474"/>
      <c r="C43" s="474"/>
      <c r="D43" s="474"/>
      <c r="E43" s="474"/>
      <c r="F43" s="474"/>
      <c r="G43" s="474"/>
      <c r="H43" s="474"/>
      <c r="I43" s="474"/>
      <c r="J43" s="474"/>
      <c r="K43" s="474"/>
      <c r="L43" s="474"/>
      <c r="M43" s="475"/>
      <c r="N43" s="475"/>
      <c r="O43" s="476">
        <f>(corntbl17[[#This Row],[Gross/ -Truck Net]]-corntbl17[[#This Row],[Tare]])</f>
        <v>0</v>
      </c>
      <c r="P43" s="476"/>
      <c r="Q43" s="476"/>
      <c r="R43" s="477"/>
      <c r="S43" s="476"/>
      <c r="T43" s="478">
        <f>corntbl17[[#This Row],[Net]]/56</f>
        <v>0</v>
      </c>
      <c r="U43" s="478"/>
      <c r="V43" s="478"/>
      <c r="W43" s="478">
        <f>corntbl17[[#This Row],[Gross Units]]-corntbl17[[#This Row],[Shrink]]</f>
        <v>0</v>
      </c>
    </row>
    <row r="44" spans="1:23" s="166" customFormat="1" x14ac:dyDescent="0.25">
      <c r="A44" s="473"/>
      <c r="B44" s="474"/>
      <c r="C44" s="474"/>
      <c r="D44" s="474"/>
      <c r="E44" s="474"/>
      <c r="F44" s="474"/>
      <c r="G44" s="474"/>
      <c r="H44" s="474"/>
      <c r="I44" s="474"/>
      <c r="J44" s="474"/>
      <c r="K44" s="474"/>
      <c r="L44" s="474"/>
      <c r="M44" s="475"/>
      <c r="N44" s="475"/>
      <c r="O44" s="476">
        <f>(corntbl17[[#This Row],[Gross/ -Truck Net]]-corntbl17[[#This Row],[Tare]])</f>
        <v>0</v>
      </c>
      <c r="P44" s="476"/>
      <c r="Q44" s="476"/>
      <c r="R44" s="477"/>
      <c r="S44" s="476"/>
      <c r="T44" s="478">
        <f>corntbl17[[#This Row],[Net]]/56</f>
        <v>0</v>
      </c>
      <c r="U44" s="478"/>
      <c r="V44" s="478"/>
      <c r="W44" s="478">
        <f>corntbl17[[#This Row],[Gross Units]]-corntbl17[[#This Row],[Shrink]]</f>
        <v>0</v>
      </c>
    </row>
    <row r="45" spans="1:23" s="166" customFormat="1" x14ac:dyDescent="0.25">
      <c r="A45" s="479"/>
      <c r="B45" s="476"/>
      <c r="C45" s="476"/>
      <c r="D45" s="476"/>
      <c r="E45" s="476"/>
      <c r="F45" s="476"/>
      <c r="G45" s="476"/>
      <c r="H45" s="476"/>
      <c r="I45" s="476"/>
      <c r="J45" s="476"/>
      <c r="K45" s="476"/>
      <c r="L45" s="476"/>
      <c r="M45" s="480"/>
      <c r="N45" s="480"/>
      <c r="O45" s="476">
        <f>(corntbl17[[#This Row],[Gross/ -Truck Net]]-corntbl17[[#This Row],[Tare]])</f>
        <v>0</v>
      </c>
      <c r="P45" s="476"/>
      <c r="Q45" s="476"/>
      <c r="R45" s="477" t="s">
        <v>586</v>
      </c>
      <c r="S45" s="476"/>
      <c r="T45" s="478">
        <f>corntbl17[[#This Row],[Net]]/56</f>
        <v>0</v>
      </c>
      <c r="U45" s="478"/>
      <c r="V45" s="478"/>
      <c r="W45" s="478">
        <f>corntbl17[[#This Row],[Gross Units]]-corntbl17[[#This Row],[Shrink]]</f>
        <v>0</v>
      </c>
    </row>
    <row r="46" spans="1:23" s="166" customFormat="1" x14ac:dyDescent="0.25">
      <c r="A46" s="479"/>
      <c r="B46" s="476"/>
      <c r="C46" s="476"/>
      <c r="D46" s="476"/>
      <c r="E46" s="476"/>
      <c r="F46" s="476"/>
      <c r="G46" s="476"/>
      <c r="H46" s="476"/>
      <c r="I46" s="476"/>
      <c r="J46" s="476"/>
      <c r="K46" s="476"/>
      <c r="L46" s="476"/>
      <c r="M46" s="480"/>
      <c r="N46" s="480"/>
      <c r="O46" s="476">
        <f>(corntbl17[[#This Row],[Gross/ -Truck Net]]-corntbl17[[#This Row],[Tare]])</f>
        <v>0</v>
      </c>
      <c r="P46" s="476"/>
      <c r="Q46" s="476"/>
      <c r="R46" s="477" t="s">
        <v>586</v>
      </c>
      <c r="S46" s="476"/>
      <c r="T46" s="478">
        <f>corntbl17[[#This Row],[Net]]/56</f>
        <v>0</v>
      </c>
      <c r="U46" s="478"/>
      <c r="V46" s="478"/>
      <c r="W46" s="478">
        <f>corntbl17[[#This Row],[Gross Units]]-corntbl17[[#This Row],[Shrink]]</f>
        <v>0</v>
      </c>
    </row>
    <row r="47" spans="1:23" s="166" customFormat="1" x14ac:dyDescent="0.25">
      <c r="A47" s="479"/>
      <c r="B47" s="476"/>
      <c r="C47" s="476"/>
      <c r="D47" s="476"/>
      <c r="E47" s="476"/>
      <c r="F47" s="476"/>
      <c r="G47" s="476"/>
      <c r="H47" s="476"/>
      <c r="I47" s="476"/>
      <c r="J47" s="476"/>
      <c r="K47" s="476"/>
      <c r="L47" s="476"/>
      <c r="M47" s="480"/>
      <c r="N47" s="480"/>
      <c r="O47" s="476">
        <f>(corntbl17[[#This Row],[Gross/ -Truck Net]]-corntbl17[[#This Row],[Tare]])</f>
        <v>0</v>
      </c>
      <c r="P47" s="476"/>
      <c r="Q47" s="476"/>
      <c r="R47" s="477" t="s">
        <v>586</v>
      </c>
      <c r="S47" s="476"/>
      <c r="T47" s="478">
        <f>corntbl17[[#This Row],[Net]]/56</f>
        <v>0</v>
      </c>
      <c r="U47" s="478"/>
      <c r="V47" s="478"/>
      <c r="W47" s="478">
        <f>corntbl17[[#This Row],[Gross Units]]-corntbl17[[#This Row],[Shrink]]</f>
        <v>0</v>
      </c>
    </row>
    <row r="48" spans="1:23" s="166" customFormat="1" x14ac:dyDescent="0.25">
      <c r="A48" s="479"/>
      <c r="B48" s="476"/>
      <c r="C48" s="476"/>
      <c r="D48" s="476"/>
      <c r="E48" s="476"/>
      <c r="F48" s="476"/>
      <c r="G48" s="476"/>
      <c r="H48" s="476"/>
      <c r="I48" s="476"/>
      <c r="J48" s="476"/>
      <c r="K48" s="476"/>
      <c r="L48" s="476"/>
      <c r="M48" s="480"/>
      <c r="N48" s="480"/>
      <c r="O48" s="476">
        <f>(corntbl17[[#This Row],[Gross/ -Truck Net]]-corntbl17[[#This Row],[Tare]])</f>
        <v>0</v>
      </c>
      <c r="P48" s="476"/>
      <c r="Q48" s="476"/>
      <c r="R48" s="477"/>
      <c r="S48" s="476"/>
      <c r="T48" s="478">
        <f>corntbl17[[#This Row],[Net]]/56</f>
        <v>0</v>
      </c>
      <c r="U48" s="478"/>
      <c r="V48" s="478"/>
      <c r="W48" s="478">
        <f>corntbl17[[#This Row],[Gross Units]]-corntbl17[[#This Row],[Shrink]]</f>
        <v>0</v>
      </c>
    </row>
    <row r="49" spans="1:23" s="166" customFormat="1" x14ac:dyDescent="0.25">
      <c r="A49" s="479"/>
      <c r="B49" s="476"/>
      <c r="C49" s="476"/>
      <c r="D49" s="476"/>
      <c r="E49" s="476"/>
      <c r="F49" s="476"/>
      <c r="G49" s="476"/>
      <c r="H49" s="476"/>
      <c r="I49" s="476"/>
      <c r="J49" s="476"/>
      <c r="K49" s="476"/>
      <c r="L49" s="476"/>
      <c r="M49" s="480"/>
      <c r="N49" s="480"/>
      <c r="O49" s="476">
        <f>(corntbl17[[#This Row],[Gross/ -Truck Net]]-corntbl17[[#This Row],[Tare]])</f>
        <v>0</v>
      </c>
      <c r="P49" s="476"/>
      <c r="Q49" s="476"/>
      <c r="R49" s="477" t="s">
        <v>586</v>
      </c>
      <c r="S49" s="476"/>
      <c r="T49" s="478">
        <f>corntbl17[[#This Row],[Net]]/56</f>
        <v>0</v>
      </c>
      <c r="U49" s="478"/>
      <c r="V49" s="478"/>
      <c r="W49" s="478">
        <f>corntbl17[[#This Row],[Gross Units]]-corntbl17[[#This Row],[Shrink]]</f>
        <v>0</v>
      </c>
    </row>
    <row r="50" spans="1:23" s="166" customFormat="1" x14ac:dyDescent="0.25">
      <c r="A50" s="479"/>
      <c r="B50" s="476"/>
      <c r="C50" s="476"/>
      <c r="D50" s="476"/>
      <c r="E50" s="476"/>
      <c r="F50" s="476"/>
      <c r="G50" s="476"/>
      <c r="H50" s="476"/>
      <c r="I50" s="476"/>
      <c r="J50" s="476"/>
      <c r="K50" s="476"/>
      <c r="L50" s="476"/>
      <c r="M50" s="480"/>
      <c r="N50" s="480"/>
      <c r="O50" s="476">
        <f>(corntbl17[[#This Row],[Gross/ -Truck Net]]-corntbl17[[#This Row],[Tare]])</f>
        <v>0</v>
      </c>
      <c r="P50" s="476"/>
      <c r="Q50" s="476"/>
      <c r="R50" s="477"/>
      <c r="S50" s="476"/>
      <c r="T50" s="478">
        <f>corntbl17[[#This Row],[Net]]/56</f>
        <v>0</v>
      </c>
      <c r="U50" s="478"/>
      <c r="V50" s="478"/>
      <c r="W50" s="478">
        <f>corntbl17[[#This Row],[Gross Units]]-corntbl17[[#This Row],[Shrink]]</f>
        <v>0</v>
      </c>
    </row>
    <row r="51" spans="1:23" s="166" customFormat="1" x14ac:dyDescent="0.25">
      <c r="A51" s="479"/>
      <c r="B51" s="476"/>
      <c r="C51" s="476"/>
      <c r="D51" s="476"/>
      <c r="E51" s="476"/>
      <c r="F51" s="476"/>
      <c r="G51" s="476"/>
      <c r="H51" s="476"/>
      <c r="I51" s="476"/>
      <c r="J51" s="476"/>
      <c r="K51" s="476"/>
      <c r="L51" s="476"/>
      <c r="M51" s="480"/>
      <c r="N51" s="480"/>
      <c r="O51" s="476">
        <f>(corntbl17[[#This Row],[Gross/ -Truck Net]]-corntbl17[[#This Row],[Tare]])</f>
        <v>0</v>
      </c>
      <c r="P51" s="476"/>
      <c r="Q51" s="476"/>
      <c r="R51" s="477" t="s">
        <v>586</v>
      </c>
      <c r="S51" s="476"/>
      <c r="T51" s="478">
        <f>corntbl17[[#This Row],[Net]]/56</f>
        <v>0</v>
      </c>
      <c r="U51" s="478"/>
      <c r="V51" s="478"/>
      <c r="W51" s="478">
        <f>corntbl17[[#This Row],[Gross Units]]-corntbl17[[#This Row],[Shrink]]</f>
        <v>0</v>
      </c>
    </row>
    <row r="52" spans="1:23" s="166" customFormat="1" x14ac:dyDescent="0.25">
      <c r="A52" s="479"/>
      <c r="B52" s="476"/>
      <c r="C52" s="476"/>
      <c r="D52" s="476"/>
      <c r="E52" s="476"/>
      <c r="F52" s="476"/>
      <c r="G52" s="476"/>
      <c r="H52" s="476"/>
      <c r="I52" s="476"/>
      <c r="J52" s="476"/>
      <c r="K52" s="476"/>
      <c r="L52" s="476"/>
      <c r="M52" s="480"/>
      <c r="N52" s="480"/>
      <c r="O52" s="476">
        <f>(corntbl17[[#This Row],[Gross/ -Truck Net]]-corntbl17[[#This Row],[Tare]])</f>
        <v>0</v>
      </c>
      <c r="P52" s="476"/>
      <c r="Q52" s="476"/>
      <c r="R52" s="477" t="s">
        <v>586</v>
      </c>
      <c r="S52" s="476"/>
      <c r="T52" s="478">
        <f>corntbl17[[#This Row],[Net]]/56</f>
        <v>0</v>
      </c>
      <c r="U52" s="478"/>
      <c r="V52" s="478"/>
      <c r="W52" s="478">
        <f>corntbl17[[#This Row],[Gross Units]]-corntbl17[[#This Row],[Shrink]]</f>
        <v>0</v>
      </c>
    </row>
    <row r="53" spans="1:23" s="166" customFormat="1" ht="15" customHeight="1" x14ac:dyDescent="0.25">
      <c r="A53" s="479"/>
      <c r="B53" s="476"/>
      <c r="C53" s="476"/>
      <c r="D53" s="476"/>
      <c r="E53" s="476"/>
      <c r="F53" s="476"/>
      <c r="G53" s="476"/>
      <c r="H53" s="476"/>
      <c r="I53" s="476"/>
      <c r="J53" s="476"/>
      <c r="K53" s="476"/>
      <c r="L53" s="476"/>
      <c r="M53" s="480"/>
      <c r="N53" s="480"/>
      <c r="O53" s="476">
        <f>(corntbl17[[#This Row],[Gross/ -Truck Net]]-corntbl17[[#This Row],[Tare]])</f>
        <v>0</v>
      </c>
      <c r="P53" s="476"/>
      <c r="Q53" s="476"/>
      <c r="R53" s="477"/>
      <c r="S53" s="476"/>
      <c r="T53" s="478">
        <f>corntbl17[[#This Row],[Net]]/56</f>
        <v>0</v>
      </c>
      <c r="U53" s="478"/>
      <c r="V53" s="478"/>
      <c r="W53" s="478">
        <f>corntbl17[[#This Row],[Gross Units]]-corntbl17[[#This Row],[Shrink]]</f>
        <v>0</v>
      </c>
    </row>
    <row r="54" spans="1:23" s="166" customFormat="1" x14ac:dyDescent="0.25">
      <c r="A54" s="479"/>
      <c r="B54" s="476"/>
      <c r="C54" s="476"/>
      <c r="D54" s="476"/>
      <c r="E54" s="476"/>
      <c r="F54" s="476"/>
      <c r="G54" s="476"/>
      <c r="H54" s="476"/>
      <c r="I54" s="476"/>
      <c r="J54" s="476"/>
      <c r="K54" s="476"/>
      <c r="L54" s="476"/>
      <c r="M54" s="480"/>
      <c r="N54" s="480"/>
      <c r="O54" s="476">
        <f>(corntbl17[[#This Row],[Gross/ -Truck Net]]-corntbl17[[#This Row],[Tare]])</f>
        <v>0</v>
      </c>
      <c r="P54" s="476"/>
      <c r="Q54" s="476"/>
      <c r="R54" s="477"/>
      <c r="S54" s="476"/>
      <c r="T54" s="478">
        <f>corntbl17[[#This Row],[Net]]/56</f>
        <v>0</v>
      </c>
      <c r="U54" s="478"/>
      <c r="V54" s="478"/>
      <c r="W54" s="478">
        <f>corntbl17[[#This Row],[Gross Units]]-corntbl17[[#This Row],[Shrink]]</f>
        <v>0</v>
      </c>
    </row>
    <row r="55" spans="1:23" s="166" customFormat="1" x14ac:dyDescent="0.25">
      <c r="A55" s="479"/>
      <c r="B55" s="476"/>
      <c r="C55" s="476"/>
      <c r="D55" s="476"/>
      <c r="E55" s="476"/>
      <c r="F55" s="476"/>
      <c r="G55" s="476"/>
      <c r="H55" s="476"/>
      <c r="I55" s="476"/>
      <c r="J55" s="476"/>
      <c r="K55" s="476"/>
      <c r="L55" s="476"/>
      <c r="M55" s="480"/>
      <c r="N55" s="480"/>
      <c r="O55" s="476">
        <f>(corntbl17[[#This Row],[Gross/ -Truck Net]]-corntbl17[[#This Row],[Tare]])</f>
        <v>0</v>
      </c>
      <c r="P55" s="476"/>
      <c r="Q55" s="476"/>
      <c r="R55" s="477"/>
      <c r="S55" s="476"/>
      <c r="T55" s="478">
        <f>corntbl17[[#This Row],[Net]]/56</f>
        <v>0</v>
      </c>
      <c r="U55" s="478"/>
      <c r="V55" s="478"/>
      <c r="W55" s="478">
        <f>corntbl17[[#This Row],[Gross Units]]-corntbl17[[#This Row],[Shrink]]</f>
        <v>0</v>
      </c>
    </row>
    <row r="56" spans="1:23" s="166" customFormat="1" x14ac:dyDescent="0.25">
      <c r="A56" s="473"/>
      <c r="B56" s="474"/>
      <c r="C56" s="474"/>
      <c r="D56" s="474"/>
      <c r="E56" s="474"/>
      <c r="F56" s="474"/>
      <c r="G56" s="476"/>
      <c r="H56" s="476"/>
      <c r="I56" s="476"/>
      <c r="J56" s="476"/>
      <c r="K56" s="476"/>
      <c r="L56" s="476"/>
      <c r="M56" s="480"/>
      <c r="N56" s="480"/>
      <c r="O56" s="476">
        <f>(corntbl17[[#This Row],[Gross/ -Truck Net]]-corntbl17[[#This Row],[Tare]])</f>
        <v>0</v>
      </c>
      <c r="P56" s="476"/>
      <c r="Q56" s="476"/>
      <c r="R56" s="477"/>
      <c r="S56" s="476"/>
      <c r="T56" s="478">
        <f>corntbl17[[#This Row],[Net]]/56</f>
        <v>0</v>
      </c>
      <c r="U56" s="478"/>
      <c r="V56" s="478"/>
      <c r="W56" s="478">
        <f>corntbl17[[#This Row],[Gross Units]]-corntbl17[[#This Row],[Shrink]]</f>
        <v>0</v>
      </c>
    </row>
    <row r="57" spans="1:23" s="166" customFormat="1" x14ac:dyDescent="0.25">
      <c r="A57" s="473"/>
      <c r="B57" s="474"/>
      <c r="C57" s="474"/>
      <c r="D57" s="474"/>
      <c r="E57" s="474"/>
      <c r="F57" s="474"/>
      <c r="G57" s="476"/>
      <c r="H57" s="476"/>
      <c r="I57" s="476"/>
      <c r="J57" s="476"/>
      <c r="K57" s="476"/>
      <c r="L57" s="476"/>
      <c r="M57" s="480"/>
      <c r="N57" s="480"/>
      <c r="O57" s="476">
        <f>(corntbl17[[#This Row],[Gross/ -Truck Net]]-corntbl17[[#This Row],[Tare]])</f>
        <v>0</v>
      </c>
      <c r="P57" s="476"/>
      <c r="Q57" s="476"/>
      <c r="R57" s="477"/>
      <c r="S57" s="476"/>
      <c r="T57" s="478">
        <f>corntbl17[[#This Row],[Net]]/56</f>
        <v>0</v>
      </c>
      <c r="U57" s="478"/>
      <c r="V57" s="478"/>
      <c r="W57" s="478">
        <f>corntbl17[[#This Row],[Gross Units]]-corntbl17[[#This Row],[Shrink]]</f>
        <v>0</v>
      </c>
    </row>
    <row r="58" spans="1:23" s="166" customFormat="1" x14ac:dyDescent="0.25">
      <c r="A58" s="473"/>
      <c r="B58" s="474"/>
      <c r="C58" s="474"/>
      <c r="D58" s="474"/>
      <c r="E58" s="474"/>
      <c r="F58" s="474"/>
      <c r="G58" s="476"/>
      <c r="H58" s="476"/>
      <c r="I58" s="476"/>
      <c r="J58" s="476"/>
      <c r="K58" s="476"/>
      <c r="L58" s="476"/>
      <c r="M58" s="480"/>
      <c r="N58" s="480"/>
      <c r="O58" s="476">
        <f>(corntbl17[[#This Row],[Gross/ -Truck Net]]-corntbl17[[#This Row],[Tare]])</f>
        <v>0</v>
      </c>
      <c r="P58" s="476"/>
      <c r="Q58" s="476"/>
      <c r="R58" s="477"/>
      <c r="S58" s="476"/>
      <c r="T58" s="478">
        <f>corntbl17[[#This Row],[Net]]/56</f>
        <v>0</v>
      </c>
      <c r="U58" s="478"/>
      <c r="V58" s="478"/>
      <c r="W58" s="478">
        <f>corntbl17[[#This Row],[Gross Units]]-corntbl17[[#This Row],[Shrink]]</f>
        <v>0</v>
      </c>
    </row>
    <row r="59" spans="1:23" s="166" customFormat="1" x14ac:dyDescent="0.25">
      <c r="A59" s="473"/>
      <c r="B59" s="474"/>
      <c r="C59" s="474"/>
      <c r="D59" s="474"/>
      <c r="E59" s="474"/>
      <c r="F59" s="474"/>
      <c r="G59" s="476"/>
      <c r="H59" s="476"/>
      <c r="I59" s="476"/>
      <c r="J59" s="476"/>
      <c r="K59" s="476"/>
      <c r="L59" s="476"/>
      <c r="M59" s="480"/>
      <c r="N59" s="480"/>
      <c r="O59" s="476">
        <f>(corntbl17[[#This Row],[Gross/ -Truck Net]]-corntbl17[[#This Row],[Tare]])</f>
        <v>0</v>
      </c>
      <c r="P59" s="476"/>
      <c r="Q59" s="476"/>
      <c r="R59" s="477"/>
      <c r="S59" s="476"/>
      <c r="T59" s="478">
        <f>corntbl17[[#This Row],[Net]]/56</f>
        <v>0</v>
      </c>
      <c r="U59" s="478"/>
      <c r="V59" s="478"/>
      <c r="W59" s="478">
        <f>corntbl17[[#This Row],[Gross Units]]-corntbl17[[#This Row],[Shrink]]</f>
        <v>0</v>
      </c>
    </row>
    <row r="60" spans="1:23" s="166" customFormat="1" x14ac:dyDescent="0.25">
      <c r="A60" s="473"/>
      <c r="B60" s="474"/>
      <c r="C60" s="474"/>
      <c r="D60" s="474"/>
      <c r="E60" s="474"/>
      <c r="F60" s="474"/>
      <c r="G60" s="476"/>
      <c r="H60" s="476"/>
      <c r="I60" s="476"/>
      <c r="J60" s="476"/>
      <c r="K60" s="476"/>
      <c r="L60" s="476"/>
      <c r="M60" s="480"/>
      <c r="N60" s="480"/>
      <c r="O60" s="476">
        <f>(corntbl17[[#This Row],[Gross/ -Truck Net]]-corntbl17[[#This Row],[Tare]])</f>
        <v>0</v>
      </c>
      <c r="P60" s="476"/>
      <c r="Q60" s="476"/>
      <c r="R60" s="477"/>
      <c r="S60" s="476"/>
      <c r="T60" s="478">
        <f>corntbl17[[#This Row],[Net]]/56</f>
        <v>0</v>
      </c>
      <c r="U60" s="478"/>
      <c r="V60" s="478"/>
      <c r="W60" s="478">
        <f>corntbl17[[#This Row],[Gross Units]]-corntbl17[[#This Row],[Shrink]]</f>
        <v>0</v>
      </c>
    </row>
    <row r="61" spans="1:23" s="166" customFormat="1" x14ac:dyDescent="0.25">
      <c r="A61" s="479"/>
      <c r="B61" s="476"/>
      <c r="C61" s="476"/>
      <c r="D61" s="476"/>
      <c r="E61" s="476"/>
      <c r="F61" s="476"/>
      <c r="G61" s="476"/>
      <c r="H61" s="476"/>
      <c r="I61" s="476"/>
      <c r="J61" s="476"/>
      <c r="K61" s="476"/>
      <c r="L61" s="476"/>
      <c r="M61" s="480"/>
      <c r="N61" s="480"/>
      <c r="O61" s="476">
        <f>(corntbl17[[#This Row],[Gross/ -Truck Net]]-corntbl17[[#This Row],[Tare]])</f>
        <v>0</v>
      </c>
      <c r="P61" s="476"/>
      <c r="Q61" s="476"/>
      <c r="R61" s="477"/>
      <c r="S61" s="476"/>
      <c r="T61" s="478">
        <f>corntbl17[[#This Row],[Net]]/56</f>
        <v>0</v>
      </c>
      <c r="U61" s="478"/>
      <c r="V61" s="478"/>
      <c r="W61" s="478">
        <f>corntbl17[[#This Row],[Gross Units]]-corntbl17[[#This Row],[Shrink]]</f>
        <v>0</v>
      </c>
    </row>
    <row r="62" spans="1:23" s="226" customFormat="1" ht="23.25" x14ac:dyDescent="0.35">
      <c r="A62" s="481" t="s">
        <v>38</v>
      </c>
      <c r="B62" s="481"/>
      <c r="C62" s="481"/>
      <c r="D62" s="482"/>
      <c r="E62" s="482"/>
      <c r="F62" s="482"/>
      <c r="G62" s="482"/>
      <c r="H62" s="482"/>
      <c r="I62" s="482"/>
      <c r="J62" s="482"/>
      <c r="K62" s="482"/>
      <c r="L62" s="482"/>
      <c r="M62" s="469"/>
      <c r="N62" s="469"/>
      <c r="O62" s="482">
        <f>SUBTOTAL(109,corntbl17[Net])</f>
        <v>0</v>
      </c>
      <c r="P62" s="482"/>
      <c r="Q62" s="482"/>
      <c r="R62" s="482"/>
      <c r="S62" s="482"/>
      <c r="T62" s="482"/>
      <c r="U62" s="483">
        <f>SUBTOTAL(109,corntbl17[Shrink])</f>
        <v>0</v>
      </c>
      <c r="V62" s="482"/>
      <c r="W62" s="482"/>
    </row>
    <row r="63" spans="1:23" s="96" customFormat="1" ht="31.5" customHeight="1" x14ac:dyDescent="0.25">
      <c r="A63" s="484" t="s">
        <v>481</v>
      </c>
      <c r="B63" s="484" t="s">
        <v>482</v>
      </c>
      <c r="C63" s="484" t="s">
        <v>118</v>
      </c>
      <c r="D63" s="484" t="s">
        <v>119</v>
      </c>
      <c r="E63" s="484" t="s">
        <v>483</v>
      </c>
      <c r="F63" s="484" t="s">
        <v>484</v>
      </c>
      <c r="G63" s="484" t="s">
        <v>485</v>
      </c>
      <c r="H63" s="484" t="s">
        <v>477</v>
      </c>
      <c r="I63" s="484" t="s">
        <v>478</v>
      </c>
      <c r="J63" s="484" t="s">
        <v>486</v>
      </c>
      <c r="K63" s="484" t="s">
        <v>600</v>
      </c>
      <c r="L63" s="484" t="s">
        <v>601</v>
      </c>
      <c r="M63" s="484" t="s">
        <v>623</v>
      </c>
      <c r="N63" s="484" t="s">
        <v>556</v>
      </c>
      <c r="O63" s="484" t="s">
        <v>552</v>
      </c>
      <c r="P63" s="484" t="s">
        <v>553</v>
      </c>
      <c r="Q63" s="484" t="s">
        <v>554</v>
      </c>
      <c r="R63" s="484" t="s">
        <v>555</v>
      </c>
      <c r="S63" s="484" t="s">
        <v>604</v>
      </c>
      <c r="T63" s="484" t="s">
        <v>557</v>
      </c>
      <c r="U63" s="485"/>
      <c r="V63" s="747"/>
      <c r="W63" s="747"/>
    </row>
    <row r="64" spans="1:23" s="96" customFormat="1" x14ac:dyDescent="0.25">
      <c r="A64" s="486" t="str">
        <f>OVERVIEW!A186</f>
        <v>MCC. ENT.</v>
      </c>
      <c r="B64" s="486" t="str">
        <f>OVERVIEW!B186</f>
        <v>LAFARMS</v>
      </c>
      <c r="C64" s="486" t="str">
        <f>OVERVIEW!C186</f>
        <v>12.E BAM W</v>
      </c>
      <c r="D64" s="486">
        <f>IFERROR((VLOOKUP(CORNYIELDPERF15[[#This Row],[Field]],FIELDACRE,2,FALSE)),"")</f>
        <v>78.599999999999994</v>
      </c>
      <c r="E64" s="486" t="str">
        <f>IFERROR(VLOOKUP(CORNYIELDPERF15[[#This Row],[Field]],FIELDACRE,3,FALSE),"")</f>
        <v>SW4 14-7-48</v>
      </c>
      <c r="F64" s="474">
        <f>IFERROR(VLOOKUP(CORNYIELDPERF15[[#This Row],[Field]],FIELDACRE,4,FALSE),"")</f>
        <v>3438</v>
      </c>
      <c r="G64" s="474">
        <f>IFERROR(VLOOKUP(CORNYIELDPERF15[[#This Row],[Field]],FIELDACRE,5,FALSE),"")</f>
        <v>1750</v>
      </c>
      <c r="H64" s="486" t="s">
        <v>283</v>
      </c>
      <c r="I64" s="486"/>
      <c r="J64" s="486">
        <f>IFERROR(CORNYIELDPERF15[[#This Row],[TOT BU]]/CORNYIELDPERF15[[#This Row],[Acres]],"")</f>
        <v>0</v>
      </c>
      <c r="K64" s="486">
        <f>SUMIF(corntbl17[Field],CORNYIELDPERF15[[#This Row],[Field]],corntbl17[Net])</f>
        <v>0</v>
      </c>
      <c r="L64" s="486">
        <f>SUMIF(corntbl17[Field],CORNYIELDPERF15[[#This Row],[Field]],corntbl17[Net Units])</f>
        <v>0</v>
      </c>
      <c r="M64" s="486">
        <f>CORNYIELDPERF15[[#This Row],[TOT BU]]*0.65</f>
        <v>0</v>
      </c>
      <c r="N64" s="486">
        <f>CORNYIELDPERF15[[#This Row],[TOT BU]]*0.35</f>
        <v>0</v>
      </c>
      <c r="O64" s="487">
        <f>SUMIF(EXPENSETBL45[FIELD],CORNYIELDPERF15[[#This Row],[Field]],EXPENSETBL45[TOTAL])</f>
        <v>-7022.1239999999998</v>
      </c>
      <c r="P64" s="486" t="e">
        <f>CORNYIELDPERF15[[#This Row],[TOTAL EXP]]/CORNYIELDPERF15[[#This Row],[TOT BU]]</f>
        <v>#DIV/0!</v>
      </c>
      <c r="Q64" s="486">
        <f>SUMIF(EXPENSETBL45[FIELD],CORNYIELDPERF15[[#This Row],[Field]],EXPENSETBL45[MCC.ENT])</f>
        <v>3</v>
      </c>
      <c r="R64" s="486" t="e">
        <f>CORNYIELDPERF15[[#This Row],[TOTME]]/CORNYIELDPERF15[[#This Row],[TOT. ME]]</f>
        <v>#DIV/0!</v>
      </c>
      <c r="S64" s="486">
        <f>SUMIF(EXPENSETBL45[FIELD],CORNYIELDPERF15[[#This Row],[Field]],EXPENSETBL45[L.L.])</f>
        <v>0</v>
      </c>
      <c r="T64" s="486" t="e">
        <f>CORNYIELDPERF15[[#This Row],[TOT LL2]]/CORNYIELDPERF15[[#This Row],[TOT LL]]</f>
        <v>#DIV/0!</v>
      </c>
      <c r="U64" s="488"/>
      <c r="V64" s="747"/>
      <c r="W64" s="747"/>
    </row>
    <row r="65" spans="1:23" s="96" customFormat="1" ht="15" hidden="1" customHeight="1" x14ac:dyDescent="0.25">
      <c r="A65" s="486" t="str">
        <f>OVERVIEW!A187</f>
        <v>MCC. ENT.</v>
      </c>
      <c r="B65" s="486" t="str">
        <f>OVERVIEW!B187</f>
        <v>LAFARMS</v>
      </c>
      <c r="C65" s="486" t="str">
        <f>OVERVIEW!C187</f>
        <v>16.W BIG FIELD</v>
      </c>
      <c r="D65" s="486">
        <f>IFERROR((VLOOKUP(CORNYIELDPERF15[[#This Row],[Field]],FIELDACRE,2,FALSE)),"")</f>
        <v>80.09</v>
      </c>
      <c r="E65" s="486" t="str">
        <f>IFERROR(VLOOKUP(CORNYIELDPERF15[[#This Row],[Field]],FIELDACRE,3,FALSE),"")</f>
        <v>E2 7-9-46</v>
      </c>
      <c r="F65" s="474">
        <f>IFERROR(VLOOKUP(CORNYIELDPERF15[[#This Row],[Field]],FIELDACRE,4,FALSE),"")</f>
        <v>3939</v>
      </c>
      <c r="G65" s="474">
        <f>IFERROR(VLOOKUP(CORNYIELDPERF15[[#This Row],[Field]],FIELDACRE,5,FALSE),"")</f>
        <v>3938</v>
      </c>
      <c r="H65" s="486" t="s">
        <v>283</v>
      </c>
      <c r="I65" s="486"/>
      <c r="J65" s="486">
        <f>IFERROR(CORNYIELDPERF15[[#This Row],[TOT BU]]/CORNYIELDPERF15[[#This Row],[Acres]],"")</f>
        <v>0</v>
      </c>
      <c r="K65" s="486">
        <f>SUMIF(corntbl17[Field],CORNYIELDPERF15[[#This Row],[Field]],corntbl17[Net])</f>
        <v>0</v>
      </c>
      <c r="L65" s="486">
        <f>SUMIF(corntbl17[Field],CORNYIELDPERF15[[#This Row],[Field]],corntbl17[Net Units])</f>
        <v>0</v>
      </c>
      <c r="M65" s="486">
        <f>CORNYIELDPERF15[[#This Row],[TOT BU]]*0.65</f>
        <v>0</v>
      </c>
      <c r="N65" s="486">
        <f>CORNYIELDPERF15[[#This Row],[TOT BU]]*0.35</f>
        <v>0</v>
      </c>
      <c r="O65" s="487">
        <f>SUMIF(EXPENSETBL45[FIELD],CORNYIELDPERF15[[#This Row],[Field]],EXPENSETBL45[TOTAL])</f>
        <v>-9157.490600000001</v>
      </c>
      <c r="P65" s="486" t="e">
        <f>CORNYIELDPERF15[[#This Row],[TOTAL EXP]]/CORNYIELDPERF15[[#This Row],[TOT BU]]</f>
        <v>#DIV/0!</v>
      </c>
      <c r="Q65" s="486">
        <f>SUMIF(EXPENSETBL45[FIELD],CORNYIELDPERF15[[#This Row],[Field]],EXPENSETBL45[MCC.ENT])</f>
        <v>3</v>
      </c>
      <c r="R65" s="486" t="e">
        <f>CORNYIELDPERF15[[#This Row],[TOTME]]/CORNYIELDPERF15[[#This Row],[TOT. ME]]</f>
        <v>#DIV/0!</v>
      </c>
      <c r="S65" s="486">
        <f>SUMIF(EXPENSETBL45[FIELD],CORNYIELDPERF15[[#This Row],[Field]],EXPENSETBL45[L.L.])</f>
        <v>0</v>
      </c>
      <c r="T65" s="486" t="e">
        <f>CORNYIELDPERF15[[#This Row],[TOT LL2]]/CORNYIELDPERF15[[#This Row],[TOT LL]]</f>
        <v>#DIV/0!</v>
      </c>
      <c r="U65" s="488"/>
      <c r="V65" s="748"/>
      <c r="W65" s="748"/>
    </row>
    <row r="66" spans="1:23" s="96" customFormat="1" ht="15" hidden="1" customHeight="1" x14ac:dyDescent="0.25">
      <c r="A66" s="486" t="e">
        <f>OVERVIEW!#REF!</f>
        <v>#REF!</v>
      </c>
      <c r="B66" s="486" t="e">
        <f>OVERVIEW!#REF!</f>
        <v>#REF!</v>
      </c>
      <c r="C66" s="486" t="e">
        <f>OVERVIEW!#REF!</f>
        <v>#REF!</v>
      </c>
      <c r="D66" s="486" t="str">
        <f>IFERROR((VLOOKUP(CORNYIELDPERF15[[#This Row],[Field]],FIELDACRE,2,FALSE)),"")</f>
        <v/>
      </c>
      <c r="E66" s="486" t="str">
        <f>IFERROR(VLOOKUP(CORNYIELDPERF15[[#This Row],[Field]],FIELDACRE,3,FALSE),"")</f>
        <v/>
      </c>
      <c r="F66" s="474" t="str">
        <f>IFERROR(VLOOKUP(CORNYIELDPERF15[[#This Row],[Field]],FIELDACRE,4,FALSE),"")</f>
        <v/>
      </c>
      <c r="G66" s="474" t="str">
        <f>IFERROR(VLOOKUP(CORNYIELDPERF15[[#This Row],[Field]],FIELDACRE,5,FALSE),"")</f>
        <v/>
      </c>
      <c r="H66" s="486" t="s">
        <v>283</v>
      </c>
      <c r="I66" s="486"/>
      <c r="J66" s="486" t="str">
        <f>IFERROR(CORNYIELDPERF15[[#This Row],[TOT BU]]/CORNYIELDPERF15[[#This Row],[Acres]],"")</f>
        <v/>
      </c>
      <c r="K66" s="486">
        <f>SUMIF(corntbl17[Field],CORNYIELDPERF15[[#This Row],[Field]],corntbl17[Net])</f>
        <v>0</v>
      </c>
      <c r="L66" s="486">
        <f>SUMIF(corntbl17[Field],CORNYIELDPERF15[[#This Row],[Field]],corntbl17[Net Units])</f>
        <v>0</v>
      </c>
      <c r="M66" s="486">
        <f>CORNYIELDPERF15[[#This Row],[TOT BU]]*0.65</f>
        <v>0</v>
      </c>
      <c r="N66" s="486">
        <f>CORNYIELDPERF15[[#This Row],[TOT BU]]*0.35</f>
        <v>0</v>
      </c>
      <c r="O66" s="487">
        <f>SUMIF(EXPENSETBL45[FIELD],CORNYIELDPERF15[[#This Row],[Field]],EXPENSETBL45[TOTAL])</f>
        <v>0</v>
      </c>
      <c r="P66" s="486" t="e">
        <f>CORNYIELDPERF15[[#This Row],[TOTAL EXP]]/CORNYIELDPERF15[[#This Row],[TOT BU]]</f>
        <v>#DIV/0!</v>
      </c>
      <c r="Q66" s="486">
        <f>SUMIF(EXPENSETBL45[FIELD],CORNYIELDPERF15[[#This Row],[Field]],EXPENSETBL45[MCC.ENT])</f>
        <v>0</v>
      </c>
      <c r="R66" s="486" t="e">
        <f>CORNYIELDPERF15[[#This Row],[TOTME]]/CORNYIELDPERF15[[#This Row],[TOT. ME]]</f>
        <v>#DIV/0!</v>
      </c>
      <c r="S66" s="486">
        <f>SUMIF(EXPENSETBL45[FIELD],CORNYIELDPERF15[[#This Row],[Field]],EXPENSETBL45[L.L.])</f>
        <v>0</v>
      </c>
      <c r="T66" s="486" t="e">
        <f>CORNYIELDPERF15[[#This Row],[TOT LL2]]/CORNYIELDPERF15[[#This Row],[TOT LL]]</f>
        <v>#DIV/0!</v>
      </c>
      <c r="U66" s="488"/>
      <c r="V66" s="748"/>
      <c r="W66" s="748"/>
    </row>
    <row r="67" spans="1:23" s="96" customFormat="1" ht="15" hidden="1" customHeight="1" x14ac:dyDescent="0.25">
      <c r="A67" s="486" t="e">
        <f>OVERVIEW!#REF!</f>
        <v>#REF!</v>
      </c>
      <c r="B67" s="486" t="e">
        <f>OVERVIEW!#REF!</f>
        <v>#REF!</v>
      </c>
      <c r="C67" s="486" t="e">
        <f>OVERVIEW!#REF!</f>
        <v>#REF!</v>
      </c>
      <c r="D67" s="486" t="str">
        <f>IFERROR((VLOOKUP(CORNYIELDPERF15[[#This Row],[Field]],FIELDACRE,2,FALSE)),"")</f>
        <v/>
      </c>
      <c r="E67" s="486" t="str">
        <f>IFERROR(VLOOKUP(CORNYIELDPERF15[[#This Row],[Field]],FIELDACRE,3,FALSE),"")</f>
        <v/>
      </c>
      <c r="F67" s="474" t="str">
        <f>IFERROR(VLOOKUP(CORNYIELDPERF15[[#This Row],[Field]],FIELDACRE,4,FALSE),"")</f>
        <v/>
      </c>
      <c r="G67" s="474" t="str">
        <f>IFERROR(VLOOKUP(CORNYIELDPERF15[[#This Row],[Field]],FIELDACRE,5,FALSE),"")</f>
        <v/>
      </c>
      <c r="H67" s="486" t="s">
        <v>283</v>
      </c>
      <c r="I67" s="486"/>
      <c r="J67" s="486" t="str">
        <f>IFERROR(CORNYIELDPERF15[[#This Row],[TOT BU]]/CORNYIELDPERF15[[#This Row],[Acres]],"")</f>
        <v/>
      </c>
      <c r="K67" s="486">
        <f>SUMIF(corntbl17[Field],CORNYIELDPERF15[[#This Row],[Field]],corntbl17[Net])</f>
        <v>0</v>
      </c>
      <c r="L67" s="486">
        <f>SUMIF(corntbl17[Field],CORNYIELDPERF15[[#This Row],[Field]],corntbl17[Net Units])</f>
        <v>0</v>
      </c>
      <c r="M67" s="486">
        <f>CORNYIELDPERF15[[#This Row],[TOT BU]]*0.65</f>
        <v>0</v>
      </c>
      <c r="N67" s="486">
        <f>CORNYIELDPERF15[[#This Row],[TOT BU]]*0.35</f>
        <v>0</v>
      </c>
      <c r="O67" s="487">
        <f>SUMIF(EXPENSETBL45[FIELD],CORNYIELDPERF15[[#This Row],[Field]],EXPENSETBL45[TOTAL])</f>
        <v>0</v>
      </c>
      <c r="P67" s="486" t="e">
        <f>CORNYIELDPERF15[[#This Row],[TOTAL EXP]]/CORNYIELDPERF15[[#This Row],[TOT BU]]</f>
        <v>#DIV/0!</v>
      </c>
      <c r="Q67" s="486">
        <f>SUMIF(EXPENSETBL45[FIELD],CORNYIELDPERF15[[#This Row],[Field]],EXPENSETBL45[MCC.ENT])</f>
        <v>0</v>
      </c>
      <c r="R67" s="486" t="e">
        <f>CORNYIELDPERF15[[#This Row],[TOTME]]/CORNYIELDPERF15[[#This Row],[TOT. ME]]</f>
        <v>#DIV/0!</v>
      </c>
      <c r="S67" s="486">
        <f>SUMIF(EXPENSETBL45[FIELD],CORNYIELDPERF15[[#This Row],[Field]],EXPENSETBL45[L.L.])</f>
        <v>0</v>
      </c>
      <c r="T67" s="486" t="e">
        <f>CORNYIELDPERF15[[#This Row],[TOT LL2]]/CORNYIELDPERF15[[#This Row],[TOT LL]]</f>
        <v>#DIV/0!</v>
      </c>
      <c r="U67" s="488"/>
      <c r="V67" s="748"/>
      <c r="W67" s="748"/>
    </row>
    <row r="68" spans="1:23" s="96" customFormat="1" ht="15" hidden="1" customHeight="1" x14ac:dyDescent="0.25">
      <c r="A68" s="486" t="e">
        <f>OVERVIEW!#REF!</f>
        <v>#REF!</v>
      </c>
      <c r="B68" s="486" t="e">
        <f>OVERVIEW!#REF!</f>
        <v>#REF!</v>
      </c>
      <c r="C68" s="486" t="e">
        <f>OVERVIEW!#REF!</f>
        <v>#REF!</v>
      </c>
      <c r="D68" s="486" t="str">
        <f>IFERROR((VLOOKUP(CORNYIELDPERF15[[#This Row],[Field]],FIELDACRE,2,FALSE)),"")</f>
        <v/>
      </c>
      <c r="E68" s="486" t="str">
        <f>IFERROR(VLOOKUP(CORNYIELDPERF15[[#This Row],[Field]],FIELDACRE,3,FALSE),"")</f>
        <v/>
      </c>
      <c r="F68" s="474" t="str">
        <f>IFERROR(VLOOKUP(CORNYIELDPERF15[[#This Row],[Field]],FIELDACRE,4,FALSE),"")</f>
        <v/>
      </c>
      <c r="G68" s="474" t="str">
        <f>IFERROR(VLOOKUP(CORNYIELDPERF15[[#This Row],[Field]],FIELDACRE,5,FALSE),"")</f>
        <v/>
      </c>
      <c r="H68" s="486" t="s">
        <v>283</v>
      </c>
      <c r="I68" s="486"/>
      <c r="J68" s="486" t="str">
        <f>IFERROR(CORNYIELDPERF15[[#This Row],[TOT BU]]/CORNYIELDPERF15[[#This Row],[Acres]],"")</f>
        <v/>
      </c>
      <c r="K68" s="486">
        <f>SUMIF(corntbl17[Field],CORNYIELDPERF15[[#This Row],[Field]],corntbl17[Net])</f>
        <v>0</v>
      </c>
      <c r="L68" s="486">
        <f>SUMIF(corntbl17[Field],CORNYIELDPERF15[[#This Row],[Field]],corntbl17[Net Units])</f>
        <v>0</v>
      </c>
      <c r="M68" s="486">
        <f>CORNYIELDPERF15[[#This Row],[TOT BU]]*0.65</f>
        <v>0</v>
      </c>
      <c r="N68" s="486">
        <f>CORNYIELDPERF15[[#This Row],[TOT BU]]*0.35</f>
        <v>0</v>
      </c>
      <c r="O68" s="487">
        <f>SUMIF(EXPENSETBL45[FIELD],CORNYIELDPERF15[[#This Row],[Field]],EXPENSETBL45[TOTAL])</f>
        <v>0</v>
      </c>
      <c r="P68" s="486" t="e">
        <f>CORNYIELDPERF15[[#This Row],[TOTAL EXP]]/CORNYIELDPERF15[[#This Row],[TOT BU]]</f>
        <v>#DIV/0!</v>
      </c>
      <c r="Q68" s="486">
        <f>SUMIF(EXPENSETBL45[FIELD],CORNYIELDPERF15[[#This Row],[Field]],EXPENSETBL45[MCC.ENT])</f>
        <v>0</v>
      </c>
      <c r="R68" s="486" t="e">
        <f>CORNYIELDPERF15[[#This Row],[TOTME]]/CORNYIELDPERF15[[#This Row],[TOT. ME]]</f>
        <v>#DIV/0!</v>
      </c>
      <c r="S68" s="486">
        <f>SUMIF(EXPENSETBL45[FIELD],CORNYIELDPERF15[[#This Row],[Field]],EXPENSETBL45[L.L.])</f>
        <v>0</v>
      </c>
      <c r="T68" s="486" t="e">
        <f>CORNYIELDPERF15[[#This Row],[TOT LL2]]/CORNYIELDPERF15[[#This Row],[TOT LL]]</f>
        <v>#DIV/0!</v>
      </c>
      <c r="U68" s="488"/>
      <c r="V68" s="748"/>
      <c r="W68" s="748"/>
    </row>
    <row r="69" spans="1:23" s="96" customFormat="1" ht="15" hidden="1" customHeight="1" x14ac:dyDescent="0.25">
      <c r="A69" s="486" t="e">
        <f>OVERVIEW!#REF!</f>
        <v>#REF!</v>
      </c>
      <c r="B69" s="486" t="e">
        <f>OVERVIEW!#REF!</f>
        <v>#REF!</v>
      </c>
      <c r="C69" s="486" t="e">
        <f>OVERVIEW!#REF!</f>
        <v>#REF!</v>
      </c>
      <c r="D69" s="486" t="str">
        <f>IFERROR((VLOOKUP(CORNYIELDPERF15[[#This Row],[Field]],FIELDACRE,2,FALSE)),"")</f>
        <v/>
      </c>
      <c r="E69" s="486" t="str">
        <f>IFERROR(VLOOKUP(CORNYIELDPERF15[[#This Row],[Field]],FIELDACRE,3,FALSE),"")</f>
        <v/>
      </c>
      <c r="F69" s="474" t="str">
        <f>IFERROR(VLOOKUP(CORNYIELDPERF15[[#This Row],[Field]],FIELDACRE,4,FALSE),"")</f>
        <v/>
      </c>
      <c r="G69" s="474" t="str">
        <f>IFERROR(VLOOKUP(CORNYIELDPERF15[[#This Row],[Field]],FIELDACRE,5,FALSE),"")</f>
        <v/>
      </c>
      <c r="H69" s="486" t="s">
        <v>283</v>
      </c>
      <c r="I69" s="486"/>
      <c r="J69" s="486" t="str">
        <f>IFERROR(CORNYIELDPERF15[[#This Row],[TOT BU]]/CORNYIELDPERF15[[#This Row],[Acres]],"")</f>
        <v/>
      </c>
      <c r="K69" s="486">
        <f>SUMIF(corntbl17[Field],CORNYIELDPERF15[[#This Row],[Field]],corntbl17[Net])</f>
        <v>0</v>
      </c>
      <c r="L69" s="486">
        <f>SUMIF(corntbl17[Field],CORNYIELDPERF15[[#This Row],[Field]],corntbl17[Net Units])</f>
        <v>0</v>
      </c>
      <c r="M69" s="486">
        <f>CORNYIELDPERF15[[#This Row],[TOT BU]]*0.65</f>
        <v>0</v>
      </c>
      <c r="N69" s="486">
        <f>CORNYIELDPERF15[[#This Row],[TOT BU]]*0.35</f>
        <v>0</v>
      </c>
      <c r="O69" s="487">
        <f>SUMIF(EXPENSETBL45[FIELD],CORNYIELDPERF15[[#This Row],[Field]],EXPENSETBL45[TOTAL])</f>
        <v>0</v>
      </c>
      <c r="P69" s="486" t="e">
        <f>CORNYIELDPERF15[[#This Row],[TOTAL EXP]]/CORNYIELDPERF15[[#This Row],[TOT BU]]</f>
        <v>#DIV/0!</v>
      </c>
      <c r="Q69" s="486">
        <f>SUMIF(EXPENSETBL45[FIELD],CORNYIELDPERF15[[#This Row],[Field]],EXPENSETBL45[MCC.ENT])</f>
        <v>0</v>
      </c>
      <c r="R69" s="486" t="e">
        <f>CORNYIELDPERF15[[#This Row],[TOTME]]/CORNYIELDPERF15[[#This Row],[TOT. ME]]</f>
        <v>#DIV/0!</v>
      </c>
      <c r="S69" s="486">
        <f>SUMIF(EXPENSETBL45[FIELD],CORNYIELDPERF15[[#This Row],[Field]],EXPENSETBL45[L.L.])</f>
        <v>0</v>
      </c>
      <c r="T69" s="486" t="e">
        <f>CORNYIELDPERF15[[#This Row],[TOT LL2]]/CORNYIELDPERF15[[#This Row],[TOT LL]]</f>
        <v>#DIV/0!</v>
      </c>
      <c r="U69" s="488"/>
      <c r="V69" s="748"/>
      <c r="W69" s="748"/>
    </row>
    <row r="70" spans="1:23" s="96" customFormat="1" x14ac:dyDescent="0.25">
      <c r="A70" s="486" t="str">
        <f>OVERVIEW!A200</f>
        <v>Total</v>
      </c>
      <c r="B70" s="486">
        <f>OVERVIEW!B200</f>
        <v>0</v>
      </c>
      <c r="C70" s="486">
        <f>OVERVIEW!C200</f>
        <v>0</v>
      </c>
      <c r="D70" s="486" t="str">
        <f>IFERROR((VLOOKUP(CORNYIELDPERF15[[#This Row],[Field]],FIELDACRE,2,FALSE)),"")</f>
        <v/>
      </c>
      <c r="E70" s="486" t="str">
        <f>IFERROR(VLOOKUP(CORNYIELDPERF15[[#This Row],[Field]],FIELDACRE,3,FALSE),"")</f>
        <v/>
      </c>
      <c r="F70" s="474" t="str">
        <f>IFERROR(VLOOKUP(CORNYIELDPERF15[[#This Row],[Field]],FIELDACRE,4,FALSE),"")</f>
        <v/>
      </c>
      <c r="G70" s="474" t="str">
        <f>IFERROR(VLOOKUP(CORNYIELDPERF15[[#This Row],[Field]],FIELDACRE,5,FALSE),"")</f>
        <v/>
      </c>
      <c r="H70" s="486" t="s">
        <v>283</v>
      </c>
      <c r="I70" s="486"/>
      <c r="J70" s="486" t="str">
        <f>IFERROR(CORNYIELDPERF15[[#This Row],[TOT BU]]/CORNYIELDPERF15[[#This Row],[Acres]],"")</f>
        <v/>
      </c>
      <c r="K70" s="486">
        <f>SUMIF(corntbl17[Field],CORNYIELDPERF15[[#This Row],[Field]],corntbl17[Net])</f>
        <v>0</v>
      </c>
      <c r="L70" s="486">
        <f>SUMIF(corntbl17[Field],CORNYIELDPERF15[[#This Row],[Field]],corntbl17[Net Units])</f>
        <v>0</v>
      </c>
      <c r="M70" s="486">
        <f>CORNYIELDPERF15[[#This Row],[TOT BU]]*0.65</f>
        <v>0</v>
      </c>
      <c r="N70" s="486">
        <f>CORNYIELDPERF15[[#This Row],[TOT BU]]*0.35</f>
        <v>0</v>
      </c>
      <c r="O70" s="487">
        <f>SUMIF(EXPENSETBL45[FIELD],CORNYIELDPERF15[[#This Row],[Field]],EXPENSETBL45[TOTAL])</f>
        <v>0</v>
      </c>
      <c r="P70" s="486" t="e">
        <f>CORNYIELDPERF15[[#This Row],[TOTAL EXP]]/CORNYIELDPERF15[[#This Row],[TOT BU]]</f>
        <v>#DIV/0!</v>
      </c>
      <c r="Q70" s="486">
        <f>SUMIF(EXPENSETBL45[FIELD],CORNYIELDPERF15[[#This Row],[Field]],EXPENSETBL45[MCC.ENT])</f>
        <v>0</v>
      </c>
      <c r="R70" s="486" t="e">
        <f>CORNYIELDPERF15[[#This Row],[TOTME]]/CORNYIELDPERF15[[#This Row],[TOT. ME]]</f>
        <v>#DIV/0!</v>
      </c>
      <c r="S70" s="486">
        <f>SUMIF(EXPENSETBL45[FIELD],CORNYIELDPERF15[[#This Row],[Field]],EXPENSETBL45[L.L.])</f>
        <v>0</v>
      </c>
      <c r="T70" s="486" t="e">
        <f>CORNYIELDPERF15[[#This Row],[TOT LL2]]/CORNYIELDPERF15[[#This Row],[TOT LL]]</f>
        <v>#DIV/0!</v>
      </c>
      <c r="U70" s="488"/>
      <c r="V70" s="747"/>
      <c r="W70" s="747"/>
    </row>
    <row r="71" spans="1:23" s="96" customFormat="1" x14ac:dyDescent="0.25">
      <c r="A71" s="486">
        <f>OVERVIEW!A201</f>
        <v>0</v>
      </c>
      <c r="B71" s="486">
        <f>OVERVIEW!B201</f>
        <v>0</v>
      </c>
      <c r="C71" s="486">
        <f>OVERVIEW!C201</f>
        <v>0</v>
      </c>
      <c r="D71" s="486" t="str">
        <f>IFERROR((VLOOKUP(CORNYIELDPERF15[[#This Row],[Field]],FIELDACRE,2,FALSE)),"")</f>
        <v/>
      </c>
      <c r="E71" s="486" t="str">
        <f>IFERROR(VLOOKUP(CORNYIELDPERF15[[#This Row],[Field]],FIELDACRE,3,FALSE),"")</f>
        <v/>
      </c>
      <c r="F71" s="474" t="str">
        <f>IFERROR(VLOOKUP(CORNYIELDPERF15[[#This Row],[Field]],FIELDACRE,4,FALSE),"")</f>
        <v/>
      </c>
      <c r="G71" s="474" t="str">
        <f>IFERROR(VLOOKUP(CORNYIELDPERF15[[#This Row],[Field]],FIELDACRE,5,FALSE),"")</f>
        <v/>
      </c>
      <c r="H71" s="486" t="s">
        <v>283</v>
      </c>
      <c r="I71" s="486"/>
      <c r="J71" s="486" t="str">
        <f>IFERROR(CORNYIELDPERF15[[#This Row],[TOT BU]]/CORNYIELDPERF15[[#This Row],[Acres]],"")</f>
        <v/>
      </c>
      <c r="K71" s="486">
        <f>SUMIF(corntbl17[Field],CORNYIELDPERF15[[#This Row],[Field]],corntbl17[Net])</f>
        <v>0</v>
      </c>
      <c r="L71" s="486">
        <f>SUMIF(corntbl17[Field],CORNYIELDPERF15[[#This Row],[Field]],corntbl17[Net Units])</f>
        <v>0</v>
      </c>
      <c r="M71" s="486">
        <f>CORNYIELDPERF15[[#This Row],[TOT BU]]*0.65</f>
        <v>0</v>
      </c>
      <c r="N71" s="486">
        <f>CORNYIELDPERF15[[#This Row],[TOT BU]]*0.35</f>
        <v>0</v>
      </c>
      <c r="O71" s="487">
        <f>SUMIF(EXPENSETBL45[FIELD],CORNYIELDPERF15[[#This Row],[Field]],EXPENSETBL45[TOTAL])</f>
        <v>0</v>
      </c>
      <c r="P71" s="486" t="e">
        <f>CORNYIELDPERF15[[#This Row],[TOTAL EXP]]/CORNYIELDPERF15[[#This Row],[TOT BU]]</f>
        <v>#DIV/0!</v>
      </c>
      <c r="Q71" s="486">
        <f>SUMIF(EXPENSETBL45[FIELD],CORNYIELDPERF15[[#This Row],[Field]],EXPENSETBL45[MCC.ENT])</f>
        <v>0</v>
      </c>
      <c r="R71" s="486" t="e">
        <f>CORNYIELDPERF15[[#This Row],[TOTME]]/CORNYIELDPERF15[[#This Row],[TOT. ME]]</f>
        <v>#DIV/0!</v>
      </c>
      <c r="S71" s="486">
        <f>SUMIF(EXPENSETBL45[FIELD],CORNYIELDPERF15[[#This Row],[Field]],EXPENSETBL45[L.L.])</f>
        <v>0</v>
      </c>
      <c r="T71" s="486" t="e">
        <f>CORNYIELDPERF15[[#This Row],[TOT LL2]]/CORNYIELDPERF15[[#This Row],[TOT LL]]</f>
        <v>#DIV/0!</v>
      </c>
      <c r="U71" s="488"/>
      <c r="V71" s="746"/>
      <c r="W71" s="746"/>
    </row>
    <row r="72" spans="1:23" s="96" customFormat="1" x14ac:dyDescent="0.25">
      <c r="A72" s="486">
        <f>OVERVIEW!A202</f>
        <v>0</v>
      </c>
      <c r="B72" s="486">
        <f>OVERVIEW!B202</f>
        <v>0</v>
      </c>
      <c r="C72" s="486">
        <f>OVERVIEW!C202</f>
        <v>0</v>
      </c>
      <c r="D72" s="486" t="str">
        <f>IFERROR((VLOOKUP(CORNYIELDPERF15[[#This Row],[Field]],FIELDACRE,2,FALSE)),"")</f>
        <v/>
      </c>
      <c r="E72" s="486" t="str">
        <f>IFERROR(VLOOKUP(CORNYIELDPERF15[[#This Row],[Field]],FIELDACRE,3,FALSE),"")</f>
        <v/>
      </c>
      <c r="F72" s="474" t="str">
        <f>IFERROR(VLOOKUP(CORNYIELDPERF15[[#This Row],[Field]],FIELDACRE,4,FALSE),"")</f>
        <v/>
      </c>
      <c r="G72" s="474" t="str">
        <f>IFERROR(VLOOKUP(CORNYIELDPERF15[[#This Row],[Field]],FIELDACRE,5,FALSE),"")</f>
        <v/>
      </c>
      <c r="H72" s="486" t="s">
        <v>283</v>
      </c>
      <c r="I72" s="486"/>
      <c r="J72" s="486" t="str">
        <f>IFERROR(CORNYIELDPERF15[[#This Row],[TOT BU]]/CORNYIELDPERF15[[#This Row],[Acres]],"")</f>
        <v/>
      </c>
      <c r="K72" s="486">
        <f>SUMIF(corntbl17[Field],CORNYIELDPERF15[[#This Row],[Field]],corntbl17[Net])</f>
        <v>0</v>
      </c>
      <c r="L72" s="486">
        <f>SUMIF(corntbl17[Field],CORNYIELDPERF15[[#This Row],[Field]],corntbl17[Net Units])</f>
        <v>0</v>
      </c>
      <c r="M72" s="486">
        <f>CORNYIELDPERF15[[#This Row],[TOT BU]]*0.65</f>
        <v>0</v>
      </c>
      <c r="N72" s="486">
        <f>CORNYIELDPERF15[[#This Row],[TOT BU]]*0.35</f>
        <v>0</v>
      </c>
      <c r="O72" s="487">
        <f>SUMIF(EXPENSETBL45[FIELD],CORNYIELDPERF15[[#This Row],[Field]],EXPENSETBL45[TOTAL])</f>
        <v>0</v>
      </c>
      <c r="P72" s="486" t="e">
        <f>CORNYIELDPERF15[[#This Row],[TOTAL EXP]]/CORNYIELDPERF15[[#This Row],[TOT BU]]</f>
        <v>#DIV/0!</v>
      </c>
      <c r="Q72" s="486">
        <f>SUMIF(EXPENSETBL45[FIELD],CORNYIELDPERF15[[#This Row],[Field]],EXPENSETBL45[MCC.ENT])</f>
        <v>0</v>
      </c>
      <c r="R72" s="486" t="e">
        <f>CORNYIELDPERF15[[#This Row],[TOTME]]/CORNYIELDPERF15[[#This Row],[TOT. ME]]</f>
        <v>#DIV/0!</v>
      </c>
      <c r="S72" s="486">
        <f>SUMIF(EXPENSETBL45[FIELD],CORNYIELDPERF15[[#This Row],[Field]],EXPENSETBL45[L.L.])</f>
        <v>0</v>
      </c>
      <c r="T72" s="486" t="e">
        <f>CORNYIELDPERF15[[#This Row],[TOT LL2]]/CORNYIELDPERF15[[#This Row],[TOT LL]]</f>
        <v>#DIV/0!</v>
      </c>
      <c r="U72" s="488"/>
      <c r="V72" s="746"/>
      <c r="W72" s="746"/>
    </row>
    <row r="73" spans="1:23" s="96" customFormat="1" x14ac:dyDescent="0.25">
      <c r="A73" s="486" t="str">
        <f>OVERVIEW!A203</f>
        <v>Settlement #</v>
      </c>
      <c r="B73" s="486" t="str">
        <f>OVERVIEW!B203</f>
        <v>Price</v>
      </c>
      <c r="C73" s="486" t="str">
        <f>OVERVIEW!C203</f>
        <v>TOT BU</v>
      </c>
      <c r="D73" s="486" t="str">
        <f>IFERROR((VLOOKUP(CORNYIELDPERF15[[#This Row],[Field]],FIELDACRE,2,FALSE)),"")</f>
        <v/>
      </c>
      <c r="E73" s="486" t="str">
        <f>IFERROR(VLOOKUP(CORNYIELDPERF15[[#This Row],[Field]],FIELDACRE,3,FALSE),"")</f>
        <v/>
      </c>
      <c r="F73" s="474" t="str">
        <f>IFERROR(VLOOKUP(CORNYIELDPERF15[[#This Row],[Field]],FIELDACRE,4,FALSE),"")</f>
        <v/>
      </c>
      <c r="G73" s="474" t="str">
        <f>IFERROR(VLOOKUP(CORNYIELDPERF15[[#This Row],[Field]],FIELDACRE,5,FALSE),"")</f>
        <v/>
      </c>
      <c r="H73" s="486" t="s">
        <v>283</v>
      </c>
      <c r="I73" s="486"/>
      <c r="J73" s="486" t="str">
        <f>IFERROR(CORNYIELDPERF15[[#This Row],[TOT BU]]/CORNYIELDPERF15[[#This Row],[Acres]],"")</f>
        <v/>
      </c>
      <c r="K73" s="486">
        <f>SUMIF(corntbl17[Field],CORNYIELDPERF15[[#This Row],[Field]],corntbl17[Net])</f>
        <v>0</v>
      </c>
      <c r="L73" s="486">
        <f>SUMIF(corntbl17[Field],CORNYIELDPERF15[[#This Row],[Field]],corntbl17[Net Units])</f>
        <v>0</v>
      </c>
      <c r="M73" s="486">
        <f>CORNYIELDPERF15[[#This Row],[TOT BU]]*0.65</f>
        <v>0</v>
      </c>
      <c r="N73" s="486">
        <f>CORNYIELDPERF15[[#This Row],[TOT BU]]*0.35</f>
        <v>0</v>
      </c>
      <c r="O73" s="487">
        <f>SUMIF(EXPENSETBL45[FIELD],CORNYIELDPERF15[[#This Row],[Field]],EXPENSETBL45[TOTAL])</f>
        <v>0</v>
      </c>
      <c r="P73" s="486" t="e">
        <f>CORNYIELDPERF15[[#This Row],[TOTAL EXP]]/CORNYIELDPERF15[[#This Row],[TOT BU]]</f>
        <v>#DIV/0!</v>
      </c>
      <c r="Q73" s="486">
        <f>SUMIF(EXPENSETBL45[FIELD],CORNYIELDPERF15[[#This Row],[Field]],EXPENSETBL45[MCC.ENT])</f>
        <v>0</v>
      </c>
      <c r="R73" s="486" t="e">
        <f>CORNYIELDPERF15[[#This Row],[TOTME]]/CORNYIELDPERF15[[#This Row],[TOT. ME]]</f>
        <v>#DIV/0!</v>
      </c>
      <c r="S73" s="486">
        <f>SUMIF(EXPENSETBL45[FIELD],CORNYIELDPERF15[[#This Row],[Field]],EXPENSETBL45[L.L.])</f>
        <v>0</v>
      </c>
      <c r="T73" s="486" t="e">
        <f>CORNYIELDPERF15[[#This Row],[TOT LL2]]/CORNYIELDPERF15[[#This Row],[TOT LL]]</f>
        <v>#DIV/0!</v>
      </c>
      <c r="U73" s="488"/>
      <c r="V73" s="746"/>
      <c r="W73" s="746"/>
    </row>
    <row r="74" spans="1:23" s="96" customFormat="1" x14ac:dyDescent="0.25">
      <c r="A74" s="486">
        <f>OVERVIEW!A204</f>
        <v>19659</v>
      </c>
      <c r="B74" s="486">
        <f>OVERVIEW!B204</f>
        <v>3.9</v>
      </c>
      <c r="C74" s="486">
        <f>OVERVIEW!C204</f>
        <v>2921.68</v>
      </c>
      <c r="D74" s="486" t="str">
        <f>IFERROR((VLOOKUP(CORNYIELDPERF15[[#This Row],[Field]],FIELDACRE,2,FALSE)),"")</f>
        <v/>
      </c>
      <c r="E74" s="486" t="str">
        <f>IFERROR(VLOOKUP(CORNYIELDPERF15[[#This Row],[Field]],FIELDACRE,3,FALSE),"")</f>
        <v/>
      </c>
      <c r="F74" s="474" t="str">
        <f>IFERROR(VLOOKUP(CORNYIELDPERF15[[#This Row],[Field]],FIELDACRE,4,FALSE),"")</f>
        <v/>
      </c>
      <c r="G74" s="474" t="str">
        <f>IFERROR(VLOOKUP(CORNYIELDPERF15[[#This Row],[Field]],FIELDACRE,5,FALSE),"")</f>
        <v/>
      </c>
      <c r="H74" s="486" t="s">
        <v>283</v>
      </c>
      <c r="I74" s="486"/>
      <c r="J74" s="486" t="str">
        <f>IFERROR(CORNYIELDPERF15[[#This Row],[TOT BU]]/CORNYIELDPERF15[[#This Row],[Acres]],"")</f>
        <v/>
      </c>
      <c r="K74" s="486">
        <f>SUMIF(corntbl17[Field],CORNYIELDPERF15[[#This Row],[Field]],corntbl17[Net])</f>
        <v>0</v>
      </c>
      <c r="L74" s="486">
        <f>SUMIF(corntbl17[Field],CORNYIELDPERF15[[#This Row],[Field]],corntbl17[Net Units])</f>
        <v>0</v>
      </c>
      <c r="M74" s="486">
        <f>CORNYIELDPERF15[[#This Row],[TOT BU]]*0.65</f>
        <v>0</v>
      </c>
      <c r="N74" s="486">
        <f>CORNYIELDPERF15[[#This Row],[TOT BU]]*0.35</f>
        <v>0</v>
      </c>
      <c r="O74" s="487">
        <f>SUMIF(EXPENSETBL45[FIELD],CORNYIELDPERF15[[#This Row],[Field]],EXPENSETBL45[TOTAL])</f>
        <v>0</v>
      </c>
      <c r="P74" s="486" t="e">
        <f>CORNYIELDPERF15[[#This Row],[TOTAL EXP]]/CORNYIELDPERF15[[#This Row],[TOT BU]]</f>
        <v>#DIV/0!</v>
      </c>
      <c r="Q74" s="486">
        <f>SUMIF(EXPENSETBL45[FIELD],CORNYIELDPERF15[[#This Row],[Field]],EXPENSETBL45[MCC.ENT])</f>
        <v>0</v>
      </c>
      <c r="R74" s="486" t="e">
        <f>CORNYIELDPERF15[[#This Row],[TOTME]]/CORNYIELDPERF15[[#This Row],[TOT. ME]]</f>
        <v>#DIV/0!</v>
      </c>
      <c r="S74" s="486">
        <f>SUMIF(EXPENSETBL45[FIELD],CORNYIELDPERF15[[#This Row],[Field]],EXPENSETBL45[L.L.])</f>
        <v>0</v>
      </c>
      <c r="T74" s="486" t="e">
        <f>CORNYIELDPERF15[[#This Row],[TOT LL2]]/CORNYIELDPERF15[[#This Row],[TOT LL]]</f>
        <v>#DIV/0!</v>
      </c>
      <c r="U74" s="488"/>
      <c r="V74" s="746"/>
      <c r="W74" s="746"/>
    </row>
    <row r="75" spans="1:23" s="96" customFormat="1" hidden="1" x14ac:dyDescent="0.25">
      <c r="A75" s="486" t="str">
        <f>OVERVIEW!A205</f>
        <v>XB3196-P</v>
      </c>
      <c r="B75" s="486">
        <f>OVERVIEW!B205</f>
        <v>3.87</v>
      </c>
      <c r="C75" s="486">
        <f>OVERVIEW!C205</f>
        <v>2288.2399999999998</v>
      </c>
      <c r="D75" s="486" t="str">
        <f>IFERROR((VLOOKUP(CORNYIELDPERF15[[#This Row],[Field]],FIELDACRE,2,FALSE)),"")</f>
        <v/>
      </c>
      <c r="E75" s="486" t="str">
        <f>IFERROR(VLOOKUP(CORNYIELDPERF15[[#This Row],[Field]],FIELDACRE,3,FALSE),"")</f>
        <v/>
      </c>
      <c r="F75" s="474" t="str">
        <f>IFERROR(VLOOKUP(CORNYIELDPERF15[[#This Row],[Field]],FIELDACRE,4,FALSE),"")</f>
        <v/>
      </c>
      <c r="G75" s="474" t="str">
        <f>IFERROR(VLOOKUP(CORNYIELDPERF15[[#This Row],[Field]],FIELDACRE,5,FALSE),"")</f>
        <v/>
      </c>
      <c r="H75" s="486" t="s">
        <v>283</v>
      </c>
      <c r="I75" s="486"/>
      <c r="J75" s="486" t="str">
        <f>IFERROR(CORNYIELDPERF15[[#This Row],[TOT BU]]/CORNYIELDPERF15[[#This Row],[Acres]],"")</f>
        <v/>
      </c>
      <c r="K75" s="486">
        <f>SUMIF(corntbl17[Field],CORNYIELDPERF15[[#This Row],[Field]],corntbl17[Net])</f>
        <v>0</v>
      </c>
      <c r="L75" s="486">
        <f>SUMIF(corntbl17[Field],CORNYIELDPERF15[[#This Row],[Field]],corntbl17[Net Units])</f>
        <v>0</v>
      </c>
      <c r="M75" s="486">
        <f>CORNYIELDPERF15[[#This Row],[TOT BU]]*0.65</f>
        <v>0</v>
      </c>
      <c r="N75" s="486">
        <f>CORNYIELDPERF15[[#This Row],[TOT BU]]*0.35</f>
        <v>0</v>
      </c>
      <c r="O75" s="487">
        <f>SUMIF(EXPENSETBL45[FIELD],CORNYIELDPERF15[[#This Row],[Field]],EXPENSETBL45[TOTAL])</f>
        <v>0</v>
      </c>
      <c r="P75" s="486" t="e">
        <f>CORNYIELDPERF15[[#This Row],[TOTAL EXP]]/CORNYIELDPERF15[[#This Row],[TOT BU]]</f>
        <v>#DIV/0!</v>
      </c>
      <c r="Q75" s="486">
        <f>SUMIF(EXPENSETBL45[FIELD],CORNYIELDPERF15[[#This Row],[Field]],EXPENSETBL45[MCC.ENT])</f>
        <v>0</v>
      </c>
      <c r="R75" s="486" t="e">
        <f>CORNYIELDPERF15[[#This Row],[TOTME]]/CORNYIELDPERF15[[#This Row],[TOT. ME]]</f>
        <v>#DIV/0!</v>
      </c>
      <c r="S75" s="486">
        <f>SUMIF(EXPENSETBL45[FIELD],CORNYIELDPERF15[[#This Row],[Field]],EXPENSETBL45[L.L.])</f>
        <v>0</v>
      </c>
      <c r="T75" s="486" t="e">
        <f>CORNYIELDPERF15[[#This Row],[TOT LL2]]/CORNYIELDPERF15[[#This Row],[TOT LL]]</f>
        <v>#DIV/0!</v>
      </c>
      <c r="U75" s="488"/>
      <c r="V75" s="488"/>
      <c r="W75" s="488"/>
    </row>
    <row r="76" spans="1:23" s="96" customFormat="1" x14ac:dyDescent="0.25">
      <c r="A76" s="486">
        <f>OVERVIEW!A206</f>
        <v>0</v>
      </c>
      <c r="B76" s="486">
        <f>OVERVIEW!B206</f>
        <v>0</v>
      </c>
      <c r="C76" s="486">
        <f>OVERVIEW!C206</f>
        <v>0</v>
      </c>
      <c r="D76" s="486" t="str">
        <f>IFERROR((VLOOKUP(CORNYIELDPERF15[[#This Row],[Field]],FIELDACRE,2,FALSE)),"")</f>
        <v/>
      </c>
      <c r="E76" s="486" t="str">
        <f>IFERROR(VLOOKUP(CORNYIELDPERF15[[#This Row],[Field]],FIELDACRE,3,FALSE),"")</f>
        <v/>
      </c>
      <c r="F76" s="474" t="str">
        <f>IFERROR(VLOOKUP(CORNYIELDPERF15[[#This Row],[Field]],FIELDACRE,4,FALSE),"")</f>
        <v/>
      </c>
      <c r="G76" s="474" t="str">
        <f>IFERROR(VLOOKUP(CORNYIELDPERF15[[#This Row],[Field]],FIELDACRE,5,FALSE),"")</f>
        <v/>
      </c>
      <c r="H76" s="486" t="s">
        <v>283</v>
      </c>
      <c r="I76" s="486"/>
      <c r="J76" s="486" t="str">
        <f>IFERROR(CORNYIELDPERF15[[#This Row],[TOT BU]]/CORNYIELDPERF15[[#This Row],[Acres]],"")</f>
        <v/>
      </c>
      <c r="K76" s="486">
        <f>SUMIF(corntbl17[Field],CORNYIELDPERF15[[#This Row],[Field]],corntbl17[Net])</f>
        <v>0</v>
      </c>
      <c r="L76" s="486">
        <f>SUMIF(corntbl17[Field],CORNYIELDPERF15[[#This Row],[Field]],corntbl17[Net Units])</f>
        <v>0</v>
      </c>
      <c r="M76" s="486">
        <f>CORNYIELDPERF15[[#This Row],[TOT BU]]*0.65</f>
        <v>0</v>
      </c>
      <c r="N76" s="486">
        <f>CORNYIELDPERF15[[#This Row],[TOT BU]]*0.35</f>
        <v>0</v>
      </c>
      <c r="O76" s="487">
        <f>SUMIF(EXPENSETBL45[FIELD],CORNYIELDPERF15[[#This Row],[Field]],EXPENSETBL45[TOTAL])</f>
        <v>0</v>
      </c>
      <c r="P76" s="486" t="e">
        <f>CORNYIELDPERF15[[#This Row],[TOTAL EXP]]/CORNYIELDPERF15[[#This Row],[TOT BU]]</f>
        <v>#DIV/0!</v>
      </c>
      <c r="Q76" s="486">
        <f>SUMIF(EXPENSETBL45[FIELD],CORNYIELDPERF15[[#This Row],[Field]],EXPENSETBL45[MCC.ENT])</f>
        <v>0</v>
      </c>
      <c r="R76" s="486" t="e">
        <f>CORNYIELDPERF15[[#This Row],[TOTME]]/CORNYIELDPERF15[[#This Row],[TOT. ME]]</f>
        <v>#DIV/0!</v>
      </c>
      <c r="S76" s="486">
        <f>SUMIF(EXPENSETBL45[FIELD],CORNYIELDPERF15[[#This Row],[Field]],EXPENSETBL45[L.L.])</f>
        <v>0</v>
      </c>
      <c r="T76" s="486" t="e">
        <f>CORNYIELDPERF15[[#This Row],[TOT LL2]]/CORNYIELDPERF15[[#This Row],[TOT LL]]</f>
        <v>#DIV/0!</v>
      </c>
      <c r="U76" s="488"/>
      <c r="V76" s="746"/>
      <c r="W76" s="746"/>
    </row>
    <row r="77" spans="1:23" s="96" customFormat="1" hidden="1" x14ac:dyDescent="0.25">
      <c r="A77" s="486" t="s">
        <v>74</v>
      </c>
      <c r="B77" s="486" t="s">
        <v>32</v>
      </c>
      <c r="C77" s="486" t="s">
        <v>252</v>
      </c>
      <c r="D77" s="486">
        <f>IFERROR((VLOOKUP(CORNYIELDPERF15[[#This Row],[Field]],FIELDACRE,2,FALSE)),"")</f>
        <v>98.77</v>
      </c>
      <c r="E77" s="486" t="str">
        <f>IFERROR(VLOOKUP(CORNYIELDPERF15[[#This Row],[Field]],FIELDACRE,3,FALSE),"")</f>
        <v>NE4 8-8-47</v>
      </c>
      <c r="F77" s="474">
        <f>IFERROR(VLOOKUP(CORNYIELDPERF15[[#This Row],[Field]],FIELDACRE,4,FALSE),"")</f>
        <v>2522</v>
      </c>
      <c r="G77" s="474">
        <f>IFERROR(VLOOKUP(CORNYIELDPERF15[[#This Row],[Field]],FIELDACRE,5,FALSE),"")</f>
        <v>1534</v>
      </c>
      <c r="H77" s="486" t="s">
        <v>283</v>
      </c>
      <c r="I77" s="486"/>
      <c r="J77" s="486">
        <f>IFERROR(CORNYIELDPERF15[[#This Row],[TOT BU]]/CORNYIELDPERF15[[#This Row],[Acres]],"")</f>
        <v>0</v>
      </c>
      <c r="K77" s="486">
        <f>SUMIF(corntbl17[Field],CORNYIELDPERF15[[#This Row],[Field]],corntbl17[Net])</f>
        <v>0</v>
      </c>
      <c r="L77" s="486">
        <f>SUMIF(corntbl17[Field],CORNYIELDPERF15[[#This Row],[Field]],corntbl17[Net Units])</f>
        <v>0</v>
      </c>
      <c r="M77" s="486">
        <f>CORNYIELDPERF15[[#This Row],[TOT BU]]*0.65</f>
        <v>0</v>
      </c>
      <c r="N77" s="486">
        <f>CORNYIELDPERF15[[#This Row],[TOT BU]]*0.35</f>
        <v>0</v>
      </c>
      <c r="O77" s="487">
        <f>SUMIF(EXPENSETBL45[FIELD],CORNYIELDPERF15[[#This Row],[Field]],EXPENSETBL45[TOTAL])</f>
        <v>0</v>
      </c>
      <c r="P77" s="486" t="e">
        <f>CORNYIELDPERF15[[#This Row],[TOTAL EXP]]/CORNYIELDPERF15[[#This Row],[TOT BU]]</f>
        <v>#DIV/0!</v>
      </c>
      <c r="Q77" s="486">
        <f>SUMIF(EXPENSETBL45[FIELD],CORNYIELDPERF15[[#This Row],[Field]],EXPENSETBL45[MCC.ENT])</f>
        <v>0</v>
      </c>
      <c r="R77" s="486" t="e">
        <f>CORNYIELDPERF15[[#This Row],[TOTME]]/CORNYIELDPERF15[[#This Row],[TOT. ME]]</f>
        <v>#DIV/0!</v>
      </c>
      <c r="S77" s="486">
        <f>SUMIF(EXPENSETBL45[FIELD],CORNYIELDPERF15[[#This Row],[Field]],EXPENSETBL45[L.L.])</f>
        <v>0</v>
      </c>
      <c r="T77" s="486" t="e">
        <f>CORNYIELDPERF15[[#This Row],[TOT LL2]]/CORNYIELDPERF15[[#This Row],[TOT LL]]</f>
        <v>#DIV/0!</v>
      </c>
      <c r="U77" s="488"/>
      <c r="V77" s="488"/>
      <c r="W77" s="488"/>
    </row>
    <row r="78" spans="1:23" s="96" customFormat="1" ht="18.75" x14ac:dyDescent="0.3">
      <c r="A78" s="489" t="s">
        <v>38</v>
      </c>
      <c r="B78" s="489"/>
      <c r="C78" s="489"/>
      <c r="D78" s="489">
        <f>SUBTOTAL(109,CORNYIELDPERF15[Acres])</f>
        <v>78.599999999999994</v>
      </c>
      <c r="E78" s="489"/>
      <c r="F78" s="489"/>
      <c r="G78" s="489"/>
      <c r="H78" s="490"/>
      <c r="I78" s="489"/>
      <c r="J78" s="489">
        <f>SUBTOTAL(101,CORNYIELDPERF15[Yield/ Acre])</f>
        <v>0</v>
      </c>
      <c r="K78" s="489"/>
      <c r="L78" s="489"/>
      <c r="M78" s="489"/>
      <c r="N78" s="489"/>
      <c r="O78" s="491"/>
      <c r="P78" s="491"/>
      <c r="Q78" s="491"/>
      <c r="R78" s="491"/>
      <c r="S78" s="491"/>
      <c r="T78" s="491"/>
      <c r="U78" s="488"/>
      <c r="V78" s="746"/>
      <c r="W78" s="746"/>
    </row>
  </sheetData>
  <mergeCells count="7">
    <mergeCell ref="V73:W73"/>
    <mergeCell ref="V74:W74"/>
    <mergeCell ref="V76:W76"/>
    <mergeCell ref="V78:W78"/>
    <mergeCell ref="V63:W70"/>
    <mergeCell ref="V71:W71"/>
    <mergeCell ref="V72:W72"/>
  </mergeCells>
  <conditionalFormatting sqref="B4:C20">
    <cfRule type="containsText" dxfId="522" priority="18" operator="containsText" text="PEARL MILLET">
      <formula>NOT(ISERROR(SEARCH("PEARL MILLET",B4)))</formula>
    </cfRule>
    <cfRule type="containsText" dxfId="521" priority="19" operator="containsText" text="PROSO MILLET">
      <formula>NOT(ISERROR(SEARCH("PROSO MILLET",B4)))</formula>
    </cfRule>
    <cfRule type="containsText" dxfId="520" priority="20" operator="containsText" text="GOLDEN GERMAN">
      <formula>NOT(ISERROR(SEARCH("GOLDEN GERMAN",B4)))</formula>
    </cfRule>
    <cfRule type="containsText" dxfId="519" priority="21" operator="containsText" text="BUILDING SITE">
      <formula>NOT(ISERROR(SEARCH("BUILDING SITE",B4)))</formula>
    </cfRule>
    <cfRule type="containsText" dxfId="518" priority="22" operator="containsText" text="WASTE">
      <formula>NOT(ISERROR(SEARCH("WASTE",B4)))</formula>
    </cfRule>
    <cfRule type="containsText" dxfId="517" priority="23" operator="containsText" text="PASTURE">
      <formula>NOT(ISERROR(SEARCH("PASTURE",B4)))</formula>
    </cfRule>
    <cfRule type="cellIs" dxfId="516" priority="24" operator="equal">
      <formula>"FORG/ WHEAT"</formula>
    </cfRule>
    <cfRule type="cellIs" dxfId="515" priority="25" operator="equal">
      <formula>"FALL GRAZED"</formula>
    </cfRule>
    <cfRule type="cellIs" dxfId="514" priority="26" operator="equal">
      <formula>"FALLOW"</formula>
    </cfRule>
    <cfRule type="cellIs" dxfId="513" priority="27" operator="equal">
      <formula>"FALL GRAZED"</formula>
    </cfRule>
    <cfRule type="cellIs" dxfId="512" priority="28" operator="equal">
      <formula>"TRITICALE"</formula>
    </cfRule>
    <cfRule type="cellIs" dxfId="511" priority="29" operator="equal">
      <formula>"SORGHUM"</formula>
    </cfRule>
    <cfRule type="cellIs" dxfId="510" priority="30" operator="equal">
      <formula>"OAT/WHEAT"</formula>
    </cfRule>
    <cfRule type="cellIs" dxfId="509" priority="31" operator="equal">
      <formula>"SPRING GRAZED"</formula>
    </cfRule>
    <cfRule type="cellIs" dxfId="508" priority="32" operator="equal">
      <formula>"WHEAT"</formula>
    </cfRule>
    <cfRule type="cellIs" dxfId="507" priority="33" operator="equal">
      <formula>"SORGHUM SUDAN"</formula>
    </cfRule>
    <cfRule type="cellIs" dxfId="506" priority="34" operator="equal">
      <formula>"CORN"</formula>
    </cfRule>
  </conditionalFormatting>
  <conditionalFormatting sqref="D4:G20">
    <cfRule type="containsText" dxfId="505" priority="1" operator="containsText" text="PEARL MILLET">
      <formula>NOT(ISERROR(SEARCH("PEARL MILLET",D4)))</formula>
    </cfRule>
    <cfRule type="containsText" dxfId="504" priority="2" operator="containsText" text="PROSO MILLET">
      <formula>NOT(ISERROR(SEARCH("PROSO MILLET",D4)))</formula>
    </cfRule>
    <cfRule type="containsText" dxfId="503" priority="3" operator="containsText" text="GOLDEN GERMAN">
      <formula>NOT(ISERROR(SEARCH("GOLDEN GERMAN",D4)))</formula>
    </cfRule>
    <cfRule type="containsText" dxfId="502" priority="4" operator="containsText" text="BUILDING SITE">
      <formula>NOT(ISERROR(SEARCH("BUILDING SITE",D4)))</formula>
    </cfRule>
    <cfRule type="containsText" dxfId="501" priority="5" operator="containsText" text="WASTE">
      <formula>NOT(ISERROR(SEARCH("WASTE",D4)))</formula>
    </cfRule>
    <cfRule type="containsText" dxfId="500" priority="6" operator="containsText" text="PASTURE">
      <formula>NOT(ISERROR(SEARCH("PASTURE",D4)))</formula>
    </cfRule>
    <cfRule type="cellIs" dxfId="499" priority="7" operator="equal">
      <formula>"FORG/ WHEAT"</formula>
    </cfRule>
    <cfRule type="cellIs" dxfId="498" priority="8" operator="equal">
      <formula>"FALL GRAZED"</formula>
    </cfRule>
    <cfRule type="cellIs" dxfId="497" priority="9" operator="equal">
      <formula>"FALLOW"</formula>
    </cfRule>
    <cfRule type="cellIs" dxfId="496" priority="10" operator="equal">
      <formula>"FALL GRAZED"</formula>
    </cfRule>
    <cfRule type="cellIs" dxfId="495" priority="11" operator="equal">
      <formula>"TRITICALE"</formula>
    </cfRule>
    <cfRule type="cellIs" dxfId="494" priority="12" operator="equal">
      <formula>"SORGHUM"</formula>
    </cfRule>
    <cfRule type="cellIs" dxfId="493" priority="13" operator="equal">
      <formula>"OAT/WHEAT"</formula>
    </cfRule>
    <cfRule type="cellIs" dxfId="492" priority="14" operator="equal">
      <formula>"SPRING GRAZED"</formula>
    </cfRule>
    <cfRule type="cellIs" dxfId="491" priority="15" operator="equal">
      <formula>"WHEAT"</formula>
    </cfRule>
    <cfRule type="cellIs" dxfId="490" priority="16" operator="equal">
      <formula>"SORGHUM SUDAN"</formula>
    </cfRule>
    <cfRule type="cellIs" dxfId="489" priority="17" operator="equal">
      <formula>"CORN"</formula>
    </cfRule>
  </conditionalFormatting>
  <dataValidations count="7">
    <dataValidation type="list" allowBlank="1" showInputMessage="1" showErrorMessage="1" sqref="B23:B61" xr:uid="{0D576FA6-F8CB-4FAE-A421-AE3EAD721EA8}">
      <formula1>Trucks</formula1>
    </dataValidation>
    <dataValidation type="list" allowBlank="1" showInputMessage="1" showErrorMessage="1" sqref="C23:C61" xr:uid="{A9500BCE-81B1-4C5D-A71A-1EC8EEDD5499}">
      <formula1>destination</formula1>
    </dataValidation>
    <dataValidation type="list" allowBlank="1" showInputMessage="1" showErrorMessage="1" sqref="J23:J44" xr:uid="{C7CE07B9-52C2-4853-A998-897570060914}">
      <formula1>CORN</formula1>
    </dataValidation>
    <dataValidation type="list" allowBlank="1" showInputMessage="1" showErrorMessage="1" sqref="I64:I77 D23:D61 H23 H45:H60 J45:J60 C77" xr:uid="{12EBD88A-3FC7-42BD-B32D-B9E88A8DC5B1}">
      <formula1>INDIRECT(B23)</formula1>
    </dataValidation>
    <dataValidation type="list" allowBlank="1" showInputMessage="1" showErrorMessage="1" sqref="F23:F61 A77" xr:uid="{98B0B192-533A-4414-AF8A-6EAC651B9C2C}">
      <formula1>CLIENT</formula1>
    </dataValidation>
    <dataValidation type="list" allowBlank="1" showInputMessage="1" showErrorMessage="1" sqref="H64:H77 I45:I60" xr:uid="{BD9743E1-FA3F-402A-B283-3F30C817779C}">
      <formula1>CROP</formula1>
    </dataValidation>
    <dataValidation type="list" allowBlank="1" showInputMessage="1" showErrorMessage="1" sqref="G45:G60 B77" xr:uid="{4DD202AA-61AB-4CD1-A604-722E13EB15CC}">
      <formula1>FARMS</formula1>
    </dataValidation>
  </dataValidations>
  <pageMargins left="0.25" right="0.25" top="0" bottom="0" header="0" footer="0"/>
  <pageSetup scale="53" orientation="landscape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C908A-0543-4F78-82FF-AEC1E0C5D58E}">
  <dimension ref="A2:R18"/>
  <sheetViews>
    <sheetView topLeftCell="D1" workbookViewId="0">
      <selection activeCell="Q10" sqref="Q10"/>
    </sheetView>
  </sheetViews>
  <sheetFormatPr defaultColWidth="9.140625" defaultRowHeight="15" x14ac:dyDescent="0.25"/>
  <cols>
    <col min="1" max="2" width="9.140625" style="92"/>
    <col min="3" max="3" width="21.42578125" style="92" bestFit="1" customWidth="1"/>
    <col min="4" max="4" width="12.140625" style="92" bestFit="1" customWidth="1"/>
    <col min="5" max="5" width="11.28515625" style="92" customWidth="1"/>
    <col min="6" max="8" width="9.140625" style="92"/>
    <col min="9" max="9" width="9.42578125" style="92" customWidth="1"/>
    <col min="10" max="10" width="9.5703125" style="92" customWidth="1"/>
    <col min="11" max="11" width="10.28515625" style="92" customWidth="1"/>
    <col min="12" max="13" width="9.140625" style="92"/>
    <col min="14" max="14" width="12.5703125" style="92" customWidth="1"/>
    <col min="15" max="15" width="10.85546875" style="92" customWidth="1"/>
    <col min="16" max="16" width="9.140625" style="92"/>
    <col min="17" max="17" width="12.7109375" style="92" bestFit="1" customWidth="1"/>
    <col min="18" max="16384" width="9.140625" style="92"/>
  </cols>
  <sheetData>
    <row r="2" spans="1:18" x14ac:dyDescent="0.25">
      <c r="A2" s="92" t="s">
        <v>803</v>
      </c>
    </row>
    <row r="3" spans="1:18" x14ac:dyDescent="0.25">
      <c r="A3" s="92" t="s">
        <v>804</v>
      </c>
      <c r="B3" s="92" t="s">
        <v>805</v>
      </c>
    </row>
    <row r="7" spans="1:18" s="109" customFormat="1" x14ac:dyDescent="0.25">
      <c r="A7" s="109" t="s">
        <v>115</v>
      </c>
      <c r="B7" s="109" t="s">
        <v>116</v>
      </c>
      <c r="C7" s="109" t="s">
        <v>118</v>
      </c>
      <c r="D7" s="109" t="s">
        <v>483</v>
      </c>
      <c r="E7" s="109" t="s">
        <v>484</v>
      </c>
      <c r="F7" s="109" t="s">
        <v>485</v>
      </c>
      <c r="G7" s="109" t="s">
        <v>119</v>
      </c>
      <c r="H7" s="109" t="s">
        <v>806</v>
      </c>
      <c r="I7" s="109" t="s">
        <v>807</v>
      </c>
      <c r="J7" s="109" t="s">
        <v>808</v>
      </c>
      <c r="K7" s="109" t="s">
        <v>809</v>
      </c>
      <c r="L7" s="109" t="s">
        <v>810</v>
      </c>
      <c r="M7" s="109" t="s">
        <v>797</v>
      </c>
      <c r="N7" s="109" t="s">
        <v>811</v>
      </c>
      <c r="O7" s="109" t="s">
        <v>812</v>
      </c>
      <c r="P7" s="109" t="s">
        <v>813</v>
      </c>
      <c r="Q7" s="109" t="s">
        <v>814</v>
      </c>
      <c r="R7" s="109" t="s">
        <v>815</v>
      </c>
    </row>
    <row r="8" spans="1:18" ht="15.75" x14ac:dyDescent="0.25">
      <c r="A8" s="669" t="s">
        <v>20</v>
      </c>
      <c r="B8" s="669" t="s">
        <v>21</v>
      </c>
      <c r="C8" s="669" t="s">
        <v>154</v>
      </c>
      <c r="D8" s="92" t="s">
        <v>151</v>
      </c>
      <c r="E8" s="92">
        <v>3438</v>
      </c>
      <c r="F8" s="92">
        <v>3460</v>
      </c>
      <c r="G8" s="160">
        <v>74.900000000000006</v>
      </c>
      <c r="H8" s="92" t="s">
        <v>129</v>
      </c>
      <c r="I8" s="92" t="s">
        <v>76</v>
      </c>
      <c r="J8" s="92">
        <v>65</v>
      </c>
      <c r="K8" s="92">
        <f>Table22[[#This Row],[SPEC YI]]*Table22[[#This Row],[Acres]]</f>
        <v>4868.5</v>
      </c>
      <c r="L8" s="92">
        <v>0.65</v>
      </c>
      <c r="M8" s="92">
        <v>0.35</v>
      </c>
      <c r="N8" s="92">
        <f>Table22[[#This Row],[M77 %]]*Table22[[#This Row],[SPEC BU]]</f>
        <v>3164.5250000000001</v>
      </c>
      <c r="O8" s="92">
        <f>Table22[[#This Row],[LL %]]*Table22[[#This Row],[SPEC BU]]</f>
        <v>1703.9749999999999</v>
      </c>
    </row>
    <row r="9" spans="1:18" ht="15.75" x14ac:dyDescent="0.25">
      <c r="A9" s="669" t="s">
        <v>20</v>
      </c>
      <c r="B9" s="669" t="s">
        <v>21</v>
      </c>
      <c r="C9" s="669" t="s">
        <v>162</v>
      </c>
      <c r="D9" s="92" t="s">
        <v>161</v>
      </c>
      <c r="E9" s="92">
        <v>3939</v>
      </c>
      <c r="F9" s="92">
        <v>3938</v>
      </c>
      <c r="G9" s="160">
        <v>62.85</v>
      </c>
      <c r="H9" s="92" t="s">
        <v>159</v>
      </c>
      <c r="I9" s="92" t="s">
        <v>93</v>
      </c>
      <c r="J9" s="92">
        <v>55</v>
      </c>
      <c r="K9" s="92">
        <f>Table22[[#This Row],[SPEC YI]]*Table22[[#This Row],[Acres]]</f>
        <v>3456.75</v>
      </c>
      <c r="L9" s="92">
        <v>0.65</v>
      </c>
      <c r="M9" s="92">
        <v>0.35</v>
      </c>
      <c r="N9" s="92">
        <f>Table22[[#This Row],[M77 %]]*Table22[[#This Row],[SPEC BU]]</f>
        <v>2246.8875000000003</v>
      </c>
      <c r="O9" s="92">
        <f>Table22[[#This Row],[LL %]]*Table22[[#This Row],[SPEC BU]]</f>
        <v>1209.8625</v>
      </c>
    </row>
    <row r="10" spans="1:18" ht="15.75" x14ac:dyDescent="0.25">
      <c r="A10" s="669" t="s">
        <v>20</v>
      </c>
      <c r="B10" s="669" t="s">
        <v>28</v>
      </c>
      <c r="C10" s="669" t="s">
        <v>214</v>
      </c>
      <c r="D10" s="92" t="s">
        <v>212</v>
      </c>
      <c r="E10" s="92">
        <v>4063</v>
      </c>
      <c r="F10" s="92">
        <v>4015</v>
      </c>
      <c r="G10" s="160">
        <v>79.2</v>
      </c>
      <c r="H10" s="92" t="s">
        <v>129</v>
      </c>
      <c r="I10" s="92" t="s">
        <v>79</v>
      </c>
      <c r="J10" s="92">
        <v>60</v>
      </c>
      <c r="K10" s="92">
        <f>Table22[[#This Row],[SPEC YI]]*Table22[[#This Row],[Acres]]</f>
        <v>4752</v>
      </c>
      <c r="L10" s="92">
        <v>0.65</v>
      </c>
      <c r="M10" s="92">
        <v>0.35</v>
      </c>
      <c r="N10" s="92">
        <f>Table22[[#This Row],[M77 %]]*Table22[[#This Row],[SPEC BU]]</f>
        <v>3088.8</v>
      </c>
      <c r="O10" s="92">
        <f>Table22[[#This Row],[LL %]]*Table22[[#This Row],[SPEC BU]]</f>
        <v>1663.1999999999998</v>
      </c>
    </row>
    <row r="11" spans="1:18" ht="15.75" x14ac:dyDescent="0.25">
      <c r="A11" s="669" t="s">
        <v>20</v>
      </c>
      <c r="B11" s="669" t="s">
        <v>32</v>
      </c>
      <c r="C11" s="669" t="s">
        <v>235</v>
      </c>
      <c r="D11" s="92" t="s">
        <v>232</v>
      </c>
      <c r="E11" s="92">
        <v>2522</v>
      </c>
      <c r="F11" s="92">
        <v>1521</v>
      </c>
      <c r="G11" s="160">
        <v>78.400000000000006</v>
      </c>
      <c r="H11" s="92" t="s">
        <v>233</v>
      </c>
      <c r="I11" s="92" t="s">
        <v>79</v>
      </c>
      <c r="J11" s="92">
        <v>80</v>
      </c>
      <c r="K11" s="92">
        <f>Table22[[#This Row],[SPEC YI]]*Table22[[#This Row],[Acres]]</f>
        <v>6272</v>
      </c>
      <c r="L11" s="92">
        <v>0.65</v>
      </c>
      <c r="M11" s="92">
        <v>0.35</v>
      </c>
      <c r="N11" s="92">
        <f>Table22[[#This Row],[M77 %]]*Table22[[#This Row],[SPEC BU]]</f>
        <v>4076.8</v>
      </c>
      <c r="O11" s="92">
        <f>Table22[[#This Row],[LL %]]*Table22[[#This Row],[SPEC BU]]</f>
        <v>2195.1999999999998</v>
      </c>
    </row>
    <row r="12" spans="1:18" ht="15.75" x14ac:dyDescent="0.25">
      <c r="A12" s="669" t="s">
        <v>20</v>
      </c>
      <c r="B12" s="669" t="s">
        <v>32</v>
      </c>
      <c r="C12" s="669" t="s">
        <v>240</v>
      </c>
      <c r="D12" s="92" t="s">
        <v>238</v>
      </c>
      <c r="E12" s="92">
        <v>2522</v>
      </c>
      <c r="F12" s="92">
        <v>3251</v>
      </c>
      <c r="G12" s="160">
        <v>79.099999999999994</v>
      </c>
      <c r="H12" s="92" t="s">
        <v>233</v>
      </c>
      <c r="I12" s="92" t="s">
        <v>79</v>
      </c>
      <c r="J12" s="92">
        <v>75</v>
      </c>
      <c r="K12" s="92">
        <f>Table22[[#This Row],[SPEC YI]]*Table22[[#This Row],[Acres]]</f>
        <v>5932.5</v>
      </c>
      <c r="L12" s="92">
        <v>0.65</v>
      </c>
      <c r="M12" s="92">
        <v>0.35</v>
      </c>
      <c r="N12" s="92">
        <f>Table22[[#This Row],[M77 %]]*Table22[[#This Row],[SPEC BU]]</f>
        <v>3856.125</v>
      </c>
      <c r="O12" s="92">
        <f>Table22[[#This Row],[LL %]]*Table22[[#This Row],[SPEC BU]]</f>
        <v>2076.375</v>
      </c>
    </row>
    <row r="13" spans="1:18" ht="15.75" x14ac:dyDescent="0.25">
      <c r="A13" s="669" t="s">
        <v>20</v>
      </c>
      <c r="B13" s="669" t="s">
        <v>32</v>
      </c>
      <c r="C13" s="669" t="s">
        <v>252</v>
      </c>
      <c r="D13" s="92" t="s">
        <v>253</v>
      </c>
      <c r="E13" s="92">
        <v>2522</v>
      </c>
      <c r="F13" s="92">
        <v>1534</v>
      </c>
      <c r="G13" s="160">
        <v>98.77</v>
      </c>
      <c r="H13" s="92" t="s">
        <v>159</v>
      </c>
      <c r="I13" s="92" t="s">
        <v>79</v>
      </c>
      <c r="J13" s="92">
        <v>80</v>
      </c>
      <c r="K13" s="92">
        <f>Table22[[#This Row],[SPEC YI]]*Table22[[#This Row],[Acres]]</f>
        <v>7901.5999999999995</v>
      </c>
      <c r="L13" s="92">
        <v>0.65</v>
      </c>
      <c r="M13" s="92">
        <v>0.35</v>
      </c>
      <c r="N13" s="92">
        <f>Table22[[#This Row],[M77 %]]*Table22[[#This Row],[SPEC BU]]</f>
        <v>5136.04</v>
      </c>
      <c r="O13" s="92">
        <f>Table22[[#This Row],[LL %]]*Table22[[#This Row],[SPEC BU]]</f>
        <v>2765.5599999999995</v>
      </c>
    </row>
    <row r="14" spans="1:18" ht="15.75" x14ac:dyDescent="0.25">
      <c r="A14" s="669" t="s">
        <v>20</v>
      </c>
      <c r="B14" s="669" t="s">
        <v>35</v>
      </c>
      <c r="C14" s="669" t="s">
        <v>755</v>
      </c>
      <c r="D14" s="92" t="s">
        <v>261</v>
      </c>
      <c r="E14" s="92">
        <v>247</v>
      </c>
      <c r="F14" s="92">
        <v>1311</v>
      </c>
      <c r="G14" s="160">
        <v>74.8</v>
      </c>
      <c r="H14" s="92" t="s">
        <v>129</v>
      </c>
      <c r="I14" s="92" t="s">
        <v>79</v>
      </c>
      <c r="J14" s="92">
        <v>60</v>
      </c>
      <c r="K14" s="92">
        <f>Table22[[#This Row],[SPEC YI]]*Table22[[#This Row],[Acres]]</f>
        <v>4488</v>
      </c>
      <c r="L14" s="92">
        <v>1</v>
      </c>
      <c r="M14" s="92">
        <v>0</v>
      </c>
      <c r="N14" s="92">
        <f>Table22[[#This Row],[M77 %]]*Table22[[#This Row],[SPEC BU]]</f>
        <v>4488</v>
      </c>
      <c r="O14" s="92">
        <f>Table22[[#This Row],[LL %]]*Table22[[#This Row],[SPEC BU]]</f>
        <v>0</v>
      </c>
    </row>
    <row r="15" spans="1:18" ht="15.75" x14ac:dyDescent="0.25">
      <c r="A15" s="669" t="s">
        <v>20</v>
      </c>
      <c r="B15" s="669" t="s">
        <v>35</v>
      </c>
      <c r="C15" s="669" t="s">
        <v>267</v>
      </c>
      <c r="D15" s="92" t="s">
        <v>265</v>
      </c>
      <c r="E15" s="92">
        <v>4207</v>
      </c>
      <c r="F15" s="92">
        <v>5418</v>
      </c>
      <c r="G15" s="160">
        <v>73.599999999999994</v>
      </c>
      <c r="H15" s="92" t="s">
        <v>159</v>
      </c>
      <c r="I15" s="92" t="s">
        <v>79</v>
      </c>
      <c r="J15" s="92">
        <v>70</v>
      </c>
      <c r="K15" s="92">
        <f>Table22[[#This Row],[SPEC YI]]*Table22[[#This Row],[Acres]]</f>
        <v>5152</v>
      </c>
      <c r="L15" s="92">
        <v>1</v>
      </c>
      <c r="M15" s="92">
        <v>0</v>
      </c>
      <c r="N15" s="92">
        <f>Table22[[#This Row],[M77 %]]*Table22[[#This Row],[SPEC BU]]</f>
        <v>5152</v>
      </c>
      <c r="O15" s="92">
        <f>Table22[[#This Row],[LL %]]*Table22[[#This Row],[SPEC BU]]</f>
        <v>0</v>
      </c>
    </row>
    <row r="16" spans="1:18" ht="15.75" x14ac:dyDescent="0.25">
      <c r="A16" s="669" t="s">
        <v>20</v>
      </c>
      <c r="B16" s="669" t="s">
        <v>80</v>
      </c>
      <c r="C16" s="669" t="s">
        <v>756</v>
      </c>
      <c r="D16" s="92" t="s">
        <v>274</v>
      </c>
      <c r="E16" s="92">
        <v>4114</v>
      </c>
      <c r="F16" s="92">
        <v>4048</v>
      </c>
      <c r="G16" s="160">
        <v>78.8</v>
      </c>
      <c r="H16" s="92" t="s">
        <v>129</v>
      </c>
      <c r="I16" s="92" t="s">
        <v>76</v>
      </c>
      <c r="J16" s="92">
        <v>50</v>
      </c>
      <c r="K16" s="92">
        <f>Table22[[#This Row],[SPEC YI]]*Table22[[#This Row],[Acres]]</f>
        <v>3940</v>
      </c>
      <c r="L16" s="92">
        <v>0.65</v>
      </c>
      <c r="M16" s="92">
        <v>0.35</v>
      </c>
      <c r="N16" s="92">
        <f>Table22[[#This Row],[M77 %]]*Table22[[#This Row],[SPEC BU]]</f>
        <v>2561</v>
      </c>
      <c r="O16" s="92">
        <f>Table22[[#This Row],[LL %]]*Table22[[#This Row],[SPEC BU]]</f>
        <v>1379</v>
      </c>
    </row>
    <row r="17" spans="1:15" ht="15.75" x14ac:dyDescent="0.25">
      <c r="A17" s="669" t="s">
        <v>20</v>
      </c>
      <c r="B17" s="669" t="s">
        <v>80</v>
      </c>
      <c r="C17" s="669" t="s">
        <v>281</v>
      </c>
      <c r="D17" s="92" t="s">
        <v>279</v>
      </c>
      <c r="E17" s="92">
        <v>6759</v>
      </c>
      <c r="F17" s="92">
        <v>3794</v>
      </c>
      <c r="G17" s="160">
        <v>78.900000000000006</v>
      </c>
      <c r="H17" s="92" t="s">
        <v>129</v>
      </c>
      <c r="I17" s="92" t="s">
        <v>79</v>
      </c>
      <c r="J17" s="92">
        <v>50</v>
      </c>
      <c r="K17" s="92">
        <f>Table22[[#This Row],[SPEC YI]]*Table22[[#This Row],[Acres]]</f>
        <v>3945.0000000000005</v>
      </c>
      <c r="L17" s="92">
        <v>0.65</v>
      </c>
      <c r="M17" s="92">
        <v>0.35</v>
      </c>
      <c r="N17" s="92">
        <f>Table22[[#This Row],[M77 %]]*Table22[[#This Row],[SPEC BU]]</f>
        <v>2564.2500000000005</v>
      </c>
      <c r="O17" s="92">
        <f>Table22[[#This Row],[LL %]]*Table22[[#This Row],[SPEC BU]]</f>
        <v>1380.75</v>
      </c>
    </row>
    <row r="18" spans="1:15" x14ac:dyDescent="0.25">
      <c r="A18" s="92" t="s">
        <v>38</v>
      </c>
      <c r="J18" s="92">
        <f>SUBTOTAL(101,Table22[SPEC YI])</f>
        <v>64.5</v>
      </c>
      <c r="K18" s="92">
        <f>SUBTOTAL(109,Table22[SPEC BU])</f>
        <v>50708.35</v>
      </c>
      <c r="N18" s="92">
        <f>SUBTOTAL(109,Table22[SP M77 BU])</f>
        <v>36334.427500000005</v>
      </c>
      <c r="O18" s="92">
        <f>SUBTOTAL(109,Table22[[SP LL BU ]])</f>
        <v>14373.922499999999</v>
      </c>
    </row>
  </sheetData>
  <conditionalFormatting sqref="A17:B17 D17:I17 A8:I16 J8">
    <cfRule type="containsText" dxfId="362" priority="1" operator="containsText" text="PEARL MILLET">
      <formula>NOT(ISERROR(SEARCH("PEARL MILLET",A8)))</formula>
    </cfRule>
    <cfRule type="containsText" dxfId="361" priority="2" operator="containsText" text="PROSO MILLET">
      <formula>NOT(ISERROR(SEARCH("PROSO MILLET",A8)))</formula>
    </cfRule>
    <cfRule type="containsText" dxfId="360" priority="3" operator="containsText" text="GOLDEN GERMAN">
      <formula>NOT(ISERROR(SEARCH("GOLDEN GERMAN",A8)))</formula>
    </cfRule>
    <cfRule type="containsText" dxfId="359" priority="4" operator="containsText" text="BUILDING SITE">
      <formula>NOT(ISERROR(SEARCH("BUILDING SITE",A8)))</formula>
    </cfRule>
    <cfRule type="containsText" dxfId="358" priority="5" operator="containsText" text="WASTE">
      <formula>NOT(ISERROR(SEARCH("WASTE",A8)))</formula>
    </cfRule>
    <cfRule type="containsText" dxfId="357" priority="6" operator="containsText" text="PASTURE">
      <formula>NOT(ISERROR(SEARCH("PASTURE",A8)))</formula>
    </cfRule>
    <cfRule type="cellIs" dxfId="356" priority="7" operator="equal">
      <formula>"FORG/ WHEAT"</formula>
    </cfRule>
    <cfRule type="cellIs" dxfId="355" priority="8" operator="equal">
      <formula>"FALL GRAZED"</formula>
    </cfRule>
    <cfRule type="cellIs" dxfId="354" priority="9" operator="equal">
      <formula>"FALLOW"</formula>
    </cfRule>
    <cfRule type="cellIs" dxfId="353" priority="10" operator="equal">
      <formula>"FALL GRAZED"</formula>
    </cfRule>
    <cfRule type="cellIs" dxfId="352" priority="11" operator="equal">
      <formula>"TRITICALE"</formula>
    </cfRule>
    <cfRule type="cellIs" dxfId="351" priority="12" operator="equal">
      <formula>"SORGHUM"</formula>
    </cfRule>
    <cfRule type="cellIs" dxfId="350" priority="13" operator="equal">
      <formula>"OAT/WHEAT"</formula>
    </cfRule>
    <cfRule type="cellIs" dxfId="349" priority="14" operator="equal">
      <formula>"SPRING GRAZED"</formula>
    </cfRule>
    <cfRule type="cellIs" dxfId="348" priority="15" operator="equal">
      <formula>"WHEAT"</formula>
    </cfRule>
    <cfRule type="cellIs" dxfId="347" priority="16" operator="equal">
      <formula>"SORGHUM SUDAN"</formula>
    </cfRule>
    <cfRule type="cellIs" dxfId="346" priority="17" operator="equal">
      <formula>"CORN"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CFE21-FEB2-48F7-ADA7-ECECCA77B60E}">
  <sheetPr codeName="Sheet10">
    <pageSetUpPr fitToPage="1"/>
  </sheetPr>
  <dimension ref="A1:AB442"/>
  <sheetViews>
    <sheetView zoomScale="75" zoomScaleNormal="75" workbookViewId="0">
      <selection activeCell="B74" sqref="B74"/>
    </sheetView>
  </sheetViews>
  <sheetFormatPr defaultRowHeight="15" x14ac:dyDescent="0.25"/>
  <cols>
    <col min="1" max="1" width="17.42578125" customWidth="1"/>
    <col min="2" max="2" width="15" bestFit="1" customWidth="1"/>
    <col min="3" max="3" width="16.7109375" bestFit="1" customWidth="1"/>
    <col min="4" max="4" width="20.7109375" bestFit="1" customWidth="1"/>
    <col min="5" max="5" width="13.42578125" customWidth="1"/>
    <col min="6" max="6" width="17.5703125" bestFit="1" customWidth="1"/>
    <col min="7" max="7" width="21" customWidth="1"/>
    <col min="8" max="8" width="21.85546875" bestFit="1" customWidth="1"/>
    <col min="9" max="9" width="17.5703125" bestFit="1" customWidth="1"/>
    <col min="10" max="10" width="15.42578125" bestFit="1" customWidth="1"/>
    <col min="11" max="11" width="12.28515625" bestFit="1" customWidth="1"/>
    <col min="12" max="12" width="15.85546875" bestFit="1" customWidth="1"/>
    <col min="13" max="13" width="20.140625" bestFit="1" customWidth="1"/>
    <col min="14" max="14" width="16.42578125" customWidth="1"/>
    <col min="15" max="15" width="21.28515625" bestFit="1" customWidth="1"/>
    <col min="16" max="16" width="14.5703125" customWidth="1"/>
    <col min="17" max="17" width="15.7109375" bestFit="1" customWidth="1"/>
    <col min="18" max="18" width="15.5703125" bestFit="1" customWidth="1"/>
    <col min="19" max="19" width="14.28515625" bestFit="1" customWidth="1"/>
    <col min="20" max="20" width="13.42578125" customWidth="1"/>
    <col min="21" max="21" width="14.28515625" hidden="1" customWidth="1"/>
    <col min="22" max="22" width="13" hidden="1" customWidth="1"/>
    <col min="23" max="23" width="11.5703125" hidden="1" customWidth="1"/>
    <col min="24" max="25" width="16.140625" hidden="1" customWidth="1"/>
    <col min="26" max="26" width="9.7109375" hidden="1" customWidth="1"/>
    <col min="27" max="27" width="15.42578125" hidden="1" customWidth="1"/>
    <col min="28" max="28" width="12.5703125" hidden="1" customWidth="1"/>
  </cols>
  <sheetData>
    <row r="1" spans="1:28" x14ac:dyDescent="0.25">
      <c r="A1" s="54"/>
      <c r="B1" s="54"/>
      <c r="C1" s="54"/>
      <c r="D1" s="54"/>
      <c r="E1" s="755"/>
      <c r="F1" s="755"/>
      <c r="G1" s="755"/>
      <c r="H1" s="755"/>
      <c r="I1" s="755"/>
      <c r="J1" s="755"/>
      <c r="K1" s="755"/>
      <c r="L1" s="755"/>
      <c r="M1" s="755"/>
      <c r="N1" s="755"/>
      <c r="O1" s="755"/>
      <c r="P1" s="755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</row>
    <row r="2" spans="1:28" x14ac:dyDescent="0.25">
      <c r="A2" s="54"/>
      <c r="B2" s="54"/>
      <c r="C2" s="54"/>
      <c r="D2" s="54"/>
      <c r="E2" s="755"/>
      <c r="F2" s="755"/>
      <c r="G2" s="755"/>
      <c r="H2" s="755"/>
      <c r="I2" s="755"/>
      <c r="J2" s="755"/>
      <c r="K2" s="755"/>
      <c r="L2" s="755"/>
      <c r="M2" s="755"/>
      <c r="N2" s="755"/>
      <c r="O2" s="755"/>
      <c r="P2" s="755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</row>
    <row r="3" spans="1:28" ht="23.25" x14ac:dyDescent="0.25">
      <c r="A3" s="764" t="s">
        <v>816</v>
      </c>
      <c r="B3" s="764"/>
      <c r="C3" s="764"/>
      <c r="D3" s="764"/>
      <c r="E3" s="755"/>
      <c r="F3" s="755"/>
      <c r="G3" s="755"/>
      <c r="H3" s="755"/>
      <c r="I3" s="755"/>
      <c r="J3" s="755"/>
      <c r="K3" s="755"/>
      <c r="L3" s="755"/>
      <c r="M3" s="755"/>
      <c r="N3" s="755"/>
      <c r="O3" s="755"/>
      <c r="P3" s="755"/>
      <c r="Q3" s="2"/>
      <c r="R3" s="2"/>
      <c r="S3" s="2"/>
      <c r="T3" s="2"/>
      <c r="U3" s="2"/>
      <c r="V3" s="2"/>
      <c r="W3" s="2"/>
      <c r="X3" s="2"/>
      <c r="Y3" s="2"/>
      <c r="Z3" s="54"/>
      <c r="AA3" s="54"/>
      <c r="AB3" s="54"/>
    </row>
    <row r="4" spans="1:28" x14ac:dyDescent="0.25">
      <c r="A4" s="3" t="s">
        <v>440</v>
      </c>
      <c r="B4" s="3" t="s">
        <v>477</v>
      </c>
      <c r="C4" s="3" t="s">
        <v>442</v>
      </c>
      <c r="D4" s="3" t="s">
        <v>443</v>
      </c>
      <c r="E4" s="3" t="s">
        <v>533</v>
      </c>
      <c r="F4" s="3" t="s">
        <v>115</v>
      </c>
      <c r="G4" s="3" t="s">
        <v>116</v>
      </c>
      <c r="H4" s="3" t="s">
        <v>118</v>
      </c>
      <c r="I4" s="3" t="s">
        <v>478</v>
      </c>
      <c r="J4" s="3" t="s">
        <v>446</v>
      </c>
      <c r="K4" s="3" t="s">
        <v>447</v>
      </c>
      <c r="L4" s="3" t="s">
        <v>448</v>
      </c>
      <c r="M4" s="3" t="s">
        <v>449</v>
      </c>
      <c r="N4" s="3" t="s">
        <v>450</v>
      </c>
      <c r="O4" s="4" t="s">
        <v>534</v>
      </c>
      <c r="P4" s="3" t="s">
        <v>535</v>
      </c>
      <c r="Q4" s="5" t="s">
        <v>453</v>
      </c>
      <c r="R4" s="3" t="s">
        <v>454</v>
      </c>
      <c r="S4" s="5" t="s">
        <v>455</v>
      </c>
      <c r="T4" s="5" t="s">
        <v>456</v>
      </c>
      <c r="U4" s="3" t="s">
        <v>457</v>
      </c>
      <c r="V4" s="3" t="s">
        <v>20</v>
      </c>
      <c r="W4" s="3" t="s">
        <v>458</v>
      </c>
      <c r="X4" s="5" t="s">
        <v>459</v>
      </c>
      <c r="Y4" s="5" t="s">
        <v>460</v>
      </c>
      <c r="Z4" s="54"/>
      <c r="AA4" s="54"/>
      <c r="AB4" s="54"/>
    </row>
    <row r="5" spans="1:28" x14ac:dyDescent="0.25">
      <c r="A5" s="496"/>
      <c r="B5" s="496"/>
      <c r="C5" s="497"/>
      <c r="D5" s="415"/>
      <c r="E5" s="415"/>
      <c r="F5" s="415"/>
      <c r="G5" s="415"/>
      <c r="H5" s="415"/>
      <c r="I5" s="415"/>
      <c r="J5" s="415"/>
      <c r="K5" s="416"/>
      <c r="L5" s="9">
        <f t="shared" ref="L5:L65" si="0">J5-K5</f>
        <v>0</v>
      </c>
      <c r="M5" s="418"/>
      <c r="N5" s="415"/>
      <c r="O5" s="419"/>
      <c r="P5" s="416"/>
      <c r="Q5" s="291">
        <f t="shared" ref="Q5:Q65" si="1">L5/60</f>
        <v>0</v>
      </c>
      <c r="R5" s="13"/>
      <c r="S5" s="12">
        <v>703</v>
      </c>
      <c r="T5" s="12">
        <v>9.24</v>
      </c>
      <c r="U5" s="10"/>
      <c r="V5" s="289"/>
      <c r="W5" s="290"/>
      <c r="X5" s="12">
        <f t="shared" ref="X5:X65" si="2">T5*V5</f>
        <v>0</v>
      </c>
      <c r="Y5" s="12">
        <f t="shared" ref="Y5:Y65" si="3">T5*W5</f>
        <v>0</v>
      </c>
      <c r="Z5" s="54"/>
      <c r="AA5" s="54"/>
      <c r="AB5" s="54"/>
    </row>
    <row r="6" spans="1:28" x14ac:dyDescent="0.25">
      <c r="A6" s="496"/>
      <c r="B6" s="496"/>
      <c r="C6" s="497"/>
      <c r="D6" s="415"/>
      <c r="E6" s="415"/>
      <c r="F6" s="415"/>
      <c r="G6" s="415"/>
      <c r="H6" s="415"/>
      <c r="I6" s="415"/>
      <c r="J6" s="415"/>
      <c r="K6" s="415"/>
      <c r="L6" s="9">
        <f t="shared" ref="L6:L21" si="4">J6-K6</f>
        <v>0</v>
      </c>
      <c r="M6" s="415"/>
      <c r="N6" s="415"/>
      <c r="O6" s="419"/>
      <c r="P6" s="415"/>
      <c r="Q6" s="291">
        <f t="shared" ref="Q6:Q21" si="5">L6/60</f>
        <v>0</v>
      </c>
      <c r="R6" s="560"/>
      <c r="S6" s="12">
        <f t="shared" ref="S6:S21" si="6">Q6*O6</f>
        <v>0</v>
      </c>
      <c r="T6" s="12">
        <f>HARVESTTBL3777[[#This Row],[Gross Units]]-(HARVESTTBL3777[[#This Row],[Shrink]]/60)-(HARVESTTBL3777[[#This Row],[Dockage2]]/60)</f>
        <v>0</v>
      </c>
      <c r="U6" s="7"/>
      <c r="V6" s="289"/>
      <c r="W6" s="289"/>
      <c r="X6" s="12">
        <f t="shared" ref="X6:X21" si="7">T6*V6</f>
        <v>0</v>
      </c>
      <c r="Y6" s="12">
        <f t="shared" ref="Y6:Y21" si="8">T6*W6</f>
        <v>0</v>
      </c>
      <c r="Z6" s="54"/>
      <c r="AA6" s="54"/>
      <c r="AB6" s="54"/>
    </row>
    <row r="7" spans="1:28" x14ac:dyDescent="0.25">
      <c r="A7" s="496"/>
      <c r="B7" s="496"/>
      <c r="C7" s="497"/>
      <c r="D7" s="415"/>
      <c r="E7" s="415"/>
      <c r="F7" s="415"/>
      <c r="G7" s="415"/>
      <c r="H7" s="415"/>
      <c r="I7" s="415"/>
      <c r="J7" s="415"/>
      <c r="K7" s="415"/>
      <c r="L7" s="9">
        <f t="shared" si="4"/>
        <v>0</v>
      </c>
      <c r="M7" s="415"/>
      <c r="N7" s="415"/>
      <c r="O7" s="419"/>
      <c r="P7" s="415"/>
      <c r="Q7" s="291">
        <f t="shared" si="5"/>
        <v>0</v>
      </c>
      <c r="R7" s="560"/>
      <c r="S7" s="12">
        <f t="shared" si="6"/>
        <v>0</v>
      </c>
      <c r="T7" s="12">
        <f>HARVESTTBL3777[[#This Row],[Gross Units]]-(HARVESTTBL3777[[#This Row],[Shrink]]/60)-(HARVESTTBL3777[[#This Row],[Dockage2]]/60)</f>
        <v>0</v>
      </c>
      <c r="U7" s="7"/>
      <c r="V7" s="289"/>
      <c r="W7" s="289"/>
      <c r="X7" s="12">
        <f t="shared" si="7"/>
        <v>0</v>
      </c>
      <c r="Y7" s="12">
        <f t="shared" si="8"/>
        <v>0</v>
      </c>
      <c r="Z7" s="54"/>
      <c r="AA7" s="54"/>
      <c r="AB7" s="54"/>
    </row>
    <row r="8" spans="1:28" x14ac:dyDescent="0.25">
      <c r="A8" s="496"/>
      <c r="B8" s="496"/>
      <c r="C8" s="497"/>
      <c r="D8" s="415"/>
      <c r="E8" s="415"/>
      <c r="F8" s="415"/>
      <c r="G8" s="415"/>
      <c r="H8" s="415"/>
      <c r="I8" s="415"/>
      <c r="J8" s="415"/>
      <c r="K8" s="416"/>
      <c r="L8" s="9">
        <f t="shared" si="4"/>
        <v>0</v>
      </c>
      <c r="M8" s="418"/>
      <c r="N8" s="415"/>
      <c r="O8" s="419"/>
      <c r="P8" s="416"/>
      <c r="Q8" s="291">
        <f t="shared" si="5"/>
        <v>0</v>
      </c>
      <c r="R8" s="560"/>
      <c r="S8" s="12">
        <f t="shared" si="6"/>
        <v>0</v>
      </c>
      <c r="T8" s="12">
        <f>HARVESTTBL3777[[#This Row],[Gross Units]]-(HARVESTTBL3777[[#This Row],[Shrink]]/60)-(HARVESTTBL3777[[#This Row],[Dockage2]]/60)</f>
        <v>0</v>
      </c>
      <c r="U8" s="7"/>
      <c r="V8" s="289"/>
      <c r="W8" s="289"/>
      <c r="X8" s="12">
        <f t="shared" si="7"/>
        <v>0</v>
      </c>
      <c r="Y8" s="12">
        <f t="shared" si="8"/>
        <v>0</v>
      </c>
      <c r="Z8" s="54"/>
      <c r="AA8" s="54"/>
      <c r="AB8" s="54"/>
    </row>
    <row r="9" spans="1:28" x14ac:dyDescent="0.25">
      <c r="A9" s="496"/>
      <c r="B9" s="496"/>
      <c r="C9" s="497"/>
      <c r="D9" s="415"/>
      <c r="E9" s="415"/>
      <c r="F9" s="415"/>
      <c r="G9" s="415"/>
      <c r="H9" s="415"/>
      <c r="I9" s="415"/>
      <c r="J9" s="415"/>
      <c r="K9" s="416"/>
      <c r="L9" s="9">
        <f t="shared" si="4"/>
        <v>0</v>
      </c>
      <c r="M9" s="418"/>
      <c r="N9" s="415"/>
      <c r="O9" s="419"/>
      <c r="P9" s="416"/>
      <c r="Q9" s="291">
        <f t="shared" si="5"/>
        <v>0</v>
      </c>
      <c r="R9" s="560"/>
      <c r="S9" s="12">
        <f t="shared" si="6"/>
        <v>0</v>
      </c>
      <c r="T9" s="12">
        <f>HARVESTTBL3777[[#This Row],[Gross Units]]-(HARVESTTBL3777[[#This Row],[Shrink]]/60)-(HARVESTTBL3777[[#This Row],[Dockage2]]/60)</f>
        <v>0</v>
      </c>
      <c r="U9" s="7"/>
      <c r="V9" s="289"/>
      <c r="W9" s="289"/>
      <c r="X9" s="12">
        <f t="shared" si="7"/>
        <v>0</v>
      </c>
      <c r="Y9" s="12">
        <f t="shared" si="8"/>
        <v>0</v>
      </c>
      <c r="Z9" s="54"/>
      <c r="AA9" s="54"/>
      <c r="AB9" s="54"/>
    </row>
    <row r="10" spans="1:28" x14ac:dyDescent="0.25">
      <c r="A10" s="496"/>
      <c r="B10" s="496"/>
      <c r="C10" s="497"/>
      <c r="D10" s="415"/>
      <c r="E10" s="415"/>
      <c r="F10" s="415"/>
      <c r="G10" s="415"/>
      <c r="H10" s="415"/>
      <c r="I10" s="415"/>
      <c r="J10" s="415"/>
      <c r="K10" s="416"/>
      <c r="L10" s="9">
        <f t="shared" si="4"/>
        <v>0</v>
      </c>
      <c r="M10" s="418"/>
      <c r="N10" s="415"/>
      <c r="O10" s="419"/>
      <c r="P10" s="416"/>
      <c r="Q10" s="291">
        <f t="shared" si="5"/>
        <v>0</v>
      </c>
      <c r="R10" s="560"/>
      <c r="S10" s="12">
        <f t="shared" si="6"/>
        <v>0</v>
      </c>
      <c r="T10" s="12">
        <f>HARVESTTBL3777[[#This Row],[Gross Units]]-(HARVESTTBL3777[[#This Row],[Shrink]]/60)-(HARVESTTBL3777[[#This Row],[Dockage2]]/60)</f>
        <v>0</v>
      </c>
      <c r="U10" s="7"/>
      <c r="V10" s="289"/>
      <c r="W10" s="289"/>
      <c r="X10" s="12">
        <f t="shared" si="7"/>
        <v>0</v>
      </c>
      <c r="Y10" s="12">
        <f t="shared" si="8"/>
        <v>0</v>
      </c>
      <c r="Z10" s="54"/>
      <c r="AA10" s="54"/>
      <c r="AB10" s="54"/>
    </row>
    <row r="11" spans="1:28" x14ac:dyDescent="0.25">
      <c r="A11" s="496"/>
      <c r="B11" s="496"/>
      <c r="C11" s="497"/>
      <c r="D11" s="415"/>
      <c r="E11" s="415"/>
      <c r="F11" s="415"/>
      <c r="G11" s="415"/>
      <c r="H11" s="415"/>
      <c r="I11" s="415"/>
      <c r="J11" s="415"/>
      <c r="K11" s="415"/>
      <c r="L11" s="9">
        <f t="shared" si="4"/>
        <v>0</v>
      </c>
      <c r="M11" s="415"/>
      <c r="N11" s="415"/>
      <c r="O11" s="419"/>
      <c r="P11" s="415"/>
      <c r="Q11" s="291">
        <f t="shared" si="5"/>
        <v>0</v>
      </c>
      <c r="R11" s="560"/>
      <c r="S11" s="12">
        <f t="shared" si="6"/>
        <v>0</v>
      </c>
      <c r="T11" s="12">
        <f>HARVESTTBL3777[[#This Row],[Gross Units]]-(HARVESTTBL3777[[#This Row],[Shrink]]/60)-(HARVESTTBL3777[[#This Row],[Dockage2]]/60)</f>
        <v>0</v>
      </c>
      <c r="U11" s="7"/>
      <c r="V11" s="289"/>
      <c r="W11" s="289"/>
      <c r="X11" s="12">
        <f t="shared" si="7"/>
        <v>0</v>
      </c>
      <c r="Y11" s="12">
        <f t="shared" si="8"/>
        <v>0</v>
      </c>
      <c r="Z11" s="54"/>
      <c r="AA11" s="54"/>
      <c r="AB11" s="54"/>
    </row>
    <row r="12" spans="1:28" x14ac:dyDescent="0.25">
      <c r="A12" s="496"/>
      <c r="B12" s="496"/>
      <c r="C12" s="497"/>
      <c r="D12" s="415"/>
      <c r="E12" s="415"/>
      <c r="F12" s="415"/>
      <c r="G12" s="415"/>
      <c r="H12" s="415"/>
      <c r="I12" s="415"/>
      <c r="J12" s="415"/>
      <c r="K12" s="416"/>
      <c r="L12" s="9">
        <f t="shared" si="4"/>
        <v>0</v>
      </c>
      <c r="M12" s="418"/>
      <c r="N12" s="415"/>
      <c r="O12" s="419"/>
      <c r="P12" s="416"/>
      <c r="Q12" s="291">
        <f t="shared" si="5"/>
        <v>0</v>
      </c>
      <c r="R12" s="560"/>
      <c r="S12" s="12">
        <f t="shared" si="6"/>
        <v>0</v>
      </c>
      <c r="T12" s="12">
        <f>HARVESTTBL3777[[#This Row],[Gross Units]]-(HARVESTTBL3777[[#This Row],[Shrink]]/60)-(HARVESTTBL3777[[#This Row],[Dockage2]]/60)</f>
        <v>0</v>
      </c>
      <c r="U12" s="7"/>
      <c r="V12" s="289"/>
      <c r="W12" s="289"/>
      <c r="X12" s="12">
        <f t="shared" si="7"/>
        <v>0</v>
      </c>
      <c r="Y12" s="12">
        <f t="shared" si="8"/>
        <v>0</v>
      </c>
      <c r="Z12" s="54"/>
      <c r="AA12" s="54"/>
      <c r="AB12" s="54"/>
    </row>
    <row r="13" spans="1:28" x14ac:dyDescent="0.25">
      <c r="A13" s="496"/>
      <c r="B13" s="496"/>
      <c r="C13" s="497"/>
      <c r="D13" s="415"/>
      <c r="E13" s="415"/>
      <c r="F13" s="415"/>
      <c r="G13" s="415"/>
      <c r="H13" s="415"/>
      <c r="I13" s="415"/>
      <c r="J13" s="415"/>
      <c r="K13" s="416"/>
      <c r="L13" s="9">
        <f t="shared" si="4"/>
        <v>0</v>
      </c>
      <c r="M13" s="418"/>
      <c r="N13" s="415"/>
      <c r="O13" s="419"/>
      <c r="P13" s="416"/>
      <c r="Q13" s="291">
        <f t="shared" si="5"/>
        <v>0</v>
      </c>
      <c r="R13" s="560"/>
      <c r="S13" s="12">
        <f t="shared" si="6"/>
        <v>0</v>
      </c>
      <c r="T13" s="12">
        <f>HARVESTTBL3777[[#This Row],[Gross Units]]-(HARVESTTBL3777[[#This Row],[Shrink]]/60)-(HARVESTTBL3777[[#This Row],[Dockage2]]/60)</f>
        <v>0</v>
      </c>
      <c r="U13" s="7"/>
      <c r="V13" s="289"/>
      <c r="W13" s="289"/>
      <c r="X13" s="12">
        <f t="shared" si="7"/>
        <v>0</v>
      </c>
      <c r="Y13" s="12">
        <f t="shared" si="8"/>
        <v>0</v>
      </c>
      <c r="Z13" s="54"/>
      <c r="AA13" s="54"/>
      <c r="AB13" s="54"/>
    </row>
    <row r="14" spans="1:28" x14ac:dyDescent="0.25">
      <c r="A14" s="496"/>
      <c r="B14" s="496"/>
      <c r="C14" s="497"/>
      <c r="D14" s="415"/>
      <c r="E14" s="415"/>
      <c r="F14" s="415"/>
      <c r="G14" s="415"/>
      <c r="H14" s="415"/>
      <c r="I14" s="415"/>
      <c r="J14" s="415"/>
      <c r="K14" s="416"/>
      <c r="L14" s="9">
        <f t="shared" si="4"/>
        <v>0</v>
      </c>
      <c r="M14" s="418"/>
      <c r="N14" s="415"/>
      <c r="O14" s="419"/>
      <c r="P14" s="416"/>
      <c r="Q14" s="291">
        <f t="shared" si="5"/>
        <v>0</v>
      </c>
      <c r="R14" s="560"/>
      <c r="S14" s="12">
        <f t="shared" si="6"/>
        <v>0</v>
      </c>
      <c r="T14" s="12">
        <f>HARVESTTBL3777[[#This Row],[Gross Units]]-(HARVESTTBL3777[[#This Row],[Shrink]]/60)-(HARVESTTBL3777[[#This Row],[Dockage2]]/60)</f>
        <v>0</v>
      </c>
      <c r="U14" s="7"/>
      <c r="V14" s="289"/>
      <c r="W14" s="289"/>
      <c r="X14" s="12">
        <f t="shared" si="7"/>
        <v>0</v>
      </c>
      <c r="Y14" s="12">
        <f t="shared" si="8"/>
        <v>0</v>
      </c>
      <c r="Z14" s="54"/>
      <c r="AA14" s="54"/>
      <c r="AB14" s="54"/>
    </row>
    <row r="15" spans="1:28" x14ac:dyDescent="0.25">
      <c r="A15" s="496"/>
      <c r="B15" s="496"/>
      <c r="C15" s="497"/>
      <c r="D15" s="415"/>
      <c r="E15" s="415"/>
      <c r="F15" s="415"/>
      <c r="G15" s="415"/>
      <c r="H15" s="415"/>
      <c r="I15" s="415"/>
      <c r="J15" s="415"/>
      <c r="K15" s="416"/>
      <c r="L15" s="9">
        <f t="shared" si="4"/>
        <v>0</v>
      </c>
      <c r="M15" s="418"/>
      <c r="N15" s="415"/>
      <c r="O15" s="419"/>
      <c r="P15" s="416"/>
      <c r="Q15" s="291">
        <f t="shared" si="5"/>
        <v>0</v>
      </c>
      <c r="R15" s="560"/>
      <c r="S15" s="12">
        <f t="shared" si="6"/>
        <v>0</v>
      </c>
      <c r="T15" s="12">
        <f>HARVESTTBL3777[[#This Row],[Gross Units]]-(HARVESTTBL3777[[#This Row],[Shrink]]/60)-(HARVESTTBL3777[[#This Row],[Dockage2]]/60)</f>
        <v>0</v>
      </c>
      <c r="U15" s="7"/>
      <c r="V15" s="289"/>
      <c r="W15" s="289"/>
      <c r="X15" s="12">
        <f t="shared" si="7"/>
        <v>0</v>
      </c>
      <c r="Y15" s="12">
        <f t="shared" si="8"/>
        <v>0</v>
      </c>
      <c r="Z15" s="54"/>
      <c r="AA15" s="54"/>
      <c r="AB15" s="54"/>
    </row>
    <row r="16" spans="1:28" x14ac:dyDescent="0.25">
      <c r="A16" s="496"/>
      <c r="B16" s="496"/>
      <c r="C16" s="497"/>
      <c r="D16" s="415"/>
      <c r="E16" s="415"/>
      <c r="F16" s="415"/>
      <c r="G16" s="415"/>
      <c r="H16" s="415"/>
      <c r="I16" s="415"/>
      <c r="J16" s="415"/>
      <c r="K16" s="416"/>
      <c r="L16" s="9">
        <f t="shared" si="4"/>
        <v>0</v>
      </c>
      <c r="M16" s="418"/>
      <c r="N16" s="415"/>
      <c r="O16" s="419"/>
      <c r="P16" s="416"/>
      <c r="Q16" s="291">
        <f t="shared" si="5"/>
        <v>0</v>
      </c>
      <c r="R16" s="560"/>
      <c r="S16" s="12">
        <f t="shared" si="6"/>
        <v>0</v>
      </c>
      <c r="T16" s="12">
        <f>HARVESTTBL3777[[#This Row],[Gross Units]]-(HARVESTTBL3777[[#This Row],[Shrink]]/60)-(HARVESTTBL3777[[#This Row],[Dockage2]]/60)</f>
        <v>0</v>
      </c>
      <c r="U16" s="7"/>
      <c r="V16" s="289"/>
      <c r="W16" s="289"/>
      <c r="X16" s="12">
        <f t="shared" si="7"/>
        <v>0</v>
      </c>
      <c r="Y16" s="12">
        <f t="shared" si="8"/>
        <v>0</v>
      </c>
      <c r="Z16" s="54"/>
      <c r="AA16" s="54"/>
      <c r="AB16" s="54"/>
    </row>
    <row r="17" spans="1:28" x14ac:dyDescent="0.25">
      <c r="A17" s="496"/>
      <c r="B17" s="496"/>
      <c r="C17" s="497"/>
      <c r="D17" s="415"/>
      <c r="E17" s="415"/>
      <c r="F17" s="415"/>
      <c r="G17" s="415"/>
      <c r="H17" s="415"/>
      <c r="I17" s="415"/>
      <c r="J17" s="415"/>
      <c r="K17" s="416"/>
      <c r="L17" s="9">
        <f t="shared" si="4"/>
        <v>0</v>
      </c>
      <c r="M17" s="418"/>
      <c r="N17" s="415"/>
      <c r="O17" s="419"/>
      <c r="P17" s="416"/>
      <c r="Q17" s="291">
        <f t="shared" si="5"/>
        <v>0</v>
      </c>
      <c r="R17" s="560"/>
      <c r="S17" s="12">
        <f t="shared" si="6"/>
        <v>0</v>
      </c>
      <c r="T17" s="12">
        <f>HARVESTTBL3777[[#This Row],[Gross Units]]-(HARVESTTBL3777[[#This Row],[Shrink]]/60)-(HARVESTTBL3777[[#This Row],[Dockage2]]/60)</f>
        <v>0</v>
      </c>
      <c r="U17" s="7"/>
      <c r="V17" s="289"/>
      <c r="W17" s="289"/>
      <c r="X17" s="12">
        <f t="shared" si="7"/>
        <v>0</v>
      </c>
      <c r="Y17" s="12">
        <f t="shared" si="8"/>
        <v>0</v>
      </c>
      <c r="Z17" s="54"/>
      <c r="AA17" s="54"/>
      <c r="AB17" s="54"/>
    </row>
    <row r="18" spans="1:28" x14ac:dyDescent="0.25">
      <c r="A18" s="496"/>
      <c r="B18" s="496"/>
      <c r="C18" s="497"/>
      <c r="D18" s="415"/>
      <c r="E18" s="415"/>
      <c r="F18" s="415"/>
      <c r="G18" s="415"/>
      <c r="H18" s="415"/>
      <c r="I18" s="415"/>
      <c r="J18" s="415"/>
      <c r="K18" s="415"/>
      <c r="L18" s="9">
        <f t="shared" si="4"/>
        <v>0</v>
      </c>
      <c r="M18" s="415"/>
      <c r="N18" s="415"/>
      <c r="O18" s="419"/>
      <c r="P18" s="415"/>
      <c r="Q18" s="291">
        <f t="shared" si="5"/>
        <v>0</v>
      </c>
      <c r="R18" s="560"/>
      <c r="S18" s="12">
        <f t="shared" si="6"/>
        <v>0</v>
      </c>
      <c r="T18" s="12">
        <f>HARVESTTBL3777[[#This Row],[Gross Units]]-(HARVESTTBL3777[[#This Row],[Shrink]]/60)-(HARVESTTBL3777[[#This Row],[Dockage2]]/60)</f>
        <v>0</v>
      </c>
      <c r="U18" s="7"/>
      <c r="V18" s="289"/>
      <c r="W18" s="289"/>
      <c r="X18" s="12">
        <f t="shared" si="7"/>
        <v>0</v>
      </c>
      <c r="Y18" s="12">
        <f t="shared" si="8"/>
        <v>0</v>
      </c>
      <c r="Z18" s="54"/>
      <c r="AA18" s="54"/>
      <c r="AB18" s="54"/>
    </row>
    <row r="19" spans="1:28" x14ac:dyDescent="0.25">
      <c r="A19" s="496"/>
      <c r="B19" s="496"/>
      <c r="C19" s="497"/>
      <c r="D19" s="415"/>
      <c r="E19" s="415"/>
      <c r="F19" s="415"/>
      <c r="G19" s="415"/>
      <c r="H19" s="415"/>
      <c r="I19" s="415"/>
      <c r="J19" s="415"/>
      <c r="K19" s="415"/>
      <c r="L19" s="9">
        <f t="shared" si="4"/>
        <v>0</v>
      </c>
      <c r="M19" s="415"/>
      <c r="N19" s="415"/>
      <c r="O19" s="419"/>
      <c r="P19" s="415"/>
      <c r="Q19" s="291">
        <f t="shared" si="5"/>
        <v>0</v>
      </c>
      <c r="R19" s="560"/>
      <c r="S19" s="12">
        <f t="shared" si="6"/>
        <v>0</v>
      </c>
      <c r="T19" s="12">
        <f>HARVESTTBL3777[[#This Row],[Gross Units]]-(HARVESTTBL3777[[#This Row],[Shrink]]/60)-(HARVESTTBL3777[[#This Row],[Dockage2]]/60)</f>
        <v>0</v>
      </c>
      <c r="U19" s="7"/>
      <c r="V19" s="289"/>
      <c r="W19" s="289"/>
      <c r="X19" s="12">
        <f t="shared" si="7"/>
        <v>0</v>
      </c>
      <c r="Y19" s="12">
        <f t="shared" si="8"/>
        <v>0</v>
      </c>
      <c r="Z19" s="54"/>
      <c r="AA19" s="54"/>
      <c r="AB19" s="54"/>
    </row>
    <row r="20" spans="1:28" x14ac:dyDescent="0.25">
      <c r="A20" s="496"/>
      <c r="B20" s="496"/>
      <c r="C20" s="497"/>
      <c r="D20" s="415"/>
      <c r="E20" s="415"/>
      <c r="F20" s="415"/>
      <c r="G20" s="415"/>
      <c r="H20" s="415"/>
      <c r="I20" s="415"/>
      <c r="J20" s="415"/>
      <c r="K20" s="415"/>
      <c r="L20" s="9">
        <f t="shared" si="4"/>
        <v>0</v>
      </c>
      <c r="M20" s="415"/>
      <c r="N20" s="415"/>
      <c r="O20" s="419"/>
      <c r="P20" s="415"/>
      <c r="Q20" s="291">
        <f t="shared" si="5"/>
        <v>0</v>
      </c>
      <c r="R20" s="560"/>
      <c r="S20" s="12">
        <f t="shared" si="6"/>
        <v>0</v>
      </c>
      <c r="T20" s="12">
        <f>HARVESTTBL3777[[#This Row],[Gross Units]]-(HARVESTTBL3777[[#This Row],[Shrink]]/60)-(HARVESTTBL3777[[#This Row],[Dockage2]]/60)</f>
        <v>0</v>
      </c>
      <c r="U20" s="7"/>
      <c r="V20" s="289"/>
      <c r="W20" s="289"/>
      <c r="X20" s="12">
        <f t="shared" si="7"/>
        <v>0</v>
      </c>
      <c r="Y20" s="12">
        <f t="shared" si="8"/>
        <v>0</v>
      </c>
      <c r="Z20" s="54"/>
      <c r="AA20" s="54"/>
      <c r="AB20" s="54"/>
    </row>
    <row r="21" spans="1:28" x14ac:dyDescent="0.25">
      <c r="A21" s="496"/>
      <c r="B21" s="496"/>
      <c r="C21" s="497"/>
      <c r="D21" s="415"/>
      <c r="E21" s="415"/>
      <c r="F21" s="415"/>
      <c r="G21" s="415"/>
      <c r="H21" s="415"/>
      <c r="I21" s="415"/>
      <c r="J21" s="415"/>
      <c r="K21" s="415"/>
      <c r="L21" s="9">
        <f t="shared" si="4"/>
        <v>0</v>
      </c>
      <c r="M21" s="415"/>
      <c r="N21" s="415"/>
      <c r="O21" s="419"/>
      <c r="P21" s="415"/>
      <c r="Q21" s="291">
        <f t="shared" si="5"/>
        <v>0</v>
      </c>
      <c r="R21" s="560"/>
      <c r="S21" s="12">
        <f t="shared" si="6"/>
        <v>0</v>
      </c>
      <c r="T21" s="12">
        <f>HARVESTTBL3777[[#This Row],[Gross Units]]-(HARVESTTBL3777[[#This Row],[Shrink]]/60)-(HARVESTTBL3777[[#This Row],[Dockage2]]/60)</f>
        <v>0</v>
      </c>
      <c r="U21" s="7"/>
      <c r="V21" s="289"/>
      <c r="W21" s="289"/>
      <c r="X21" s="12">
        <f t="shared" si="7"/>
        <v>0</v>
      </c>
      <c r="Y21" s="12">
        <f t="shared" si="8"/>
        <v>0</v>
      </c>
      <c r="Z21" s="54"/>
      <c r="AA21" s="54"/>
      <c r="AB21" s="54"/>
    </row>
    <row r="22" spans="1:28" x14ac:dyDescent="0.25">
      <c r="A22" s="496"/>
      <c r="B22" s="496"/>
      <c r="C22" s="497"/>
      <c r="D22" s="415"/>
      <c r="E22" s="415"/>
      <c r="F22" s="415"/>
      <c r="G22" s="415"/>
      <c r="H22" s="415"/>
      <c r="I22" s="415"/>
      <c r="J22" s="415"/>
      <c r="K22" s="415"/>
      <c r="L22" s="9">
        <f t="shared" ref="L22:L37" si="9">J22-K22</f>
        <v>0</v>
      </c>
      <c r="M22" s="415"/>
      <c r="N22" s="415"/>
      <c r="O22" s="419"/>
      <c r="P22" s="415"/>
      <c r="Q22" s="291">
        <f t="shared" ref="Q22:Q37" si="10">L22/60</f>
        <v>0</v>
      </c>
      <c r="R22" s="560"/>
      <c r="S22" s="12">
        <f t="shared" ref="S22:S37" si="11">Q22*O22</f>
        <v>0</v>
      </c>
      <c r="T22" s="12">
        <f>HARVESTTBL3777[[#This Row],[Gross Units]]-(HARVESTTBL3777[[#This Row],[Shrink]]/60)-(HARVESTTBL3777[[#This Row],[Dockage2]]/60)</f>
        <v>0</v>
      </c>
      <c r="U22" s="7"/>
      <c r="V22" s="289"/>
      <c r="W22" s="289"/>
      <c r="X22" s="12">
        <f t="shared" ref="X22:X37" si="12">T22*V22</f>
        <v>0</v>
      </c>
      <c r="Y22" s="12">
        <f t="shared" ref="Y22:Y37" si="13">T22*W22</f>
        <v>0</v>
      </c>
      <c r="Z22" s="54"/>
      <c r="AA22" s="54"/>
      <c r="AB22" s="54"/>
    </row>
    <row r="23" spans="1:28" x14ac:dyDescent="0.25">
      <c r="A23" s="496"/>
      <c r="B23" s="496"/>
      <c r="C23" s="497"/>
      <c r="D23" s="415"/>
      <c r="E23" s="415"/>
      <c r="F23" s="415"/>
      <c r="G23" s="415"/>
      <c r="H23" s="415"/>
      <c r="I23" s="415"/>
      <c r="J23" s="415"/>
      <c r="K23" s="415"/>
      <c r="L23" s="9">
        <f t="shared" si="9"/>
        <v>0</v>
      </c>
      <c r="M23" s="415"/>
      <c r="N23" s="415"/>
      <c r="O23" s="419"/>
      <c r="P23" s="415"/>
      <c r="Q23" s="291">
        <f t="shared" si="10"/>
        <v>0</v>
      </c>
      <c r="R23" s="560"/>
      <c r="S23" s="12">
        <f t="shared" si="11"/>
        <v>0</v>
      </c>
      <c r="T23" s="12">
        <f>HARVESTTBL3777[[#This Row],[Gross Units]]-(HARVESTTBL3777[[#This Row],[Shrink]]/60)-(HARVESTTBL3777[[#This Row],[Dockage2]]/60)</f>
        <v>0</v>
      </c>
      <c r="U23" s="7"/>
      <c r="V23" s="289"/>
      <c r="W23" s="289"/>
      <c r="X23" s="12">
        <f t="shared" si="12"/>
        <v>0</v>
      </c>
      <c r="Y23" s="12">
        <f t="shared" si="13"/>
        <v>0</v>
      </c>
      <c r="Z23" s="54"/>
      <c r="AA23" s="54"/>
      <c r="AB23" s="54"/>
    </row>
    <row r="24" spans="1:28" x14ac:dyDescent="0.25">
      <c r="A24" s="496"/>
      <c r="B24" s="496"/>
      <c r="C24" s="497"/>
      <c r="D24" s="415"/>
      <c r="E24" s="415"/>
      <c r="F24" s="415"/>
      <c r="G24" s="415"/>
      <c r="H24" s="415"/>
      <c r="I24" s="415"/>
      <c r="J24" s="415"/>
      <c r="K24" s="415"/>
      <c r="L24" s="9">
        <f t="shared" si="9"/>
        <v>0</v>
      </c>
      <c r="M24" s="415"/>
      <c r="N24" s="415"/>
      <c r="O24" s="419"/>
      <c r="P24" s="415"/>
      <c r="Q24" s="291">
        <f t="shared" si="10"/>
        <v>0</v>
      </c>
      <c r="R24" s="560"/>
      <c r="S24" s="12">
        <f t="shared" si="11"/>
        <v>0</v>
      </c>
      <c r="T24" s="12">
        <f>HARVESTTBL3777[[#This Row],[Gross Units]]-(HARVESTTBL3777[[#This Row],[Shrink]]/60)-(HARVESTTBL3777[[#This Row],[Dockage2]]/60)</f>
        <v>0</v>
      </c>
      <c r="U24" s="7"/>
      <c r="V24" s="289"/>
      <c r="W24" s="289"/>
      <c r="X24" s="12">
        <f t="shared" si="12"/>
        <v>0</v>
      </c>
      <c r="Y24" s="12">
        <f t="shared" si="13"/>
        <v>0</v>
      </c>
      <c r="Z24" s="54"/>
      <c r="AA24" s="54"/>
      <c r="AB24" s="54"/>
    </row>
    <row r="25" spans="1:28" x14ac:dyDescent="0.25">
      <c r="A25" s="496"/>
      <c r="B25" s="496"/>
      <c r="C25" s="497"/>
      <c r="D25" s="415"/>
      <c r="E25" s="415"/>
      <c r="F25" s="415"/>
      <c r="G25" s="415"/>
      <c r="H25" s="415"/>
      <c r="I25" s="415"/>
      <c r="J25" s="415"/>
      <c r="K25" s="415"/>
      <c r="L25" s="9">
        <f t="shared" si="9"/>
        <v>0</v>
      </c>
      <c r="M25" s="415"/>
      <c r="N25" s="415"/>
      <c r="O25" s="419"/>
      <c r="P25" s="415"/>
      <c r="Q25" s="291">
        <f t="shared" si="10"/>
        <v>0</v>
      </c>
      <c r="R25" s="560"/>
      <c r="S25" s="12">
        <f t="shared" si="11"/>
        <v>0</v>
      </c>
      <c r="T25" s="12">
        <f>HARVESTTBL3777[[#This Row],[Gross Units]]-(HARVESTTBL3777[[#This Row],[Shrink]]/60)-(HARVESTTBL3777[[#This Row],[Dockage2]]/60)</f>
        <v>0</v>
      </c>
      <c r="U25" s="7"/>
      <c r="V25" s="289"/>
      <c r="W25" s="289"/>
      <c r="X25" s="12">
        <f t="shared" si="12"/>
        <v>0</v>
      </c>
      <c r="Y25" s="12">
        <f t="shared" si="13"/>
        <v>0</v>
      </c>
      <c r="Z25" s="54"/>
      <c r="AA25" s="54"/>
      <c r="AB25" s="54"/>
    </row>
    <row r="26" spans="1:28" x14ac:dyDescent="0.25">
      <c r="A26" s="496"/>
      <c r="B26" s="496"/>
      <c r="C26" s="497"/>
      <c r="D26" s="415"/>
      <c r="E26" s="415"/>
      <c r="F26" s="415"/>
      <c r="G26" s="415"/>
      <c r="H26" s="415"/>
      <c r="I26" s="415"/>
      <c r="J26" s="415"/>
      <c r="K26" s="415"/>
      <c r="L26" s="9">
        <f t="shared" si="9"/>
        <v>0</v>
      </c>
      <c r="M26" s="415"/>
      <c r="N26" s="415"/>
      <c r="O26" s="419"/>
      <c r="P26" s="415"/>
      <c r="Q26" s="291">
        <f t="shared" si="10"/>
        <v>0</v>
      </c>
      <c r="R26" s="560"/>
      <c r="S26" s="12">
        <f t="shared" si="11"/>
        <v>0</v>
      </c>
      <c r="T26" s="12">
        <f>HARVESTTBL3777[[#This Row],[Gross Units]]-(HARVESTTBL3777[[#This Row],[Shrink]]/60)-(HARVESTTBL3777[[#This Row],[Dockage2]]/60)</f>
        <v>0</v>
      </c>
      <c r="U26" s="7"/>
      <c r="V26" s="289"/>
      <c r="W26" s="289"/>
      <c r="X26" s="12">
        <f t="shared" si="12"/>
        <v>0</v>
      </c>
      <c r="Y26" s="12">
        <f t="shared" si="13"/>
        <v>0</v>
      </c>
      <c r="Z26" s="54"/>
      <c r="AA26" s="54"/>
      <c r="AB26" s="54"/>
    </row>
    <row r="27" spans="1:28" x14ac:dyDescent="0.25">
      <c r="A27" s="496"/>
      <c r="B27" s="496"/>
      <c r="C27" s="497"/>
      <c r="D27" s="415"/>
      <c r="E27" s="415"/>
      <c r="F27" s="415"/>
      <c r="G27" s="415"/>
      <c r="H27" s="415"/>
      <c r="I27" s="415"/>
      <c r="J27" s="415"/>
      <c r="K27" s="415"/>
      <c r="L27" s="9">
        <f t="shared" si="9"/>
        <v>0</v>
      </c>
      <c r="M27" s="415"/>
      <c r="N27" s="415"/>
      <c r="O27" s="419"/>
      <c r="P27" s="415"/>
      <c r="Q27" s="291">
        <f t="shared" si="10"/>
        <v>0</v>
      </c>
      <c r="R27" s="560"/>
      <c r="S27" s="12">
        <f t="shared" si="11"/>
        <v>0</v>
      </c>
      <c r="T27" s="12">
        <f>HARVESTTBL3777[[#This Row],[Gross Units]]-(HARVESTTBL3777[[#This Row],[Shrink]]/60)-(HARVESTTBL3777[[#This Row],[Dockage2]]/60)</f>
        <v>0</v>
      </c>
      <c r="U27" s="7"/>
      <c r="V27" s="289"/>
      <c r="W27" s="289"/>
      <c r="X27" s="12">
        <f t="shared" si="12"/>
        <v>0</v>
      </c>
      <c r="Y27" s="12">
        <f t="shared" si="13"/>
        <v>0</v>
      </c>
      <c r="Z27" s="54"/>
      <c r="AA27" s="54"/>
      <c r="AB27" s="54"/>
    </row>
    <row r="28" spans="1:28" x14ac:dyDescent="0.25">
      <c r="A28" s="496"/>
      <c r="B28" s="496"/>
      <c r="C28" s="497"/>
      <c r="D28" s="415"/>
      <c r="E28" s="415"/>
      <c r="F28" s="415"/>
      <c r="G28" s="415"/>
      <c r="H28" s="415"/>
      <c r="I28" s="415"/>
      <c r="J28" s="415"/>
      <c r="K28" s="415"/>
      <c r="L28" s="9">
        <f t="shared" si="9"/>
        <v>0</v>
      </c>
      <c r="M28" s="415"/>
      <c r="N28" s="415"/>
      <c r="O28" s="419"/>
      <c r="P28" s="416"/>
      <c r="Q28" s="291">
        <f t="shared" si="10"/>
        <v>0</v>
      </c>
      <c r="R28" s="560"/>
      <c r="S28" s="12">
        <f t="shared" si="11"/>
        <v>0</v>
      </c>
      <c r="T28" s="12">
        <f>HARVESTTBL3777[[#This Row],[Gross Units]]-(HARVESTTBL3777[[#This Row],[Shrink]]/60)-(HARVESTTBL3777[[#This Row],[Dockage2]]/60)</f>
        <v>0</v>
      </c>
      <c r="U28" s="7"/>
      <c r="V28" s="289"/>
      <c r="W28" s="289"/>
      <c r="X28" s="12">
        <f t="shared" si="12"/>
        <v>0</v>
      </c>
      <c r="Y28" s="12">
        <f t="shared" si="13"/>
        <v>0</v>
      </c>
      <c r="Z28" s="54"/>
      <c r="AA28" s="54"/>
      <c r="AB28" s="54"/>
    </row>
    <row r="29" spans="1:28" x14ac:dyDescent="0.25">
      <c r="A29" s="496"/>
      <c r="B29" s="496"/>
      <c r="C29" s="497"/>
      <c r="D29" s="415"/>
      <c r="E29" s="415"/>
      <c r="F29" s="415"/>
      <c r="G29" s="415"/>
      <c r="H29" s="415"/>
      <c r="I29" s="415"/>
      <c r="J29" s="415"/>
      <c r="K29" s="416"/>
      <c r="L29" s="9">
        <f t="shared" si="9"/>
        <v>0</v>
      </c>
      <c r="M29" s="418"/>
      <c r="N29" s="415"/>
      <c r="O29" s="419"/>
      <c r="P29" s="416"/>
      <c r="Q29" s="291">
        <f t="shared" si="10"/>
        <v>0</v>
      </c>
      <c r="R29" s="560"/>
      <c r="S29" s="12">
        <f t="shared" si="11"/>
        <v>0</v>
      </c>
      <c r="T29" s="12">
        <f>HARVESTTBL3777[[#This Row],[Gross Units]]-(HARVESTTBL3777[[#This Row],[Shrink]]/60)-(HARVESTTBL3777[[#This Row],[Dockage2]]/60)</f>
        <v>0</v>
      </c>
      <c r="U29" s="7"/>
      <c r="V29" s="289"/>
      <c r="W29" s="289"/>
      <c r="X29" s="12">
        <f t="shared" si="12"/>
        <v>0</v>
      </c>
      <c r="Y29" s="12">
        <f t="shared" si="13"/>
        <v>0</v>
      </c>
      <c r="Z29" s="54"/>
      <c r="AA29" s="54"/>
      <c r="AB29" s="54"/>
    </row>
    <row r="30" spans="1:28" x14ac:dyDescent="0.25">
      <c r="A30" s="496"/>
      <c r="B30" s="496"/>
      <c r="C30" s="497"/>
      <c r="D30" s="415"/>
      <c r="E30" s="415"/>
      <c r="F30" s="415"/>
      <c r="G30" s="415"/>
      <c r="H30" s="415"/>
      <c r="I30" s="415"/>
      <c r="J30" s="415"/>
      <c r="K30" s="416"/>
      <c r="L30" s="9">
        <f t="shared" si="9"/>
        <v>0</v>
      </c>
      <c r="M30" s="418"/>
      <c r="N30" s="415"/>
      <c r="O30" s="419"/>
      <c r="P30" s="416"/>
      <c r="Q30" s="291">
        <f t="shared" si="10"/>
        <v>0</v>
      </c>
      <c r="R30" s="560"/>
      <c r="S30" s="12">
        <f t="shared" si="11"/>
        <v>0</v>
      </c>
      <c r="T30" s="12">
        <f>HARVESTTBL3777[[#This Row],[Gross Units]]-(HARVESTTBL3777[[#This Row],[Shrink]]/60)-(HARVESTTBL3777[[#This Row],[Dockage2]]/60)</f>
        <v>0</v>
      </c>
      <c r="U30" s="7"/>
      <c r="V30" s="289"/>
      <c r="W30" s="289"/>
      <c r="X30" s="12">
        <f t="shared" si="12"/>
        <v>0</v>
      </c>
      <c r="Y30" s="12">
        <f t="shared" si="13"/>
        <v>0</v>
      </c>
      <c r="Z30" s="54"/>
      <c r="AA30" s="54"/>
      <c r="AB30" s="54"/>
    </row>
    <row r="31" spans="1:28" x14ac:dyDescent="0.25">
      <c r="A31" s="496"/>
      <c r="B31" s="496"/>
      <c r="C31" s="497"/>
      <c r="D31" s="415"/>
      <c r="E31" s="415"/>
      <c r="F31" s="415"/>
      <c r="G31" s="415"/>
      <c r="H31" s="415"/>
      <c r="I31" s="415"/>
      <c r="J31" s="415"/>
      <c r="K31" s="416"/>
      <c r="L31" s="9">
        <f t="shared" si="9"/>
        <v>0</v>
      </c>
      <c r="M31" s="418"/>
      <c r="N31" s="415"/>
      <c r="O31" s="419"/>
      <c r="P31" s="416"/>
      <c r="Q31" s="291">
        <f t="shared" si="10"/>
        <v>0</v>
      </c>
      <c r="R31" s="560"/>
      <c r="S31" s="12">
        <f t="shared" si="11"/>
        <v>0</v>
      </c>
      <c r="T31" s="12">
        <f>HARVESTTBL3777[[#This Row],[Gross Units]]-(HARVESTTBL3777[[#This Row],[Shrink]]/60)-(HARVESTTBL3777[[#This Row],[Dockage2]]/60)</f>
        <v>0</v>
      </c>
      <c r="U31" s="7"/>
      <c r="V31" s="289"/>
      <c r="W31" s="289"/>
      <c r="X31" s="12">
        <f t="shared" si="12"/>
        <v>0</v>
      </c>
      <c r="Y31" s="12">
        <f t="shared" si="13"/>
        <v>0</v>
      </c>
      <c r="Z31" s="54"/>
      <c r="AA31" s="54"/>
      <c r="AB31" s="54"/>
    </row>
    <row r="32" spans="1:28" x14ac:dyDescent="0.25">
      <c r="A32" s="496"/>
      <c r="B32" s="496"/>
      <c r="C32" s="415"/>
      <c r="D32" s="415"/>
      <c r="E32" s="415"/>
      <c r="F32" s="415"/>
      <c r="G32" s="415"/>
      <c r="H32" s="415"/>
      <c r="I32" s="415"/>
      <c r="J32" s="415"/>
      <c r="K32" s="415"/>
      <c r="L32" s="9">
        <f t="shared" si="9"/>
        <v>0</v>
      </c>
      <c r="M32" s="415"/>
      <c r="N32" s="415"/>
      <c r="O32" s="419"/>
      <c r="P32" s="416"/>
      <c r="Q32" s="291">
        <f t="shared" si="10"/>
        <v>0</v>
      </c>
      <c r="R32" s="560"/>
      <c r="S32" s="12">
        <f t="shared" si="11"/>
        <v>0</v>
      </c>
      <c r="T32" s="12">
        <f>HARVESTTBL3777[[#This Row],[Gross Units]]-(HARVESTTBL3777[[#This Row],[Shrink]]/60)-(HARVESTTBL3777[[#This Row],[Dockage2]]/60)</f>
        <v>0</v>
      </c>
      <c r="U32" s="7"/>
      <c r="V32" s="289"/>
      <c r="W32" s="289"/>
      <c r="X32" s="12">
        <f t="shared" si="12"/>
        <v>0</v>
      </c>
      <c r="Y32" s="12">
        <f t="shared" si="13"/>
        <v>0</v>
      </c>
      <c r="Z32" s="54"/>
      <c r="AA32" s="54"/>
      <c r="AB32" s="54"/>
    </row>
    <row r="33" spans="1:28" x14ac:dyDescent="0.25">
      <c r="A33" s="496"/>
      <c r="B33" s="496"/>
      <c r="C33" s="415"/>
      <c r="D33" s="415"/>
      <c r="E33" s="415"/>
      <c r="F33" s="415"/>
      <c r="G33" s="415"/>
      <c r="H33" s="415"/>
      <c r="I33" s="415"/>
      <c r="J33" s="415"/>
      <c r="K33" s="415"/>
      <c r="L33" s="9">
        <f t="shared" si="9"/>
        <v>0</v>
      </c>
      <c r="M33" s="415"/>
      <c r="N33" s="415"/>
      <c r="O33" s="419"/>
      <c r="P33" s="416"/>
      <c r="Q33" s="291">
        <f t="shared" si="10"/>
        <v>0</v>
      </c>
      <c r="R33" s="560"/>
      <c r="S33" s="12">
        <f t="shared" si="11"/>
        <v>0</v>
      </c>
      <c r="T33" s="12">
        <f>HARVESTTBL3777[[#This Row],[Gross Units]]-(HARVESTTBL3777[[#This Row],[Shrink]]/60)-(HARVESTTBL3777[[#This Row],[Dockage2]]/60)</f>
        <v>0</v>
      </c>
      <c r="U33" s="7"/>
      <c r="V33" s="289"/>
      <c r="W33" s="289"/>
      <c r="X33" s="12">
        <f t="shared" si="12"/>
        <v>0</v>
      </c>
      <c r="Y33" s="12">
        <f t="shared" si="13"/>
        <v>0</v>
      </c>
      <c r="Z33" s="54"/>
      <c r="AA33" s="54"/>
      <c r="AB33" s="54"/>
    </row>
    <row r="34" spans="1:28" x14ac:dyDescent="0.25">
      <c r="A34" s="496"/>
      <c r="B34" s="496"/>
      <c r="C34" s="415"/>
      <c r="D34" s="415"/>
      <c r="E34" s="415"/>
      <c r="F34" s="415"/>
      <c r="G34" s="415"/>
      <c r="H34" s="415"/>
      <c r="I34" s="415"/>
      <c r="J34" s="415"/>
      <c r="K34" s="415"/>
      <c r="L34" s="9">
        <f t="shared" si="9"/>
        <v>0</v>
      </c>
      <c r="M34" s="415"/>
      <c r="N34" s="415"/>
      <c r="O34" s="419"/>
      <c r="P34" s="416"/>
      <c r="Q34" s="291">
        <f t="shared" si="10"/>
        <v>0</v>
      </c>
      <c r="R34" s="560"/>
      <c r="S34" s="12">
        <f t="shared" si="11"/>
        <v>0</v>
      </c>
      <c r="T34" s="12">
        <f>HARVESTTBL3777[[#This Row],[Gross Units]]-(HARVESTTBL3777[[#This Row],[Shrink]]/60)-(HARVESTTBL3777[[#This Row],[Dockage2]]/60)</f>
        <v>0</v>
      </c>
      <c r="U34" s="7"/>
      <c r="V34" s="289"/>
      <c r="W34" s="289"/>
      <c r="X34" s="12">
        <f t="shared" si="12"/>
        <v>0</v>
      </c>
      <c r="Y34" s="12">
        <f t="shared" si="13"/>
        <v>0</v>
      </c>
      <c r="Z34" s="54"/>
      <c r="AA34" s="54"/>
      <c r="AB34" s="54"/>
    </row>
    <row r="35" spans="1:28" x14ac:dyDescent="0.25">
      <c r="A35" s="496"/>
      <c r="B35" s="496"/>
      <c r="C35" s="415"/>
      <c r="D35" s="415"/>
      <c r="E35" s="415"/>
      <c r="F35" s="415"/>
      <c r="G35" s="415"/>
      <c r="H35" s="415"/>
      <c r="I35" s="415"/>
      <c r="J35" s="415"/>
      <c r="K35" s="415"/>
      <c r="L35" s="9">
        <f t="shared" si="9"/>
        <v>0</v>
      </c>
      <c r="M35" s="415"/>
      <c r="N35" s="415"/>
      <c r="O35" s="419"/>
      <c r="P35" s="416"/>
      <c r="Q35" s="291">
        <f t="shared" si="10"/>
        <v>0</v>
      </c>
      <c r="R35" s="560"/>
      <c r="S35" s="12">
        <f t="shared" si="11"/>
        <v>0</v>
      </c>
      <c r="T35" s="12">
        <f>HARVESTTBL3777[[#This Row],[Gross Units]]-(HARVESTTBL3777[[#This Row],[Shrink]]/60)-(HARVESTTBL3777[[#This Row],[Dockage2]]/60)</f>
        <v>0</v>
      </c>
      <c r="U35" s="7"/>
      <c r="V35" s="289"/>
      <c r="W35" s="289"/>
      <c r="X35" s="12">
        <f t="shared" si="12"/>
        <v>0</v>
      </c>
      <c r="Y35" s="12">
        <f t="shared" si="13"/>
        <v>0</v>
      </c>
      <c r="Z35" s="54"/>
      <c r="AA35" s="54"/>
      <c r="AB35" s="54"/>
    </row>
    <row r="36" spans="1:28" x14ac:dyDescent="0.25">
      <c r="A36" s="496"/>
      <c r="B36" s="496"/>
      <c r="C36" s="415"/>
      <c r="D36" s="415"/>
      <c r="E36" s="415"/>
      <c r="F36" s="415"/>
      <c r="G36" s="415"/>
      <c r="H36" s="415"/>
      <c r="I36" s="415"/>
      <c r="J36" s="415"/>
      <c r="K36" s="415"/>
      <c r="L36" s="9">
        <f t="shared" si="9"/>
        <v>0</v>
      </c>
      <c r="M36" s="415"/>
      <c r="N36" s="415"/>
      <c r="O36" s="419"/>
      <c r="P36" s="416"/>
      <c r="Q36" s="291">
        <f t="shared" si="10"/>
        <v>0</v>
      </c>
      <c r="R36" s="560"/>
      <c r="S36" s="12">
        <f t="shared" si="11"/>
        <v>0</v>
      </c>
      <c r="T36" s="12">
        <f>HARVESTTBL3777[[#This Row],[Gross Units]]-(HARVESTTBL3777[[#This Row],[Shrink]]/60)-(HARVESTTBL3777[[#This Row],[Dockage2]]/60)</f>
        <v>0</v>
      </c>
      <c r="U36" s="7"/>
      <c r="V36" s="289"/>
      <c r="W36" s="289"/>
      <c r="X36" s="12">
        <f t="shared" si="12"/>
        <v>0</v>
      </c>
      <c r="Y36" s="12">
        <f t="shared" si="13"/>
        <v>0</v>
      </c>
      <c r="Z36" s="54"/>
      <c r="AA36" s="54"/>
      <c r="AB36" s="54"/>
    </row>
    <row r="37" spans="1:28" x14ac:dyDescent="0.25">
      <c r="A37" s="496"/>
      <c r="B37" s="496"/>
      <c r="C37" s="497"/>
      <c r="D37" s="415"/>
      <c r="E37" s="415"/>
      <c r="F37" s="415"/>
      <c r="G37" s="415"/>
      <c r="H37" s="415"/>
      <c r="I37" s="415"/>
      <c r="J37" s="415"/>
      <c r="K37" s="416"/>
      <c r="L37" s="9">
        <f t="shared" si="9"/>
        <v>0</v>
      </c>
      <c r="M37" s="418"/>
      <c r="N37" s="415"/>
      <c r="O37" s="419"/>
      <c r="P37" s="416"/>
      <c r="Q37" s="291">
        <f t="shared" si="10"/>
        <v>0</v>
      </c>
      <c r="R37" s="560"/>
      <c r="S37" s="12">
        <f t="shared" si="11"/>
        <v>0</v>
      </c>
      <c r="T37" s="12">
        <f>HARVESTTBL3777[[#This Row],[Gross Units]]-(HARVESTTBL3777[[#This Row],[Shrink]]/60)-(HARVESTTBL3777[[#This Row],[Dockage2]]/60)</f>
        <v>0</v>
      </c>
      <c r="U37" s="7"/>
      <c r="V37" s="289"/>
      <c r="W37" s="289"/>
      <c r="X37" s="12">
        <f t="shared" si="12"/>
        <v>0</v>
      </c>
      <c r="Y37" s="12">
        <f t="shared" si="13"/>
        <v>0</v>
      </c>
      <c r="Z37" s="54"/>
      <c r="AA37" s="54"/>
      <c r="AB37" s="54"/>
    </row>
    <row r="38" spans="1:28" x14ac:dyDescent="0.25">
      <c r="A38" s="496"/>
      <c r="B38" s="496"/>
      <c r="C38" s="497"/>
      <c r="D38" s="415"/>
      <c r="E38" s="415"/>
      <c r="F38" s="415"/>
      <c r="G38" s="415"/>
      <c r="H38" s="415"/>
      <c r="I38" s="415"/>
      <c r="J38" s="415"/>
      <c r="K38" s="416"/>
      <c r="L38" s="9">
        <f>J38-K38</f>
        <v>0</v>
      </c>
      <c r="M38" s="418"/>
      <c r="N38" s="415"/>
      <c r="O38" s="419"/>
      <c r="P38" s="416"/>
      <c r="Q38" s="291">
        <f>L38/60</f>
        <v>0</v>
      </c>
      <c r="R38" s="14"/>
      <c r="S38" s="12">
        <v>0</v>
      </c>
      <c r="T38" s="12">
        <f>HARVESTTBL3777[[#This Row],[Gross Units]]-(HARVESTTBL3777[[#This Row],[Shrink]]/60)-(HARVESTTBL3777[[#This Row],[Dockage2]]/60)</f>
        <v>0</v>
      </c>
      <c r="U38" s="7"/>
      <c r="V38" s="289"/>
      <c r="W38" s="289"/>
      <c r="X38" s="12">
        <f>T38*V38</f>
        <v>0</v>
      </c>
      <c r="Y38" s="12">
        <f>T38*W38</f>
        <v>0</v>
      </c>
      <c r="Z38" s="54"/>
      <c r="AA38" s="54"/>
      <c r="AB38" s="54"/>
    </row>
    <row r="39" spans="1:28" x14ac:dyDescent="0.25">
      <c r="A39" s="6"/>
      <c r="B39" s="6"/>
      <c r="C39" s="292"/>
      <c r="D39" s="7"/>
      <c r="E39" s="7"/>
      <c r="F39" s="7"/>
      <c r="G39" s="7"/>
      <c r="H39" s="7"/>
      <c r="I39" s="7"/>
      <c r="J39" s="7"/>
      <c r="K39" s="7"/>
      <c r="L39" s="9">
        <f>J39-K39</f>
        <v>0</v>
      </c>
      <c r="M39" s="7"/>
      <c r="N39" s="7"/>
      <c r="O39" s="11"/>
      <c r="P39" s="7"/>
      <c r="Q39" s="291">
        <f>L39/60</f>
        <v>0</v>
      </c>
      <c r="R39" s="14"/>
      <c r="S39" s="12">
        <f>Q39*O39</f>
        <v>0</v>
      </c>
      <c r="T39" s="12">
        <f>HARVESTTBL3777[[#This Row],[Gross Units]]-(HARVESTTBL3777[[#This Row],[Shrink]]/60)-(HARVESTTBL3777[[#This Row],[Dockage2]]/60)</f>
        <v>0</v>
      </c>
      <c r="U39" s="7"/>
      <c r="V39" s="289"/>
      <c r="W39" s="289"/>
      <c r="X39" s="12">
        <f>T39*V39</f>
        <v>0</v>
      </c>
      <c r="Y39" s="12">
        <f>T39*W39</f>
        <v>0</v>
      </c>
      <c r="Z39" s="54"/>
      <c r="AA39" s="54"/>
      <c r="AB39" s="54"/>
    </row>
    <row r="40" spans="1:28" x14ac:dyDescent="0.25">
      <c r="A40" s="6"/>
      <c r="B40" s="6"/>
      <c r="C40" s="292"/>
      <c r="D40" s="7"/>
      <c r="E40" s="7"/>
      <c r="F40" s="7"/>
      <c r="G40" s="7"/>
      <c r="H40" s="7"/>
      <c r="I40" s="7"/>
      <c r="J40" s="7"/>
      <c r="K40" s="8"/>
      <c r="L40" s="9">
        <f t="shared" si="0"/>
        <v>0</v>
      </c>
      <c r="M40" s="10"/>
      <c r="N40" s="7"/>
      <c r="O40" s="11"/>
      <c r="P40" s="8"/>
      <c r="Q40" s="291">
        <f t="shared" si="1"/>
        <v>0</v>
      </c>
      <c r="R40" s="13"/>
      <c r="S40" s="12">
        <f t="shared" ref="S40:S65" si="14">Q40*O40</f>
        <v>0</v>
      </c>
      <c r="T40" s="12">
        <v>995.21</v>
      </c>
      <c r="U40" s="10"/>
      <c r="V40" s="289"/>
      <c r="W40" s="290"/>
      <c r="X40" s="12">
        <f t="shared" si="2"/>
        <v>0</v>
      </c>
      <c r="Y40" s="12">
        <f t="shared" si="3"/>
        <v>0</v>
      </c>
      <c r="Z40" s="54"/>
      <c r="AA40" s="54"/>
      <c r="AB40" s="54"/>
    </row>
    <row r="41" spans="1:28" x14ac:dyDescent="0.25">
      <c r="A41" s="6"/>
      <c r="B41" s="6"/>
      <c r="C41" s="292"/>
      <c r="D41" s="7"/>
      <c r="E41" s="7"/>
      <c r="F41" s="7"/>
      <c r="G41" s="7"/>
      <c r="H41" s="7"/>
      <c r="I41" s="7"/>
      <c r="J41" s="7"/>
      <c r="K41" s="8"/>
      <c r="L41" s="9">
        <f t="shared" si="0"/>
        <v>0</v>
      </c>
      <c r="M41" s="10"/>
      <c r="N41" s="7"/>
      <c r="O41" s="11"/>
      <c r="P41" s="8"/>
      <c r="Q41" s="291">
        <f t="shared" si="1"/>
        <v>0</v>
      </c>
      <c r="R41" s="13"/>
      <c r="S41" s="12">
        <f t="shared" si="14"/>
        <v>0</v>
      </c>
      <c r="T41" s="12">
        <v>984.08</v>
      </c>
      <c r="U41" s="10"/>
      <c r="V41" s="289"/>
      <c r="W41" s="290"/>
      <c r="X41" s="12">
        <f t="shared" si="2"/>
        <v>0</v>
      </c>
      <c r="Y41" s="12">
        <f t="shared" si="3"/>
        <v>0</v>
      </c>
      <c r="Z41" s="54"/>
      <c r="AA41" s="54"/>
      <c r="AB41" s="54"/>
    </row>
    <row r="42" spans="1:28" x14ac:dyDescent="0.25">
      <c r="A42" s="6"/>
      <c r="B42" s="6"/>
      <c r="C42" s="292"/>
      <c r="D42" s="7"/>
      <c r="E42" s="7"/>
      <c r="F42" s="7"/>
      <c r="G42" s="7"/>
      <c r="H42" s="7"/>
      <c r="I42" s="7"/>
      <c r="J42" s="7"/>
      <c r="K42" s="8"/>
      <c r="L42" s="9">
        <f t="shared" si="0"/>
        <v>0</v>
      </c>
      <c r="M42" s="10"/>
      <c r="N42" s="7"/>
      <c r="O42" s="11"/>
      <c r="P42" s="8"/>
      <c r="Q42" s="291">
        <f t="shared" si="1"/>
        <v>0</v>
      </c>
      <c r="R42" s="13"/>
      <c r="S42" s="12">
        <f t="shared" si="14"/>
        <v>0</v>
      </c>
      <c r="T42" s="12">
        <v>1048.3499999999999</v>
      </c>
      <c r="U42" s="10"/>
      <c r="V42" s="289"/>
      <c r="W42" s="290"/>
      <c r="X42" s="12">
        <f t="shared" si="2"/>
        <v>0</v>
      </c>
      <c r="Y42" s="12">
        <f t="shared" si="3"/>
        <v>0</v>
      </c>
      <c r="Z42" s="54"/>
      <c r="AA42" s="54"/>
      <c r="AB42" s="54"/>
    </row>
    <row r="43" spans="1:28" x14ac:dyDescent="0.25">
      <c r="A43" s="6"/>
      <c r="B43" s="6"/>
      <c r="C43" s="292"/>
      <c r="D43" s="7"/>
      <c r="E43" s="7"/>
      <c r="F43" s="7"/>
      <c r="G43" s="7"/>
      <c r="H43" s="7"/>
      <c r="I43" s="7"/>
      <c r="J43" s="7"/>
      <c r="K43" s="7"/>
      <c r="L43" s="9">
        <f>J43-K43</f>
        <v>0</v>
      </c>
      <c r="M43" s="7"/>
      <c r="N43" s="7"/>
      <c r="O43" s="11"/>
      <c r="P43" s="7"/>
      <c r="Q43" s="291">
        <f>L43/60</f>
        <v>0</v>
      </c>
      <c r="R43" s="14"/>
      <c r="S43" s="12">
        <f>Q43*O43</f>
        <v>0</v>
      </c>
      <c r="T43" s="12">
        <v>249.27</v>
      </c>
      <c r="U43" s="7"/>
      <c r="V43" s="289"/>
      <c r="W43" s="289"/>
      <c r="X43" s="12">
        <f>T43*V43</f>
        <v>0</v>
      </c>
      <c r="Y43" s="12">
        <f>T43*W43</f>
        <v>0</v>
      </c>
      <c r="Z43" s="54"/>
      <c r="AA43" s="54"/>
      <c r="AB43" s="54"/>
    </row>
    <row r="44" spans="1:28" x14ac:dyDescent="0.25">
      <c r="A44" s="6"/>
      <c r="B44" s="6"/>
      <c r="C44" s="292"/>
      <c r="D44" s="7"/>
      <c r="E44" s="7"/>
      <c r="F44" s="7"/>
      <c r="G44" s="7"/>
      <c r="H44" s="7"/>
      <c r="I44" s="7"/>
      <c r="J44" s="7"/>
      <c r="K44" s="8"/>
      <c r="L44" s="9">
        <f t="shared" si="0"/>
        <v>0</v>
      </c>
      <c r="M44" s="10"/>
      <c r="N44" s="7"/>
      <c r="O44" s="11"/>
      <c r="P44" s="8"/>
      <c r="Q44" s="291">
        <f t="shared" si="1"/>
        <v>0</v>
      </c>
      <c r="R44" s="13"/>
      <c r="S44" s="12"/>
      <c r="T44" s="12">
        <v>747.83</v>
      </c>
      <c r="U44" s="10"/>
      <c r="V44" s="289"/>
      <c r="W44" s="8"/>
      <c r="X44" s="12">
        <f t="shared" si="2"/>
        <v>0</v>
      </c>
      <c r="Y44" s="12">
        <f t="shared" si="3"/>
        <v>0</v>
      </c>
      <c r="Z44" s="54"/>
      <c r="AA44" s="54"/>
      <c r="AB44" s="54"/>
    </row>
    <row r="45" spans="1:28" x14ac:dyDescent="0.25">
      <c r="A45" s="6"/>
      <c r="B45" s="6"/>
      <c r="C45" s="292"/>
      <c r="D45" s="7"/>
      <c r="E45" s="7"/>
      <c r="F45" s="7"/>
      <c r="G45" s="7"/>
      <c r="H45" s="7"/>
      <c r="I45" s="7"/>
      <c r="J45" s="7"/>
      <c r="K45" s="8"/>
      <c r="L45" s="9">
        <f t="shared" si="0"/>
        <v>0</v>
      </c>
      <c r="M45" s="10"/>
      <c r="N45" s="7"/>
      <c r="O45" s="11"/>
      <c r="P45" s="8"/>
      <c r="Q45" s="291">
        <f t="shared" si="1"/>
        <v>0</v>
      </c>
      <c r="R45" s="13"/>
      <c r="S45" s="12">
        <v>384</v>
      </c>
      <c r="T45" s="12">
        <f>HARVESTTBL3777[[#This Row],[Gross Units]]-(HARVESTTBL3777[[#This Row],[Shrink]]/60)-(HARVESTTBL3777[[#This Row],[Dockage2]]/60)</f>
        <v>-6.4</v>
      </c>
      <c r="U45" s="10"/>
      <c r="V45" s="289"/>
      <c r="W45" s="8"/>
      <c r="X45" s="12">
        <f t="shared" si="2"/>
        <v>0</v>
      </c>
      <c r="Y45" s="12">
        <f t="shared" si="3"/>
        <v>0</v>
      </c>
      <c r="Z45" s="54"/>
      <c r="AA45" s="54"/>
      <c r="AB45" s="54"/>
    </row>
    <row r="46" spans="1:28" x14ac:dyDescent="0.25">
      <c r="A46" s="6"/>
      <c r="B46" s="6"/>
      <c r="C46" s="292"/>
      <c r="D46" s="7"/>
      <c r="E46" s="7"/>
      <c r="F46" s="7"/>
      <c r="G46" s="7"/>
      <c r="H46" s="7"/>
      <c r="I46" s="7"/>
      <c r="J46" s="7"/>
      <c r="K46" s="8"/>
      <c r="L46" s="9">
        <f t="shared" si="0"/>
        <v>0</v>
      </c>
      <c r="M46" s="10"/>
      <c r="N46" s="7"/>
      <c r="O46" s="11"/>
      <c r="P46" s="8"/>
      <c r="Q46" s="291">
        <f t="shared" si="1"/>
        <v>0</v>
      </c>
      <c r="R46" s="13"/>
      <c r="S46" s="12">
        <v>278</v>
      </c>
      <c r="T46" s="12">
        <f>HARVESTTBL3777[[#This Row],[Gross Units]]-(HARVESTTBL3777[[#This Row],[Shrink]]/60)-(HARVESTTBL3777[[#This Row],[Dockage2]]/60)</f>
        <v>-4.6333333333333337</v>
      </c>
      <c r="U46" s="10"/>
      <c r="V46" s="289"/>
      <c r="W46" s="8"/>
      <c r="X46" s="12">
        <f t="shared" si="2"/>
        <v>0</v>
      </c>
      <c r="Y46" s="12">
        <f t="shared" si="3"/>
        <v>0</v>
      </c>
      <c r="Z46" s="54"/>
      <c r="AA46" s="54"/>
      <c r="AB46" s="54"/>
    </row>
    <row r="47" spans="1:28" x14ac:dyDescent="0.25">
      <c r="A47" s="6"/>
      <c r="B47" s="6"/>
      <c r="C47" s="292"/>
      <c r="D47" s="7"/>
      <c r="E47" s="7"/>
      <c r="F47" s="7"/>
      <c r="G47" s="7"/>
      <c r="H47" s="7"/>
      <c r="I47" s="7"/>
      <c r="J47" s="7"/>
      <c r="K47" s="8"/>
      <c r="L47" s="9">
        <f t="shared" si="0"/>
        <v>0</v>
      </c>
      <c r="M47" s="10"/>
      <c r="N47" s="7"/>
      <c r="O47" s="11"/>
      <c r="P47" s="8"/>
      <c r="Q47" s="291">
        <f t="shared" si="1"/>
        <v>0</v>
      </c>
      <c r="R47" s="13"/>
      <c r="S47" s="12">
        <v>583</v>
      </c>
      <c r="T47" s="12">
        <f>HARVESTTBL3777[[#This Row],[Gross Units]]-(HARVESTTBL3777[[#This Row],[Shrink]]/60)-(HARVESTTBL3777[[#This Row],[Dockage2]]/60)</f>
        <v>-9.7166666666666668</v>
      </c>
      <c r="U47" s="10"/>
      <c r="V47" s="289"/>
      <c r="W47" s="8"/>
      <c r="X47" s="12">
        <f t="shared" si="2"/>
        <v>0</v>
      </c>
      <c r="Y47" s="12">
        <f t="shared" si="3"/>
        <v>0</v>
      </c>
      <c r="Z47" s="54"/>
      <c r="AA47" s="54"/>
      <c r="AB47" s="54"/>
    </row>
    <row r="48" spans="1:28" x14ac:dyDescent="0.25">
      <c r="A48" s="6"/>
      <c r="B48" s="6"/>
      <c r="C48" s="292"/>
      <c r="D48" s="7"/>
      <c r="E48" s="7"/>
      <c r="F48" s="7"/>
      <c r="G48" s="7"/>
      <c r="H48" s="7"/>
      <c r="I48" s="7"/>
      <c r="J48" s="7"/>
      <c r="K48" s="8"/>
      <c r="L48" s="9">
        <f t="shared" si="0"/>
        <v>0</v>
      </c>
      <c r="M48" s="10"/>
      <c r="N48" s="7"/>
      <c r="O48" s="11"/>
      <c r="P48" s="8"/>
      <c r="Q48" s="291">
        <f t="shared" si="1"/>
        <v>0</v>
      </c>
      <c r="R48" s="13"/>
      <c r="S48" s="12">
        <v>469</v>
      </c>
      <c r="T48" s="12">
        <f>HARVESTTBL3777[[#This Row],[Gross Units]]-(HARVESTTBL3777[[#This Row],[Shrink]]/60)-(HARVESTTBL3777[[#This Row],[Dockage2]]/60)</f>
        <v>-7.8166666666666664</v>
      </c>
      <c r="U48" s="10"/>
      <c r="V48" s="289"/>
      <c r="W48" s="290"/>
      <c r="X48" s="12">
        <f t="shared" si="2"/>
        <v>0</v>
      </c>
      <c r="Y48" s="12">
        <f t="shared" si="3"/>
        <v>0</v>
      </c>
      <c r="Z48" s="54"/>
      <c r="AA48" s="54"/>
      <c r="AB48" s="54"/>
    </row>
    <row r="49" spans="1:28" x14ac:dyDescent="0.25">
      <c r="A49" s="6"/>
      <c r="B49" s="6"/>
      <c r="C49" s="292"/>
      <c r="D49" s="7"/>
      <c r="E49" s="7"/>
      <c r="F49" s="7"/>
      <c r="G49" s="7"/>
      <c r="H49" s="7"/>
      <c r="I49" s="7"/>
      <c r="J49" s="7"/>
      <c r="K49" s="8"/>
      <c r="L49" s="9">
        <f t="shared" si="0"/>
        <v>0</v>
      </c>
      <c r="M49" s="10"/>
      <c r="N49" s="7"/>
      <c r="O49" s="11"/>
      <c r="P49" s="8"/>
      <c r="Q49" s="291">
        <f t="shared" si="1"/>
        <v>0</v>
      </c>
      <c r="R49" s="13"/>
      <c r="S49" s="12">
        <v>129</v>
      </c>
      <c r="T49" s="12">
        <f>HARVESTTBL3777[[#This Row],[Gross Units]]-(HARVESTTBL3777[[#This Row],[Shrink]]/60)-(HARVESTTBL3777[[#This Row],[Dockage2]]/60)</f>
        <v>-2.15</v>
      </c>
      <c r="U49" s="10"/>
      <c r="V49" s="289"/>
      <c r="W49" s="290"/>
      <c r="X49" s="12">
        <f t="shared" si="2"/>
        <v>0</v>
      </c>
      <c r="Y49" s="12">
        <f t="shared" si="3"/>
        <v>0</v>
      </c>
      <c r="Z49" s="54"/>
      <c r="AA49" s="54"/>
      <c r="AB49" s="54"/>
    </row>
    <row r="50" spans="1:28" x14ac:dyDescent="0.25">
      <c r="A50" s="6"/>
      <c r="B50" s="6"/>
      <c r="C50" s="292"/>
      <c r="D50" s="7"/>
      <c r="E50" s="7"/>
      <c r="F50" s="7"/>
      <c r="G50" s="7"/>
      <c r="H50" s="7"/>
      <c r="I50" s="7"/>
      <c r="J50" s="7"/>
      <c r="K50" s="7"/>
      <c r="L50" s="9">
        <f t="shared" si="0"/>
        <v>0</v>
      </c>
      <c r="M50" s="7"/>
      <c r="N50" s="7"/>
      <c r="O50" s="11"/>
      <c r="P50" s="7"/>
      <c r="Q50" s="291">
        <f t="shared" si="1"/>
        <v>0</v>
      </c>
      <c r="R50" s="14"/>
      <c r="S50" s="12">
        <f t="shared" si="14"/>
        <v>0</v>
      </c>
      <c r="T50" s="12">
        <v>1034.23</v>
      </c>
      <c r="U50" s="10"/>
      <c r="V50" s="289"/>
      <c r="W50" s="290"/>
      <c r="X50" s="12">
        <f t="shared" si="2"/>
        <v>0</v>
      </c>
      <c r="Y50" s="12">
        <f t="shared" si="3"/>
        <v>0</v>
      </c>
      <c r="Z50" s="54"/>
      <c r="AA50" s="54"/>
      <c r="AB50" s="54"/>
    </row>
    <row r="51" spans="1:28" x14ac:dyDescent="0.25">
      <c r="A51" s="6"/>
      <c r="B51" s="6"/>
      <c r="C51" s="292"/>
      <c r="D51" s="7"/>
      <c r="E51" s="7"/>
      <c r="F51" s="7"/>
      <c r="G51" s="7"/>
      <c r="H51" s="7"/>
      <c r="I51" s="7"/>
      <c r="J51" s="7"/>
      <c r="K51" s="7"/>
      <c r="L51" s="9">
        <f t="shared" si="0"/>
        <v>0</v>
      </c>
      <c r="M51" s="7"/>
      <c r="N51" s="7"/>
      <c r="O51" s="11"/>
      <c r="P51" s="7"/>
      <c r="Q51" s="291">
        <f t="shared" si="1"/>
        <v>0</v>
      </c>
      <c r="R51" s="14"/>
      <c r="S51" s="12">
        <f t="shared" si="14"/>
        <v>0</v>
      </c>
      <c r="T51" s="12">
        <v>1040.2</v>
      </c>
      <c r="U51" s="10"/>
      <c r="V51" s="289"/>
      <c r="W51" s="290"/>
      <c r="X51" s="12">
        <f t="shared" si="2"/>
        <v>0</v>
      </c>
      <c r="Y51" s="12">
        <f t="shared" si="3"/>
        <v>0</v>
      </c>
      <c r="Z51" s="54"/>
      <c r="AA51" s="54"/>
      <c r="AB51" s="54"/>
    </row>
    <row r="52" spans="1:28" x14ac:dyDescent="0.25">
      <c r="A52" s="6"/>
      <c r="B52" s="6"/>
      <c r="C52" s="292"/>
      <c r="D52" s="7"/>
      <c r="E52" s="7"/>
      <c r="F52" s="7"/>
      <c r="G52" s="7"/>
      <c r="H52" s="7"/>
      <c r="I52" s="7"/>
      <c r="J52" s="7"/>
      <c r="K52" s="7"/>
      <c r="L52" s="9">
        <f t="shared" si="0"/>
        <v>0</v>
      </c>
      <c r="M52" s="7"/>
      <c r="N52" s="7"/>
      <c r="O52" s="11"/>
      <c r="P52" s="7"/>
      <c r="Q52" s="291">
        <f t="shared" si="1"/>
        <v>0</v>
      </c>
      <c r="R52" s="14"/>
      <c r="S52" s="12">
        <f t="shared" si="14"/>
        <v>0</v>
      </c>
      <c r="T52" s="12">
        <v>1064.7</v>
      </c>
      <c r="U52" s="10"/>
      <c r="V52" s="289"/>
      <c r="W52" s="290"/>
      <c r="X52" s="12">
        <f t="shared" si="2"/>
        <v>0</v>
      </c>
      <c r="Y52" s="12">
        <f t="shared" si="3"/>
        <v>0</v>
      </c>
      <c r="Z52" s="54"/>
      <c r="AA52" s="54"/>
      <c r="AB52" s="54"/>
    </row>
    <row r="53" spans="1:28" x14ac:dyDescent="0.25">
      <c r="A53" s="6"/>
      <c r="B53" s="6"/>
      <c r="C53" s="292"/>
      <c r="D53" s="7"/>
      <c r="E53" s="7"/>
      <c r="F53" s="7"/>
      <c r="G53" s="7"/>
      <c r="H53" s="7"/>
      <c r="I53" s="7"/>
      <c r="J53" s="7"/>
      <c r="K53" s="7"/>
      <c r="L53" s="9">
        <f t="shared" si="0"/>
        <v>0</v>
      </c>
      <c r="M53" s="7"/>
      <c r="N53" s="7"/>
      <c r="O53" s="11"/>
      <c r="P53" s="7"/>
      <c r="Q53" s="291">
        <f t="shared" si="1"/>
        <v>0</v>
      </c>
      <c r="R53" s="14"/>
      <c r="S53" s="12">
        <f t="shared" si="14"/>
        <v>0</v>
      </c>
      <c r="T53" s="12">
        <v>965.37</v>
      </c>
      <c r="U53" s="10"/>
      <c r="V53" s="289"/>
      <c r="W53" s="290"/>
      <c r="X53" s="12">
        <f t="shared" si="2"/>
        <v>0</v>
      </c>
      <c r="Y53" s="12">
        <f t="shared" si="3"/>
        <v>0</v>
      </c>
      <c r="Z53" s="54"/>
      <c r="AA53" s="54"/>
      <c r="AB53" s="54"/>
    </row>
    <row r="54" spans="1:28" x14ac:dyDescent="0.25">
      <c r="A54" s="6"/>
      <c r="B54" s="6"/>
      <c r="C54" s="292"/>
      <c r="D54" s="7"/>
      <c r="E54" s="7"/>
      <c r="F54" s="7"/>
      <c r="G54" s="7"/>
      <c r="H54" s="7"/>
      <c r="I54" s="7"/>
      <c r="J54" s="7"/>
      <c r="K54" s="7"/>
      <c r="L54" s="9">
        <f t="shared" si="0"/>
        <v>0</v>
      </c>
      <c r="M54" s="7"/>
      <c r="N54" s="7"/>
      <c r="O54" s="11"/>
      <c r="P54" s="7"/>
      <c r="Q54" s="291">
        <f t="shared" si="1"/>
        <v>0</v>
      </c>
      <c r="R54" s="14"/>
      <c r="S54" s="12">
        <f t="shared" si="14"/>
        <v>0</v>
      </c>
      <c r="T54" s="12">
        <v>1042.5999999999999</v>
      </c>
      <c r="U54" s="10"/>
      <c r="V54" s="289"/>
      <c r="W54" s="290"/>
      <c r="X54" s="12">
        <f t="shared" si="2"/>
        <v>0</v>
      </c>
      <c r="Y54" s="12">
        <f t="shared" si="3"/>
        <v>0</v>
      </c>
      <c r="Z54" s="54"/>
      <c r="AA54" s="54"/>
      <c r="AB54" s="54"/>
    </row>
    <row r="55" spans="1:28" x14ac:dyDescent="0.25">
      <c r="A55" s="6"/>
      <c r="B55" s="6"/>
      <c r="C55" s="292"/>
      <c r="D55" s="7"/>
      <c r="E55" s="7"/>
      <c r="F55" s="7"/>
      <c r="G55" s="7"/>
      <c r="H55" s="7"/>
      <c r="I55" s="7"/>
      <c r="J55" s="7"/>
      <c r="K55" s="7"/>
      <c r="L55" s="9">
        <f t="shared" si="0"/>
        <v>0</v>
      </c>
      <c r="M55" s="7"/>
      <c r="N55" s="7"/>
      <c r="O55" s="11"/>
      <c r="P55" s="7"/>
      <c r="Q55" s="291">
        <f t="shared" si="1"/>
        <v>0</v>
      </c>
      <c r="R55" s="14"/>
      <c r="S55" s="12">
        <f t="shared" si="14"/>
        <v>0</v>
      </c>
      <c r="T55" s="12">
        <v>962.35</v>
      </c>
      <c r="U55" s="10"/>
      <c r="V55" s="289"/>
      <c r="W55" s="290"/>
      <c r="X55" s="12">
        <f t="shared" si="2"/>
        <v>0</v>
      </c>
      <c r="Y55" s="12">
        <f t="shared" si="3"/>
        <v>0</v>
      </c>
      <c r="Z55" s="54"/>
      <c r="AA55" s="54"/>
      <c r="AB55" s="54"/>
    </row>
    <row r="56" spans="1:28" x14ac:dyDescent="0.25">
      <c r="A56" s="6"/>
      <c r="B56" s="6"/>
      <c r="C56" s="292"/>
      <c r="D56" s="7"/>
      <c r="E56" s="7"/>
      <c r="F56" s="7"/>
      <c r="G56" s="7"/>
      <c r="H56" s="7"/>
      <c r="I56" s="7"/>
      <c r="J56" s="7"/>
      <c r="K56" s="7"/>
      <c r="L56" s="9">
        <f t="shared" si="0"/>
        <v>0</v>
      </c>
      <c r="M56" s="7"/>
      <c r="N56" s="7"/>
      <c r="O56" s="11"/>
      <c r="P56" s="7"/>
      <c r="Q56" s="291">
        <f t="shared" si="1"/>
        <v>0</v>
      </c>
      <c r="R56" s="14"/>
      <c r="S56" s="12">
        <f t="shared" si="14"/>
        <v>0</v>
      </c>
      <c r="T56" s="12">
        <v>1037.22</v>
      </c>
      <c r="U56" s="10"/>
      <c r="V56" s="289"/>
      <c r="W56" s="290"/>
      <c r="X56" s="12">
        <f t="shared" si="2"/>
        <v>0</v>
      </c>
      <c r="Y56" s="12">
        <f t="shared" si="3"/>
        <v>0</v>
      </c>
      <c r="Z56" s="54"/>
      <c r="AA56" s="54"/>
      <c r="AB56" s="54"/>
    </row>
    <row r="57" spans="1:28" x14ac:dyDescent="0.25">
      <c r="A57" s="6"/>
      <c r="B57" s="6"/>
      <c r="C57" s="292"/>
      <c r="D57" s="7"/>
      <c r="E57" s="7"/>
      <c r="F57" s="7"/>
      <c r="G57" s="7"/>
      <c r="H57" s="7"/>
      <c r="I57" s="7"/>
      <c r="J57" s="7"/>
      <c r="K57" s="7"/>
      <c r="L57" s="9">
        <f>J57-K57</f>
        <v>0</v>
      </c>
      <c r="M57" s="7"/>
      <c r="N57" s="7"/>
      <c r="O57" s="11"/>
      <c r="P57" s="7"/>
      <c r="Q57" s="291">
        <f>L57/60</f>
        <v>0</v>
      </c>
      <c r="R57" s="14"/>
      <c r="S57" s="12">
        <f>Q57*O57</f>
        <v>0</v>
      </c>
      <c r="T57" s="12">
        <f>HARVESTTBL3777[[#This Row],[Gross Units]]-(HARVESTTBL3777[[#This Row],[Shrink]]/60)-(HARVESTTBL3777[[#This Row],[Dockage2]])</f>
        <v>0</v>
      </c>
      <c r="U57" s="7"/>
      <c r="V57" s="289"/>
      <c r="W57" s="289"/>
      <c r="X57" s="12">
        <f>T57*V57</f>
        <v>0</v>
      </c>
      <c r="Y57" s="12">
        <f>T57*W57</f>
        <v>0</v>
      </c>
      <c r="Z57" s="54"/>
      <c r="AA57" s="54"/>
      <c r="AB57" s="54"/>
    </row>
    <row r="58" spans="1:28" x14ac:dyDescent="0.25">
      <c r="A58" s="6"/>
      <c r="B58" s="6"/>
      <c r="C58" s="292"/>
      <c r="D58" s="7"/>
      <c r="E58" s="7"/>
      <c r="F58" s="7"/>
      <c r="G58" s="7"/>
      <c r="H58" s="7"/>
      <c r="I58" s="7"/>
      <c r="J58" s="7"/>
      <c r="K58" s="7"/>
      <c r="L58" s="9">
        <f t="shared" si="0"/>
        <v>0</v>
      </c>
      <c r="M58" s="7"/>
      <c r="N58" s="7"/>
      <c r="O58" s="11"/>
      <c r="P58" s="7"/>
      <c r="Q58" s="291">
        <f t="shared" si="1"/>
        <v>0</v>
      </c>
      <c r="R58" s="14"/>
      <c r="S58" s="12">
        <f t="shared" si="14"/>
        <v>0</v>
      </c>
      <c r="T58" s="12">
        <f>HARVESTTBL3777[[#This Row],[Gross Units]]-(HARVESTTBL3777[[#This Row],[Shrink]]/60)-(HARVESTTBL3777[[#This Row],[Dockage2]]/60)</f>
        <v>0</v>
      </c>
      <c r="U58" s="10"/>
      <c r="V58" s="7"/>
      <c r="W58" s="8"/>
      <c r="X58" s="12">
        <f t="shared" si="2"/>
        <v>0</v>
      </c>
      <c r="Y58" s="12">
        <f t="shared" si="3"/>
        <v>0</v>
      </c>
      <c r="Z58" s="54"/>
      <c r="AA58" s="54"/>
      <c r="AB58" s="54"/>
    </row>
    <row r="59" spans="1:28" x14ac:dyDescent="0.25">
      <c r="A59" s="6"/>
      <c r="B59" s="6"/>
      <c r="C59" s="292"/>
      <c r="D59" s="7"/>
      <c r="E59" s="7"/>
      <c r="F59" s="7"/>
      <c r="G59" s="7"/>
      <c r="H59" s="7"/>
      <c r="I59" s="7"/>
      <c r="J59" s="7"/>
      <c r="K59" s="7"/>
      <c r="L59" s="9">
        <f>J59-K59</f>
        <v>0</v>
      </c>
      <c r="M59" s="7"/>
      <c r="N59" s="7"/>
      <c r="O59" s="11"/>
      <c r="P59" s="7"/>
      <c r="Q59" s="291">
        <f>L59/60</f>
        <v>0</v>
      </c>
      <c r="R59" s="14"/>
      <c r="S59" s="12">
        <f>Q59*O59</f>
        <v>0</v>
      </c>
      <c r="T59" s="12">
        <f>HARVESTTBL3777[[#This Row],[Gross Units]]-(HARVESTTBL3777[[#This Row],[Shrink]]/60)-(HARVESTTBL3777[[#This Row],[Dockage2]]/60)</f>
        <v>0</v>
      </c>
      <c r="U59" s="7"/>
      <c r="V59" s="7"/>
      <c r="W59" s="7"/>
      <c r="X59" s="12">
        <f>T59*V59</f>
        <v>0</v>
      </c>
      <c r="Y59" s="12">
        <f>T59*W59</f>
        <v>0</v>
      </c>
      <c r="Z59" s="54"/>
      <c r="AA59" s="54"/>
      <c r="AB59" s="54"/>
    </row>
    <row r="60" spans="1:28" x14ac:dyDescent="0.25">
      <c r="A60" s="6"/>
      <c r="B60" s="6"/>
      <c r="C60" s="292"/>
      <c r="D60" s="7"/>
      <c r="E60" s="7"/>
      <c r="F60" s="7"/>
      <c r="G60" s="7"/>
      <c r="H60" s="7"/>
      <c r="I60" s="7"/>
      <c r="J60" s="7"/>
      <c r="K60" s="7"/>
      <c r="L60" s="22">
        <f t="shared" si="0"/>
        <v>0</v>
      </c>
      <c r="M60" s="7"/>
      <c r="N60" s="7"/>
      <c r="O60" s="11"/>
      <c r="P60" s="8"/>
      <c r="Q60" s="291">
        <f t="shared" si="1"/>
        <v>0</v>
      </c>
      <c r="R60" s="13"/>
      <c r="S60" s="12">
        <v>524</v>
      </c>
      <c r="T60" s="12">
        <f>HARVESTTBL3777[[#This Row],[Gross Units]]-(HARVESTTBL3777[[#This Row],[Shrink]]/60)-(HARVESTTBL3777[[#This Row],[Dockage2]]/60)</f>
        <v>-8.7333333333333325</v>
      </c>
      <c r="U60" s="10"/>
      <c r="V60" s="7"/>
      <c r="W60" s="8"/>
      <c r="X60" s="12">
        <f t="shared" si="2"/>
        <v>0</v>
      </c>
      <c r="Y60" s="12">
        <f t="shared" si="3"/>
        <v>0</v>
      </c>
      <c r="Z60" s="54"/>
      <c r="AA60" s="54"/>
      <c r="AB60" s="54"/>
    </row>
    <row r="61" spans="1:28" x14ac:dyDescent="0.25">
      <c r="A61" s="6"/>
      <c r="B61" s="6"/>
      <c r="C61" s="292"/>
      <c r="D61" s="7"/>
      <c r="E61" s="7"/>
      <c r="F61" s="7"/>
      <c r="G61" s="7"/>
      <c r="H61" s="7"/>
      <c r="I61" s="7"/>
      <c r="J61" s="7"/>
      <c r="K61" s="8"/>
      <c r="L61" s="9">
        <f t="shared" si="0"/>
        <v>0</v>
      </c>
      <c r="M61" s="10"/>
      <c r="N61" s="7"/>
      <c r="O61" s="11"/>
      <c r="P61" s="8"/>
      <c r="Q61" s="291">
        <f t="shared" si="1"/>
        <v>0</v>
      </c>
      <c r="R61" s="13"/>
      <c r="S61" s="12">
        <v>1044</v>
      </c>
      <c r="T61" s="12">
        <f>HARVESTTBL3777[[#This Row],[Gross Units]]-(HARVESTTBL3777[[#This Row],[Shrink]]/60)-(HARVESTTBL3777[[#This Row],[Dockage2]]/60)</f>
        <v>-17.399999999999999</v>
      </c>
      <c r="U61" s="10"/>
      <c r="V61" s="7"/>
      <c r="W61" s="8"/>
      <c r="X61" s="12">
        <f t="shared" si="2"/>
        <v>0</v>
      </c>
      <c r="Y61" s="12">
        <f t="shared" si="3"/>
        <v>0</v>
      </c>
      <c r="Z61" s="54"/>
      <c r="AA61" s="54"/>
      <c r="AB61" s="54"/>
    </row>
    <row r="62" spans="1:28" x14ac:dyDescent="0.25">
      <c r="A62" s="6"/>
      <c r="B62" s="6"/>
      <c r="C62" s="292"/>
      <c r="D62" s="7"/>
      <c r="E62" s="7"/>
      <c r="F62" s="7"/>
      <c r="G62" s="7"/>
      <c r="H62" s="7"/>
      <c r="I62" s="7"/>
      <c r="J62" s="7"/>
      <c r="K62" s="8"/>
      <c r="L62" s="9">
        <f t="shared" si="0"/>
        <v>0</v>
      </c>
      <c r="M62" s="10"/>
      <c r="N62" s="7"/>
      <c r="O62" s="11"/>
      <c r="P62" s="8"/>
      <c r="Q62" s="291">
        <f t="shared" si="1"/>
        <v>0</v>
      </c>
      <c r="R62" s="13"/>
      <c r="S62" s="12">
        <f t="shared" si="14"/>
        <v>0</v>
      </c>
      <c r="T62" s="12">
        <f>HARVESTTBL3777[[#This Row],[Gross Units]]-(HARVESTTBL3777[[#This Row],[Shrink]]/60)-(HARVESTTBL3777[[#This Row],[Dockage2]])</f>
        <v>0</v>
      </c>
      <c r="U62" s="10"/>
      <c r="V62" s="7"/>
      <c r="W62" s="8"/>
      <c r="X62" s="12">
        <f t="shared" si="2"/>
        <v>0</v>
      </c>
      <c r="Y62" s="12">
        <f t="shared" si="3"/>
        <v>0</v>
      </c>
      <c r="Z62" s="54"/>
      <c r="AA62" s="54"/>
      <c r="AB62" s="54"/>
    </row>
    <row r="63" spans="1:28" x14ac:dyDescent="0.25">
      <c r="A63" s="6"/>
      <c r="B63" s="6"/>
      <c r="C63" s="292"/>
      <c r="D63" s="7"/>
      <c r="E63" s="7"/>
      <c r="F63" s="7"/>
      <c r="G63" s="7"/>
      <c r="H63" s="7"/>
      <c r="I63" s="7"/>
      <c r="J63" s="7"/>
      <c r="K63" s="8"/>
      <c r="L63" s="9">
        <f t="shared" si="0"/>
        <v>0</v>
      </c>
      <c r="M63" s="10"/>
      <c r="N63" s="7"/>
      <c r="O63" s="11"/>
      <c r="P63" s="8"/>
      <c r="Q63" s="291">
        <f t="shared" si="1"/>
        <v>0</v>
      </c>
      <c r="R63" s="13"/>
      <c r="S63" s="12">
        <f t="shared" si="14"/>
        <v>0</v>
      </c>
      <c r="T63" s="12">
        <v>898.44</v>
      </c>
      <c r="U63" s="10"/>
      <c r="V63" s="7"/>
      <c r="W63" s="8"/>
      <c r="X63" s="12">
        <f t="shared" si="2"/>
        <v>0</v>
      </c>
      <c r="Y63" s="12">
        <f t="shared" si="3"/>
        <v>0</v>
      </c>
      <c r="Z63" s="54"/>
      <c r="AA63" s="54"/>
      <c r="AB63" s="54"/>
    </row>
    <row r="64" spans="1:28" x14ac:dyDescent="0.25">
      <c r="A64" s="6"/>
      <c r="B64" s="6"/>
      <c r="C64" s="292"/>
      <c r="D64" s="7"/>
      <c r="E64" s="7"/>
      <c r="F64" s="7"/>
      <c r="G64" s="7"/>
      <c r="H64" s="7"/>
      <c r="I64" s="7"/>
      <c r="J64" s="7"/>
      <c r="K64" s="8"/>
      <c r="L64" s="9">
        <f t="shared" si="0"/>
        <v>0</v>
      </c>
      <c r="M64" s="10"/>
      <c r="N64" s="7"/>
      <c r="O64" s="11"/>
      <c r="P64" s="8"/>
      <c r="Q64" s="291">
        <f t="shared" si="1"/>
        <v>0</v>
      </c>
      <c r="R64" s="13"/>
      <c r="S64" s="12">
        <f t="shared" si="14"/>
        <v>0</v>
      </c>
      <c r="T64" s="12">
        <v>746.03</v>
      </c>
      <c r="U64" s="10"/>
      <c r="V64" s="7"/>
      <c r="W64" s="8"/>
      <c r="X64" s="12">
        <f t="shared" si="2"/>
        <v>0</v>
      </c>
      <c r="Y64" s="12">
        <f t="shared" si="3"/>
        <v>0</v>
      </c>
      <c r="Z64" s="54"/>
      <c r="AA64" s="54"/>
      <c r="AB64" s="54"/>
    </row>
    <row r="65" spans="1:28" x14ac:dyDescent="0.25">
      <c r="A65" s="6"/>
      <c r="B65" s="6"/>
      <c r="C65" s="292"/>
      <c r="D65" s="7"/>
      <c r="E65" s="7"/>
      <c r="F65" s="7"/>
      <c r="G65" s="7"/>
      <c r="H65" s="7"/>
      <c r="I65" s="7"/>
      <c r="J65" s="7"/>
      <c r="K65" s="8"/>
      <c r="L65" s="9">
        <f t="shared" si="0"/>
        <v>0</v>
      </c>
      <c r="M65" s="10"/>
      <c r="N65" s="7"/>
      <c r="O65" s="11"/>
      <c r="P65" s="8"/>
      <c r="Q65" s="291">
        <f t="shared" si="1"/>
        <v>0</v>
      </c>
      <c r="R65" s="13"/>
      <c r="S65" s="12">
        <f t="shared" si="14"/>
        <v>0</v>
      </c>
      <c r="T65" s="12">
        <v>800.3</v>
      </c>
      <c r="U65" s="10"/>
      <c r="V65" s="7"/>
      <c r="W65" s="8"/>
      <c r="X65" s="12">
        <f t="shared" si="2"/>
        <v>0</v>
      </c>
      <c r="Y65" s="12">
        <f t="shared" si="3"/>
        <v>0</v>
      </c>
      <c r="Z65" s="54"/>
      <c r="AA65" s="54"/>
      <c r="AB65" s="54"/>
    </row>
    <row r="66" spans="1:28" x14ac:dyDescent="0.25">
      <c r="A66" s="15" t="s">
        <v>468</v>
      </c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>
        <f>SUBTOTAL(109,HARVESTTBL3777[Net])</f>
        <v>0</v>
      </c>
      <c r="M66" s="15"/>
      <c r="N66" s="15"/>
      <c r="O66" s="161" t="e">
        <f>SUBTOTAL(101,HARVESTTBL3777[Dock])</f>
        <v>#DIV/0!</v>
      </c>
      <c r="P66" s="15" t="e">
        <f>SUBTOTAL(101,HARVESTTBL3777[Prot])</f>
        <v>#DIV/0!</v>
      </c>
      <c r="Q66" s="16">
        <f>SUBTOTAL(109,HARVESTTBL3777[Gross Units])</f>
        <v>0</v>
      </c>
      <c r="R66" s="15"/>
      <c r="S66" s="15"/>
      <c r="T66" s="16">
        <f>SUBTOTAL(109,HARVESTTBL3777[Net Units])</f>
        <v>13568.57</v>
      </c>
      <c r="U66" s="15"/>
      <c r="V66" s="15"/>
      <c r="W66" s="15"/>
      <c r="X66" s="16">
        <f>SUBTOTAL(109,HARVESTTBL3777[MCC. ENT. BU])</f>
        <v>0</v>
      </c>
      <c r="Y66" s="16">
        <f>SUBTOTAL(109,HARVESTTBL3777[L.L. BU])</f>
        <v>0</v>
      </c>
      <c r="Z66" s="54"/>
      <c r="AA66" s="54"/>
      <c r="AB66" s="54"/>
    </row>
    <row r="67" spans="1:28" x14ac:dyDescent="0.25">
      <c r="A67" s="294"/>
      <c r="B67" s="294"/>
      <c r="C67" s="294"/>
      <c r="D67" s="294"/>
      <c r="E67" s="294"/>
      <c r="F67" s="294"/>
      <c r="G67" s="294"/>
      <c r="H67" s="294"/>
      <c r="I67" s="294"/>
      <c r="J67" s="294"/>
      <c r="K67" s="294"/>
      <c r="L67" s="294"/>
      <c r="M67" s="294"/>
      <c r="N67" s="294"/>
      <c r="O67" s="295"/>
      <c r="P67" s="294"/>
      <c r="Q67" s="296"/>
      <c r="R67" s="294"/>
      <c r="S67" s="294"/>
      <c r="T67" s="296"/>
      <c r="U67" s="294"/>
      <c r="V67" s="294"/>
      <c r="W67" s="294"/>
      <c r="X67" s="296"/>
      <c r="Y67" s="296"/>
      <c r="Z67" s="54"/>
      <c r="AA67" s="54"/>
      <c r="AB67" s="54"/>
    </row>
    <row r="68" spans="1:28" x14ac:dyDescent="0.25">
      <c r="A68" s="294"/>
      <c r="B68" s="294"/>
      <c r="C68" s="294"/>
      <c r="D68" s="294"/>
      <c r="E68" s="294"/>
      <c r="F68" s="294"/>
      <c r="G68" s="294"/>
      <c r="H68" s="294"/>
      <c r="I68" s="294"/>
      <c r="J68" s="294"/>
      <c r="K68" s="294"/>
      <c r="L68" s="294"/>
      <c r="M68" s="294"/>
      <c r="N68" s="294"/>
      <c r="O68" s="295"/>
      <c r="P68" s="294"/>
      <c r="Q68" s="296"/>
      <c r="R68" s="294"/>
      <c r="S68" s="294"/>
      <c r="T68" s="296"/>
      <c r="U68" s="294"/>
      <c r="V68" s="294"/>
      <c r="W68" s="294"/>
      <c r="X68" s="296"/>
      <c r="Y68" s="296"/>
      <c r="Z68" s="54"/>
      <c r="AA68" s="54"/>
      <c r="AB68" s="54"/>
    </row>
    <row r="69" spans="1:28" ht="15" customHeight="1" x14ac:dyDescent="0.25">
      <c r="A69" s="763" t="s">
        <v>817</v>
      </c>
      <c r="B69" s="763"/>
      <c r="C69" s="763"/>
      <c r="D69" s="763"/>
      <c r="E69" s="763"/>
      <c r="F69" s="763"/>
      <c r="G69" s="763"/>
      <c r="H69" s="763"/>
      <c r="I69" s="763"/>
      <c r="J69" s="763"/>
      <c r="K69" s="763"/>
      <c r="L69" s="763"/>
      <c r="M69" s="763"/>
      <c r="N69" s="763"/>
      <c r="O69" s="763"/>
      <c r="P69" s="763"/>
      <c r="Q69" s="763"/>
      <c r="R69" s="763"/>
      <c r="S69" s="763"/>
      <c r="T69" s="763"/>
      <c r="U69" s="54"/>
      <c r="V69" s="54"/>
      <c r="W69" s="54"/>
      <c r="X69" s="54"/>
      <c r="Y69" s="54"/>
      <c r="Z69" s="54"/>
      <c r="AA69" s="54"/>
      <c r="AB69" s="54"/>
    </row>
    <row r="70" spans="1:28" ht="15" customHeight="1" x14ac:dyDescent="0.25">
      <c r="A70" s="763"/>
      <c r="B70" s="763"/>
      <c r="C70" s="763"/>
      <c r="D70" s="763"/>
      <c r="E70" s="763"/>
      <c r="F70" s="763"/>
      <c r="G70" s="763"/>
      <c r="H70" s="763"/>
      <c r="I70" s="763"/>
      <c r="J70" s="763"/>
      <c r="K70" s="763"/>
      <c r="L70" s="763"/>
      <c r="M70" s="763"/>
      <c r="N70" s="763"/>
      <c r="O70" s="763"/>
      <c r="P70" s="763"/>
      <c r="Q70" s="763"/>
      <c r="R70" s="763"/>
      <c r="S70" s="763"/>
      <c r="T70" s="763"/>
      <c r="U70" s="54"/>
      <c r="V70" s="54"/>
      <c r="W70" s="54"/>
      <c r="X70" s="54"/>
      <c r="Y70" s="54"/>
      <c r="Z70" s="54"/>
      <c r="AA70" s="54"/>
      <c r="AB70" s="54"/>
    </row>
    <row r="71" spans="1:28" s="108" customFormat="1" x14ac:dyDescent="0.25">
      <c r="A71" s="110" t="s">
        <v>481</v>
      </c>
      <c r="B71" s="110" t="s">
        <v>482</v>
      </c>
      <c r="C71" s="110" t="s">
        <v>118</v>
      </c>
      <c r="D71" s="110" t="s">
        <v>119</v>
      </c>
      <c r="E71" s="110" t="s">
        <v>483</v>
      </c>
      <c r="F71" s="110" t="s">
        <v>484</v>
      </c>
      <c r="G71" s="110" t="s">
        <v>485</v>
      </c>
      <c r="H71" s="110" t="s">
        <v>477</v>
      </c>
      <c r="I71" s="110" t="s">
        <v>478</v>
      </c>
      <c r="J71" s="110" t="s">
        <v>486</v>
      </c>
      <c r="K71" s="110" t="s">
        <v>487</v>
      </c>
      <c r="L71" s="110" t="s">
        <v>488</v>
      </c>
      <c r="M71" s="110" t="s">
        <v>489</v>
      </c>
      <c r="N71" s="110" t="s">
        <v>490</v>
      </c>
      <c r="O71" s="110" t="s">
        <v>552</v>
      </c>
      <c r="P71" s="110" t="s">
        <v>553</v>
      </c>
      <c r="Q71" s="110" t="s">
        <v>554</v>
      </c>
      <c r="R71" s="110" t="s">
        <v>555</v>
      </c>
      <c r="S71" s="110" t="s">
        <v>556</v>
      </c>
      <c r="T71" s="110" t="s">
        <v>557</v>
      </c>
      <c r="U71" s="107"/>
      <c r="V71" s="107"/>
      <c r="W71" s="107"/>
      <c r="X71" s="107"/>
      <c r="Y71" s="107"/>
      <c r="Z71" s="107"/>
      <c r="AA71" s="107"/>
      <c r="AB71" s="107"/>
    </row>
    <row r="72" spans="1:28" s="96" customFormat="1" x14ac:dyDescent="0.25">
      <c r="A72" s="99" t="s">
        <v>74</v>
      </c>
      <c r="B72" s="99" t="s">
        <v>21</v>
      </c>
      <c r="C72" s="99" t="s">
        <v>146</v>
      </c>
      <c r="D72" s="99">
        <f>VLOOKUP(WheatYield4078[[#This Row],[Field]],FFTBL[[Field]:[COUNTY]],2,FALSE)</f>
        <v>157.1</v>
      </c>
      <c r="E72" s="99" t="str">
        <f>VLOOKUP(WheatYield4078[[#This Row],[Field]],FFTBL[[Field]:[COUNTY]],3,FALSE)</f>
        <v>SW4 14-7-48</v>
      </c>
      <c r="F72" s="99">
        <f>VLOOKUP(WheatYield4078[[#This Row],[Field]],FFTBL[[Field]:[COUNTY]],4,FALSE)</f>
        <v>3438</v>
      </c>
      <c r="G72" s="99">
        <f>VLOOKUP(WheatYield4078[[#This Row],[Field]],FFTBL[[Field]:[COUNTY]],5,FALSE)</f>
        <v>1750</v>
      </c>
      <c r="H72" s="100" t="s">
        <v>295</v>
      </c>
      <c r="I72" s="100" t="s">
        <v>308</v>
      </c>
      <c r="J72" s="100">
        <f>IFERROR(WheatYield4078[[#This Row],[Total Bushels]]/WheatYield4078[[#This Row],[Acres]],"")</f>
        <v>0</v>
      </c>
      <c r="K72" s="100">
        <f>SUMIF(HARVESTTBL3777[Field],WheatYield4078[[#This Row],[Field]],HARVESTTBL3777[Net])</f>
        <v>0</v>
      </c>
      <c r="L72" s="100">
        <f>SUMIF(HARVESTTBL3777[Field],WheatYield4078[[#This Row],[Field]],HARVESTTBL3777[Net Units])</f>
        <v>0</v>
      </c>
      <c r="M72" s="100">
        <f>WheatYield4078[[#This Row],[Total Bushels]]*0.65</f>
        <v>0</v>
      </c>
      <c r="N72" s="111">
        <f>WheatYield4078[[#This Row],[Total Bushels]]*0.35</f>
        <v>0</v>
      </c>
      <c r="O72" s="147">
        <f>SUMIF(EXPENSETBL4583[FIELD],WheatYield4078[[#This Row],[Field]],EXPENSETBL4583[TOTAL])</f>
        <v>0</v>
      </c>
      <c r="P72" s="147" t="e">
        <f>WheatYield4078[[#This Row],[TOTAL EXP]]/WheatYield4078[[#This Row],[Total Bushels]]</f>
        <v>#DIV/0!</v>
      </c>
      <c r="Q72" s="147">
        <f>SUMIF(EXPENSETBL4583[FIELD],WheatYield4078[[#This Row],[Field]],EXPENSETBL4583[$M.E.])</f>
        <v>0</v>
      </c>
      <c r="R72" s="147" t="e">
        <f>WheatYield4078[[#This Row],[TOTME]]/WheatYield4078[[#This Row],[Total MCCENT]]</f>
        <v>#DIV/0!</v>
      </c>
      <c r="S72" s="147">
        <f>SUMIF(EXPENSETBL4583[FIELD],WheatYield4078[[#This Row],[Field]],EXPENSETBL4583[$L.L.])</f>
        <v>0</v>
      </c>
      <c r="T72" s="147" t="e">
        <f>WheatYield4078[[#This Row],[TOT LL]]/WheatYield4078[[#This Row],[Total L.L.]]</f>
        <v>#DIV/0!</v>
      </c>
      <c r="U72" s="101"/>
      <c r="V72" s="101"/>
      <c r="W72" s="101"/>
      <c r="X72" s="101"/>
      <c r="Y72" s="101"/>
      <c r="Z72" s="101"/>
      <c r="AA72" s="101"/>
      <c r="AB72" s="101"/>
    </row>
    <row r="73" spans="1:28" s="96" customFormat="1" x14ac:dyDescent="0.25">
      <c r="A73" s="99" t="s">
        <v>74</v>
      </c>
      <c r="B73" s="99" t="s">
        <v>32</v>
      </c>
      <c r="C73" s="99" t="s">
        <v>237</v>
      </c>
      <c r="D73" s="99">
        <f>VLOOKUP(WheatYield4078[[#This Row],[Field]],FFTBL[[Field]:[COUNTY]],2,FALSE)</f>
        <v>158.16999999999999</v>
      </c>
      <c r="E73" s="99" t="str">
        <f>VLOOKUP(WheatYield4078[[#This Row],[Field]],FFTBL[[Field]:[COUNTY]],3,FALSE)</f>
        <v>NW4 12-8-47</v>
      </c>
      <c r="F73" s="99">
        <f>VLOOKUP(WheatYield4078[[#This Row],[Field]],FFTBL[[Field]:[COUNTY]],4,FALSE)</f>
        <v>2522</v>
      </c>
      <c r="G73" s="99">
        <f>VLOOKUP(WheatYield4078[[#This Row],[Field]],FFTBL[[Field]:[COUNTY]],5,FALSE)</f>
        <v>3251</v>
      </c>
      <c r="H73" s="100" t="s">
        <v>295</v>
      </c>
      <c r="I73" s="100" t="s">
        <v>818</v>
      </c>
      <c r="J73" s="100">
        <f>IFERROR(WheatYield4078[[#This Row],[Total Bushels]]/WheatYield4078[[#This Row],[Acres]],"")</f>
        <v>0</v>
      </c>
      <c r="K73" s="100">
        <f>SUMIF(HARVESTTBL3777[Field],WheatYield4078[[#This Row],[Field]],HARVESTTBL3777[Net])</f>
        <v>0</v>
      </c>
      <c r="L73" s="100">
        <f>SUMIF(HARVESTTBL3777[Field],WheatYield4078[[#This Row],[Field]],HARVESTTBL3777[Net Units])</f>
        <v>0</v>
      </c>
      <c r="M73" s="100">
        <f>WheatYield4078[[#This Row],[Total Bushels]]*0.65</f>
        <v>0</v>
      </c>
      <c r="N73" s="111">
        <f>WheatYield4078[[#This Row],[Total Bushels]]*0.35</f>
        <v>0</v>
      </c>
      <c r="O73" s="147">
        <f>SUMIF(EXPENSETBL4583[FIELD],WheatYield4078[[#This Row],[Field]],EXPENSETBL4583[TOTAL])</f>
        <v>0</v>
      </c>
      <c r="P73" s="147" t="e">
        <f>WheatYield4078[[#This Row],[TOTAL EXP]]/WheatYield4078[[#This Row],[Total Bushels]]</f>
        <v>#DIV/0!</v>
      </c>
      <c r="Q73" s="147">
        <f>SUMIF(EXPENSETBL4583[FIELD],WheatYield4078[[#This Row],[Field]],EXPENSETBL4583[$M.E.])</f>
        <v>0</v>
      </c>
      <c r="R73" s="147" t="e">
        <f>WheatYield4078[[#This Row],[TOTME]]/WheatYield4078[[#This Row],[Total MCCENT]]</f>
        <v>#DIV/0!</v>
      </c>
      <c r="S73" s="147">
        <f>SUMIF(EXPENSETBL4583[FIELD],WheatYield4078[[#This Row],[Field]],EXPENSETBL4583[$L.L.])</f>
        <v>0</v>
      </c>
      <c r="T73" s="147" t="e">
        <f>WheatYield4078[[#This Row],[TOT LL]]/WheatYield4078[[#This Row],[Total L.L.]]</f>
        <v>#DIV/0!</v>
      </c>
      <c r="U73" s="101"/>
      <c r="V73" s="101"/>
      <c r="W73" s="101"/>
      <c r="X73" s="101"/>
      <c r="Y73" s="101"/>
      <c r="Z73" s="101"/>
      <c r="AA73" s="101"/>
      <c r="AB73" s="101"/>
    </row>
    <row r="74" spans="1:28" s="96" customFormat="1" x14ac:dyDescent="0.25">
      <c r="A74" s="99" t="s">
        <v>74</v>
      </c>
      <c r="B74" s="99" t="s">
        <v>21</v>
      </c>
      <c r="C74" s="99" t="s">
        <v>127</v>
      </c>
      <c r="D74" s="99">
        <f>VLOOKUP(WheatYield4078[[#This Row],[Field]],FFTBL[[Field]:[COUNTY]],2,FALSE)</f>
        <v>158.5</v>
      </c>
      <c r="E74" s="99" t="str">
        <f>VLOOKUP(WheatYield4078[[#This Row],[Field]],FFTBL[[Field]:[COUNTY]],3,FALSE)</f>
        <v>NE4 2-6-47</v>
      </c>
      <c r="F74" s="99">
        <f>VLOOKUP(WheatYield4078[[#This Row],[Field]],FFTBL[[Field]:[COUNTY]],4,FALSE)</f>
        <v>3438</v>
      </c>
      <c r="G74" s="99">
        <f>VLOOKUP(WheatYield4078[[#This Row],[Field]],FFTBL[[Field]:[COUNTY]],5,FALSE)</f>
        <v>1768</v>
      </c>
      <c r="H74" s="100" t="s">
        <v>295</v>
      </c>
      <c r="I74" s="100" t="s">
        <v>308</v>
      </c>
      <c r="J74" s="100">
        <f>IFERROR(WheatYield4078[[#This Row],[Total Bushels]]/WheatYield4078[[#This Row],[Acres]],"")</f>
        <v>0</v>
      </c>
      <c r="K74" s="100">
        <f>SUMIF(HARVESTTBL3777[Field],WheatYield4078[[#This Row],[Field]],HARVESTTBL3777[Net])</f>
        <v>0</v>
      </c>
      <c r="L74" s="100">
        <f>SUMIF(HARVESTTBL3777[Field],WheatYield4078[[#This Row],[Field]],HARVESTTBL3777[Net Units])</f>
        <v>0</v>
      </c>
      <c r="M74" s="100">
        <f>WheatYield4078[[#This Row],[Total Bushels]]*0.65</f>
        <v>0</v>
      </c>
      <c r="N74" s="111">
        <f>WheatYield4078[[#This Row],[Total Bushels]]*0.35</f>
        <v>0</v>
      </c>
      <c r="O74" s="147">
        <f>SUMIF(EXPENSETBL4583[FIELD],WheatYield4078[[#This Row],[Field]],EXPENSETBL4583[TOTAL])</f>
        <v>0</v>
      </c>
      <c r="P74" s="147" t="e">
        <f>WheatYield4078[[#This Row],[TOTAL EXP]]/WheatYield4078[[#This Row],[Total Bushels]]</f>
        <v>#DIV/0!</v>
      </c>
      <c r="Q74" s="147">
        <f>SUMIF(EXPENSETBL4583[FIELD],WheatYield4078[[#This Row],[Field]],EXPENSETBL4583[$M.E.])</f>
        <v>0</v>
      </c>
      <c r="R74" s="147" t="e">
        <f>WheatYield4078[[#This Row],[TOTME]]/WheatYield4078[[#This Row],[Total MCCENT]]</f>
        <v>#DIV/0!</v>
      </c>
      <c r="S74" s="147">
        <f>SUMIF(EXPENSETBL4583[FIELD],WheatYield4078[[#This Row],[Field]],EXPENSETBL4583[$L.L.])</f>
        <v>0</v>
      </c>
      <c r="T74" s="147" t="e">
        <f>WheatYield4078[[#This Row],[TOT LL]]/WheatYield4078[[#This Row],[Total L.L.]]</f>
        <v>#DIV/0!</v>
      </c>
      <c r="U74" s="101"/>
      <c r="V74" s="101"/>
      <c r="W74" s="101"/>
      <c r="X74" s="101"/>
      <c r="Y74" s="101"/>
      <c r="Z74" s="101"/>
      <c r="AA74" s="101"/>
      <c r="AB74" s="101"/>
    </row>
    <row r="75" spans="1:28" s="96" customFormat="1" x14ac:dyDescent="0.25">
      <c r="A75" s="99" t="s">
        <v>74</v>
      </c>
      <c r="B75" s="99" t="s">
        <v>111</v>
      </c>
      <c r="C75" s="99" t="s">
        <v>150</v>
      </c>
      <c r="D75" s="99">
        <f>VLOOKUP(WheatYield4078[[#This Row],[Field]],FFTBL[[Field]:[COUNTY]],2,FALSE)</f>
        <v>149.76</v>
      </c>
      <c r="E75" s="99" t="str">
        <f>VLOOKUP(WheatYield4078[[#This Row],[Field]],FFTBL[[Field]:[COUNTY]],3,FALSE)</f>
        <v>SE4 14-7-48</v>
      </c>
      <c r="F75" s="99">
        <f>VLOOKUP(WheatYield4078[[#This Row],[Field]],FFTBL[[Field]:[COUNTY]],4,FALSE)</f>
        <v>3438</v>
      </c>
      <c r="G75" s="99">
        <f>VLOOKUP(WheatYield4078[[#This Row],[Field]],FFTBL[[Field]:[COUNTY]],5,FALSE)</f>
        <v>3460</v>
      </c>
      <c r="H75" s="100" t="s">
        <v>295</v>
      </c>
      <c r="I75" s="99" t="s">
        <v>819</v>
      </c>
      <c r="J75" s="99">
        <f>IFERROR(WheatYield4078[[#This Row],[Total Bushels]]/WheatYield4078[[#This Row],[Acres]],"")</f>
        <v>0</v>
      </c>
      <c r="K75" s="99">
        <f>SUMIF(HARVESTTBL3777[Field],WheatYield4078[[#This Row],[Field]],HARVESTTBL3777[Net])</f>
        <v>0</v>
      </c>
      <c r="L75" s="99">
        <f>SUMIF(HARVESTTBL3777[Field],WheatYield4078[[#This Row],[Field]],HARVESTTBL3777[Net Units])</f>
        <v>0</v>
      </c>
      <c r="M75" s="99">
        <f>WheatYield4078[[#This Row],[Total Bushels]]*0.65</f>
        <v>0</v>
      </c>
      <c r="N75" s="99">
        <f>WheatYield4078[[#This Row],[Total Bushels]]*0.35</f>
        <v>0</v>
      </c>
      <c r="O75" s="147">
        <f>SUMIF(EXPENSETBL4583[FIELD],WheatYield4078[[#This Row],[Field]],EXPENSETBL4583[TOTAL])</f>
        <v>-30589.454999999998</v>
      </c>
      <c r="P75" s="147" t="e">
        <f>WheatYield4078[[#This Row],[TOTAL EXP]]/WheatYield4078[[#This Row],[Total Bushels]]</f>
        <v>#DIV/0!</v>
      </c>
      <c r="Q75" s="147">
        <f>SUMIF(EXPENSETBL4583[FIELD],WheatYield4078[[#This Row],[Field]],EXPENSETBL4583[$M.E.])</f>
        <v>-26826.51036</v>
      </c>
      <c r="R75" s="147" t="e">
        <f>WheatYield4078[[#This Row],[TOTME]]/WheatYield4078[[#This Row],[Total MCCENT]]</f>
        <v>#DIV/0!</v>
      </c>
      <c r="S75" s="147">
        <f>SUMIF(EXPENSETBL4583[FIELD],WheatYield4078[[#This Row],[Field]],EXPENSETBL4583[$L.L.])</f>
        <v>-3762.9446399999997</v>
      </c>
      <c r="T75" s="147" t="e">
        <f>WheatYield4078[[#This Row],[TOT LL]]/WheatYield4078[[#This Row],[Total L.L.]]</f>
        <v>#DIV/0!</v>
      </c>
      <c r="U75" s="101"/>
      <c r="V75" s="101"/>
      <c r="W75" s="101"/>
      <c r="X75" s="101"/>
      <c r="Y75" s="101"/>
      <c r="Z75" s="101"/>
      <c r="AA75" s="101"/>
      <c r="AB75" s="101"/>
    </row>
    <row r="76" spans="1:28" s="96" customFormat="1" x14ac:dyDescent="0.25">
      <c r="A76" s="99" t="s">
        <v>74</v>
      </c>
      <c r="B76" s="99" t="s">
        <v>21</v>
      </c>
      <c r="C76" s="99" t="s">
        <v>24</v>
      </c>
      <c r="D76" s="99">
        <f>VLOOKUP(WheatYield4078[[#This Row],[Field]],FFTBL[[Field]:[COUNTY]],2,FALSE)</f>
        <v>153</v>
      </c>
      <c r="E76" s="99" t="str">
        <f>VLOOKUP(WheatYield4078[[#This Row],[Field]],FFTBL[[Field]:[COUNTY]],3,FALSE)</f>
        <v>SW4 31-7-47</v>
      </c>
      <c r="F76" s="99">
        <f>VLOOKUP(WheatYield4078[[#This Row],[Field]],FFTBL[[Field]:[COUNTY]],4,FALSE)</f>
        <v>4211</v>
      </c>
      <c r="G76" s="99">
        <f>VLOOKUP(WheatYield4078[[#This Row],[Field]],FFTBL[[Field]:[COUNTY]],5,FALSE)</f>
        <v>1749</v>
      </c>
      <c r="H76" s="100" t="s">
        <v>295</v>
      </c>
      <c r="I76" s="99" t="s">
        <v>819</v>
      </c>
      <c r="J76" s="99">
        <f>IFERROR(WheatYield4078[[#This Row],[Total Bushels]]/WheatYield4078[[#This Row],[Acres]],"")</f>
        <v>0</v>
      </c>
      <c r="K76" s="99">
        <f>SUMIF(HARVESTTBL3777[Field],WheatYield4078[[#This Row],[Field]],HARVESTTBL3777[Net])</f>
        <v>0</v>
      </c>
      <c r="L76" s="99">
        <f>SUMIF(HARVESTTBL3777[Field],WheatYield4078[[#This Row],[Field]],HARVESTTBL3777[Net Units])</f>
        <v>0</v>
      </c>
      <c r="M76" s="99">
        <f>WheatYield4078[[#This Row],[Total Bushels]]*0.65</f>
        <v>0</v>
      </c>
      <c r="N76" s="99">
        <f>WheatYield4078[[#This Row],[Total Bushels]]*0.35</f>
        <v>0</v>
      </c>
      <c r="O76" s="147">
        <f>SUMIF(EXPENSETBL4583[FIELD],WheatYield4078[[#This Row],[Field]],EXPENSETBL4583[TOTAL])</f>
        <v>-30915.359799999998</v>
      </c>
      <c r="P76" s="147" t="e">
        <f>WheatYield4078[[#This Row],[TOTAL EXP]]/WheatYield4078[[#This Row],[Total Bushels]]</f>
        <v>#DIV/0!</v>
      </c>
      <c r="Q76" s="147">
        <f>SUMIF(EXPENSETBL4583[FIELD],WheatYield4078[[#This Row],[Field]],EXPENSETBL4583[$M.E.])</f>
        <v>-27071.005300000001</v>
      </c>
      <c r="R76" s="147" t="e">
        <f>WheatYield4078[[#This Row],[TOTME]]/WheatYield4078[[#This Row],[Total MCCENT]]</f>
        <v>#DIV/0!</v>
      </c>
      <c r="S76" s="147">
        <f>SUMIF(EXPENSETBL4583[FIELD],WheatYield4078[[#This Row],[Field]],EXPENSETBL4583[$L.L.])</f>
        <v>-3844.3544999999999</v>
      </c>
      <c r="T76" s="147" t="e">
        <f>WheatYield4078[[#This Row],[TOT LL]]/WheatYield4078[[#This Row],[Total L.L.]]</f>
        <v>#DIV/0!</v>
      </c>
      <c r="U76" s="101"/>
      <c r="V76" s="101"/>
      <c r="W76" s="101"/>
      <c r="X76" s="101"/>
      <c r="Y76" s="101"/>
      <c r="Z76" s="101"/>
      <c r="AA76" s="101"/>
      <c r="AB76" s="101"/>
    </row>
    <row r="77" spans="1:28" s="96" customFormat="1" x14ac:dyDescent="0.25">
      <c r="A77" s="99" t="s">
        <v>74</v>
      </c>
      <c r="B77" s="99" t="s">
        <v>35</v>
      </c>
      <c r="C77" s="99" t="s">
        <v>37</v>
      </c>
      <c r="D77" s="99">
        <f>VLOOKUP(WheatYield4078[[#This Row],[Field]],FFTBL[[Field]:[COUNTY]],2,FALSE)</f>
        <v>157.69999999999999</v>
      </c>
      <c r="E77" s="99" t="str">
        <f>VLOOKUP(WheatYield4078[[#This Row],[Field]],FFTBL[[Field]:[COUNTY]],3,FALSE)</f>
        <v>NW 29-7-47</v>
      </c>
      <c r="F77" s="99">
        <f>VLOOKUP(WheatYield4078[[#This Row],[Field]],FFTBL[[Field]:[COUNTY]],4,FALSE)</f>
        <v>4667</v>
      </c>
      <c r="G77" s="99">
        <f>VLOOKUP(WheatYield4078[[#This Row],[Field]],FFTBL[[Field]:[COUNTY]],5,FALSE)</f>
        <v>5798</v>
      </c>
      <c r="H77" s="100" t="s">
        <v>295</v>
      </c>
      <c r="I77" s="100" t="s">
        <v>818</v>
      </c>
      <c r="J77" s="100">
        <f>IFERROR(WheatYield4078[[#This Row],[Total Bushels]]/WheatYield4078[[#This Row],[Acres]],"")</f>
        <v>0</v>
      </c>
      <c r="K77" s="100">
        <f>SUMIF(HARVESTTBL3777[Field],WheatYield4078[[#This Row],[Field]],HARVESTTBL3777[Net])</f>
        <v>0</v>
      </c>
      <c r="L77" s="100">
        <f>SUMIF(HARVESTTBL3777[Field],WheatYield4078[[#This Row],[Field]],HARVESTTBL3777[Net Units])</f>
        <v>0</v>
      </c>
      <c r="M77" s="100">
        <f>WheatYield4078[[#This Row],[Total Bushels]]*0.65</f>
        <v>0</v>
      </c>
      <c r="N77" s="111">
        <f>WheatYield4078[[#This Row],[Total Bushels]]*0.35</f>
        <v>0</v>
      </c>
      <c r="O77" s="147">
        <f>SUMIF(EXPENSETBL4583[FIELD],WheatYield4078[[#This Row],[Field]],EXPENSETBL4583[TOTAL])</f>
        <v>-31480.958599999998</v>
      </c>
      <c r="P77" s="147" t="e">
        <f>WheatYield4078[[#This Row],[TOTAL EXP]]/WheatYield4078[[#This Row],[Total Bushels]]</f>
        <v>#DIV/0!</v>
      </c>
      <c r="Q77" s="147">
        <f>SUMIF(EXPENSETBL4583[FIELD],WheatYield4078[[#This Row],[Field]],EXPENSETBL4583[$M.E.])</f>
        <v>-31480.958599999998</v>
      </c>
      <c r="R77" s="147" t="e">
        <f>WheatYield4078[[#This Row],[TOTME]]/WheatYield4078[[#This Row],[Total MCCENT]]</f>
        <v>#DIV/0!</v>
      </c>
      <c r="S77" s="147">
        <f>SUMIF(EXPENSETBL4583[FIELD],WheatYield4078[[#This Row],[Field]],EXPENSETBL4583[$L.L.])</f>
        <v>0</v>
      </c>
      <c r="T77" s="147" t="e">
        <f>WheatYield4078[[#This Row],[TOT LL]]/WheatYield4078[[#This Row],[Total L.L.]]</f>
        <v>#DIV/0!</v>
      </c>
      <c r="U77" s="101"/>
      <c r="V77" s="101"/>
      <c r="W77" s="101"/>
      <c r="X77" s="101"/>
      <c r="Y77" s="101"/>
      <c r="Z77" s="101"/>
      <c r="AA77" s="101"/>
      <c r="AB77" s="101"/>
    </row>
    <row r="78" spans="1:28" s="96" customFormat="1" ht="27" customHeight="1" x14ac:dyDescent="0.3">
      <c r="A78" s="103" t="s">
        <v>38</v>
      </c>
      <c r="B78" s="103"/>
      <c r="C78" s="103"/>
      <c r="D78" s="103">
        <f>SUBTOTAL(109,WheatYield4078[Acres])</f>
        <v>934.23</v>
      </c>
      <c r="E78" s="103"/>
      <c r="F78" s="103"/>
      <c r="G78" s="103"/>
      <c r="H78" s="104"/>
      <c r="I78" s="103"/>
      <c r="J78" s="103">
        <f>SUBTOTAL(101,WheatYield4078[Yield/ Acre])</f>
        <v>0</v>
      </c>
      <c r="K78" s="103"/>
      <c r="L78" s="103">
        <f>SUBTOTAL(109,WheatYield4078[Total Bushels])</f>
        <v>0</v>
      </c>
      <c r="M78" s="103">
        <f>SUBTOTAL(109,WheatYield4078[Total MCCENT])</f>
        <v>0</v>
      </c>
      <c r="N78" s="103">
        <f>SUBTOTAL(109,WheatYield4078[Total L.L.])</f>
        <v>0</v>
      </c>
      <c r="O78" s="151">
        <f>SUBTOTAL(109,WheatYield4078[TOTAL EXP])</f>
        <v>-92985.773399999991</v>
      </c>
      <c r="P78" s="151" t="e">
        <f>WheatYield4078[[#Totals],[TOTAL EXP]]/WheatYield4078[[#Totals],[Total Bushels]]</f>
        <v>#DIV/0!</v>
      </c>
      <c r="Q78" s="151">
        <f>SUBTOTAL(109,WheatYield4078[TOTME])</f>
        <v>-85378.474260000003</v>
      </c>
      <c r="R78" s="151" t="e">
        <f>WheatYield4078[[#Totals],[TOTME]]/WheatYield4078[[#Totals],[Total MCCENT]]</f>
        <v>#DIV/0!</v>
      </c>
      <c r="S78" s="151">
        <f>SUBTOTAL(109,WheatYield4078[TOT LL])</f>
        <v>-7607.2991399999992</v>
      </c>
      <c r="T78" s="152" t="e">
        <f>WheatYield4078[[#Totals],[TOT LL]]/WheatYield4078[[#Totals],[Total L.L.]]</f>
        <v>#DIV/0!</v>
      </c>
      <c r="U78" s="101"/>
      <c r="V78" s="101"/>
      <c r="W78" s="101"/>
      <c r="X78" s="101"/>
      <c r="Y78" s="101"/>
      <c r="Z78" s="101"/>
      <c r="AA78" s="101"/>
      <c r="AB78" s="101"/>
    </row>
    <row r="79" spans="1:28" ht="15" hidden="1" customHeight="1" x14ac:dyDescent="0.25">
      <c r="A79" s="756" t="s">
        <v>559</v>
      </c>
      <c r="B79" s="756"/>
      <c r="C79" s="756"/>
      <c r="D79" s="756"/>
      <c r="E79" s="756"/>
      <c r="F79" s="756"/>
      <c r="G79" s="756"/>
      <c r="H79" s="756"/>
      <c r="I79" s="54"/>
      <c r="J79" s="133" t="s">
        <v>560</v>
      </c>
      <c r="K79" s="132">
        <v>9.8000000000000007</v>
      </c>
      <c r="L79" s="132">
        <f>WheatYield4078[[#Totals],[Total Bushels]]*K79</f>
        <v>0</v>
      </c>
      <c r="M79" s="132">
        <f>WheatYield4078[[#Totals],[Total MCCENT]]*K79</f>
        <v>0</v>
      </c>
      <c r="N79" s="132">
        <f>WheatYield4078[[#Totals],[Total L.L.]]*K79</f>
        <v>0</v>
      </c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</row>
    <row r="80" spans="1:28" ht="15" hidden="1" customHeight="1" x14ac:dyDescent="0.25">
      <c r="A80" s="113" t="s">
        <v>561</v>
      </c>
      <c r="B80" s="113" t="s">
        <v>562</v>
      </c>
      <c r="C80" s="113" t="s">
        <v>563</v>
      </c>
      <c r="D80" s="113" t="s">
        <v>564</v>
      </c>
      <c r="E80" s="113" t="s">
        <v>565</v>
      </c>
      <c r="F80" s="113" t="s">
        <v>566</v>
      </c>
      <c r="G80" s="113" t="s">
        <v>567</v>
      </c>
      <c r="H80" s="113" t="s">
        <v>568</v>
      </c>
      <c r="I80" s="54"/>
      <c r="J80" s="133"/>
      <c r="K80" s="132">
        <v>13.36</v>
      </c>
      <c r="L80" s="132">
        <f>WheatYield4078[[#Totals],[Total Bushels]]*K80</f>
        <v>0</v>
      </c>
      <c r="M80" s="132">
        <f>WheatYield4078[[#Totals],[Total MCCENT]]*K80</f>
        <v>0</v>
      </c>
      <c r="N80" s="132">
        <f>WheatYield4078[[#Totals],[Total L.L.]]*K80</f>
        <v>0</v>
      </c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</row>
    <row r="81" spans="1:28" ht="15" hidden="1" customHeight="1" x14ac:dyDescent="0.25">
      <c r="A81" s="134">
        <v>17755</v>
      </c>
      <c r="B81" s="162">
        <v>10.44</v>
      </c>
      <c r="C81" s="135">
        <v>3000</v>
      </c>
      <c r="D81" s="136"/>
      <c r="E81" s="136"/>
      <c r="F81" s="163">
        <v>187.56</v>
      </c>
      <c r="G81" s="136">
        <f>(Table314280[[#This Row],[Price]]*Table314280[[#This Row],[Bushels]])-Table314280[[#This Row],[DISCOUNTS]]</f>
        <v>31132.44</v>
      </c>
      <c r="H81" s="135" t="s">
        <v>431</v>
      </c>
      <c r="I81" s="54"/>
      <c r="J81" s="133"/>
      <c r="K81" s="132">
        <v>5.65</v>
      </c>
      <c r="L81" s="132">
        <f>WheatYield4078[[#Totals],[Total Bushels]]*K81</f>
        <v>0</v>
      </c>
      <c r="M81" s="132">
        <f>WheatYield4078[[#Totals],[Total MCCENT]]*K81</f>
        <v>0</v>
      </c>
      <c r="N81" s="132">
        <f>WheatYield4078[[#Totals],[Total L.L.]]*K81</f>
        <v>0</v>
      </c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</row>
    <row r="82" spans="1:28" ht="15" hidden="1" customHeight="1" x14ac:dyDescent="0.25">
      <c r="A82" s="134"/>
      <c r="B82" s="162"/>
      <c r="C82" s="135"/>
      <c r="D82" s="136"/>
      <c r="E82" s="136"/>
      <c r="F82" s="163"/>
      <c r="G82" s="136">
        <f>(Table314280[[#This Row],[Price]]*Table314280[[#This Row],[Bushels]])-Table314280[[#This Row],[DISCOUNTS]]</f>
        <v>0</v>
      </c>
      <c r="H82" s="135"/>
      <c r="I82" s="54"/>
      <c r="J82" s="133"/>
      <c r="K82" s="132">
        <v>5.8</v>
      </c>
      <c r="L82" s="132">
        <f>WheatYield4078[[#Totals],[Total Bushels]]*K82</f>
        <v>0</v>
      </c>
      <c r="M82" s="132">
        <f>WheatYield4078[[#Totals],[Total MCCENT]]*K82</f>
        <v>0</v>
      </c>
      <c r="N82" s="132">
        <f>WheatYield4078[[#Totals],[Total L.L.]]*K82</f>
        <v>0</v>
      </c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</row>
    <row r="83" spans="1:28" ht="15" hidden="1" customHeight="1" x14ac:dyDescent="0.25">
      <c r="A83" s="134"/>
      <c r="B83" s="162"/>
      <c r="C83" s="135"/>
      <c r="D83" s="136"/>
      <c r="E83" s="136"/>
      <c r="F83" s="163"/>
      <c r="G83" s="136">
        <f>(Table314280[[#This Row],[Price]]*Table314280[[#This Row],[Bushels]])-Table314280[[#This Row],[DISCOUNTS]]</f>
        <v>0</v>
      </c>
      <c r="H83" s="135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</row>
    <row r="84" spans="1:28" ht="15" hidden="1" customHeight="1" x14ac:dyDescent="0.25">
      <c r="A84" s="134"/>
      <c r="B84" s="162"/>
      <c r="C84" s="135"/>
      <c r="D84" s="136"/>
      <c r="E84" s="136"/>
      <c r="F84" s="163"/>
      <c r="G84" s="136">
        <f>(Table314280[[#This Row],[Price]]*Table314280[[#This Row],[Bushels]])-Table314280[[#This Row],[DISCOUNTS]]</f>
        <v>0</v>
      </c>
      <c r="H84" s="135"/>
      <c r="I84" s="54"/>
      <c r="J84" s="137"/>
      <c r="K84" s="137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</row>
    <row r="85" spans="1:28" ht="15" hidden="1" customHeight="1" x14ac:dyDescent="0.3">
      <c r="A85" s="134"/>
      <c r="B85" s="162"/>
      <c r="C85" s="135"/>
      <c r="D85" s="136"/>
      <c r="E85" s="136"/>
      <c r="F85" s="163"/>
      <c r="G85" s="136">
        <f>(Table314280[[#This Row],[Price]]*Table314280[[#This Row],[Bushels]])-Table314280[[#This Row],[DISCOUNTS]]</f>
        <v>0</v>
      </c>
      <c r="H85" s="135"/>
      <c r="I85" s="54"/>
      <c r="J85" s="144" t="s">
        <v>574</v>
      </c>
      <c r="K85" s="138">
        <f>K79</f>
        <v>9.8000000000000007</v>
      </c>
      <c r="L85" s="132">
        <f>K80</f>
        <v>13.36</v>
      </c>
      <c r="M85" s="132">
        <f>K81</f>
        <v>5.65</v>
      </c>
      <c r="N85" s="132">
        <f>K82</f>
        <v>5.8</v>
      </c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</row>
    <row r="86" spans="1:28" ht="15" hidden="1" customHeight="1" x14ac:dyDescent="0.35">
      <c r="A86" s="134"/>
      <c r="B86" s="162"/>
      <c r="C86" s="135"/>
      <c r="D86" s="136"/>
      <c r="E86" s="136"/>
      <c r="F86" s="163"/>
      <c r="G86" s="136">
        <f>(Table314280[[#This Row],[Price]]*Table314280[[#This Row],[Bushels]])-Table314280[[#This Row],[DISCOUNTS]]</f>
        <v>0</v>
      </c>
      <c r="H86" s="135"/>
      <c r="I86" s="54"/>
      <c r="J86" s="139" t="s">
        <v>575</v>
      </c>
      <c r="K86" s="140">
        <f>L79/WheatYield4078[[#Totals],[Acres]]</f>
        <v>0</v>
      </c>
      <c r="L86" s="132">
        <f>L80/WheatYield4078[[#Totals],[Acres]]</f>
        <v>0</v>
      </c>
      <c r="M86" s="132">
        <f>L81/WheatYield4078[[#Totals],[Acres]]</f>
        <v>0</v>
      </c>
      <c r="N86" s="132">
        <f>L82/WheatYield4078[[#Totals],[Acres]]</f>
        <v>0</v>
      </c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</row>
    <row r="87" spans="1:28" ht="15" hidden="1" customHeight="1" x14ac:dyDescent="0.35">
      <c r="A87" s="134"/>
      <c r="B87" s="162"/>
      <c r="C87" s="135"/>
      <c r="D87" s="136"/>
      <c r="E87" s="136"/>
      <c r="F87" s="163"/>
      <c r="G87" s="136">
        <f>(Table314280[[#This Row],[Price]]*Table314280[[#This Row],[Bushels]])-Table314280[[#This Row],[DISCOUNTS]]</f>
        <v>0</v>
      </c>
      <c r="H87" s="135"/>
      <c r="I87" s="54"/>
      <c r="J87" s="139" t="s">
        <v>576</v>
      </c>
      <c r="K87" s="140">
        <f>M79/WheatYield4078[[#Totals],[Acres]]</f>
        <v>0</v>
      </c>
      <c r="L87" s="132">
        <f>M80/WheatYield4078[[#Totals],[Acres]]</f>
        <v>0</v>
      </c>
      <c r="M87" s="132">
        <f>M81/WheatYield4078[[#Totals],[Acres]]</f>
        <v>0</v>
      </c>
      <c r="N87" s="132">
        <f>M82/WheatYield4078[[#Totals],[Acres]]</f>
        <v>0</v>
      </c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</row>
    <row r="88" spans="1:28" ht="15" hidden="1" customHeight="1" x14ac:dyDescent="0.35">
      <c r="A88" s="134" t="s">
        <v>38</v>
      </c>
      <c r="B88" s="135" t="e">
        <f>SUBTOTAL(101,Table314280[Price])</f>
        <v>#DIV/0!</v>
      </c>
      <c r="C88" s="135">
        <f>SUBTOTAL(109,Table314280[Bushels])</f>
        <v>0</v>
      </c>
      <c r="D88" s="136">
        <f>SUBTOTAL(109,Table314280[INT $])</f>
        <v>0</v>
      </c>
      <c r="E88" s="136">
        <f>SUBTOTAL(109,Table314280[Bonus])</f>
        <v>0</v>
      </c>
      <c r="F88" s="136">
        <f>SUBTOTAL(109,Table314280[DISCOUNTS])</f>
        <v>0</v>
      </c>
      <c r="G88" s="136">
        <f>SUBTOTAL(109,Table314280[TOTAL $])</f>
        <v>0</v>
      </c>
      <c r="H88" s="134"/>
      <c r="I88" s="54"/>
      <c r="J88" s="139" t="s">
        <v>577</v>
      </c>
      <c r="K88" s="140">
        <f>N79/WheatYield4078[[#Totals],[Acres]]</f>
        <v>0</v>
      </c>
      <c r="L88" s="132">
        <f>N80/WheatYield4078[[#Totals],[Acres]]</f>
        <v>0</v>
      </c>
      <c r="M88" s="132">
        <f>N81/WheatYield4078[[#Totals],[Acres]]</f>
        <v>0</v>
      </c>
      <c r="N88" s="132">
        <f>N82/WheatYield4078[[#Totals],[Acres]]</f>
        <v>0</v>
      </c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</row>
    <row r="89" spans="1:28" ht="15" hidden="1" customHeight="1" x14ac:dyDescent="0.25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112"/>
      <c r="M89" s="112"/>
      <c r="N89" s="112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</row>
    <row r="90" spans="1:28" s="166" customFormat="1" ht="23.25" hidden="1" x14ac:dyDescent="0.25">
      <c r="A90" s="164" t="s">
        <v>283</v>
      </c>
      <c r="B90" s="164">
        <v>2020</v>
      </c>
      <c r="C90" s="164"/>
      <c r="D90" s="164"/>
      <c r="E90" s="164"/>
      <c r="F90" s="164"/>
      <c r="G90" s="164"/>
      <c r="H90" s="164"/>
      <c r="I90" s="164"/>
      <c r="J90" s="164"/>
      <c r="K90" s="164"/>
      <c r="L90" s="164"/>
      <c r="M90" s="164"/>
      <c r="N90" s="164"/>
      <c r="O90" s="164"/>
      <c r="P90" s="164"/>
      <c r="Q90" s="164"/>
      <c r="R90" s="164"/>
      <c r="S90" s="164"/>
      <c r="T90" s="164"/>
      <c r="U90" s="164"/>
      <c r="V90" s="164"/>
      <c r="W90" s="164"/>
      <c r="X90" s="164"/>
      <c r="Y90" s="164"/>
      <c r="Z90" s="164"/>
      <c r="AA90" s="165"/>
      <c r="AB90" s="165"/>
    </row>
    <row r="91" spans="1:28" s="166" customFormat="1" hidden="1" x14ac:dyDescent="0.25">
      <c r="A91" s="167" t="s">
        <v>440</v>
      </c>
      <c r="B91" s="167" t="s">
        <v>442</v>
      </c>
      <c r="C91" s="167" t="s">
        <v>476</v>
      </c>
      <c r="D91" s="167" t="s">
        <v>443</v>
      </c>
      <c r="E91" s="167" t="s">
        <v>578</v>
      </c>
      <c r="F91" s="167" t="s">
        <v>115</v>
      </c>
      <c r="G91" s="167" t="s">
        <v>116</v>
      </c>
      <c r="H91" s="167" t="s">
        <v>118</v>
      </c>
      <c r="I91" s="167" t="s">
        <v>477</v>
      </c>
      <c r="J91" s="167" t="s">
        <v>478</v>
      </c>
      <c r="K91" s="167" t="s">
        <v>579</v>
      </c>
      <c r="L91" s="167" t="s">
        <v>580</v>
      </c>
      <c r="M91" s="167" t="s">
        <v>581</v>
      </c>
      <c r="N91" s="167" t="s">
        <v>447</v>
      </c>
      <c r="O91" s="167" t="s">
        <v>448</v>
      </c>
      <c r="P91" s="167" t="s">
        <v>449</v>
      </c>
      <c r="Q91" s="167" t="s">
        <v>450</v>
      </c>
      <c r="R91" s="168" t="s">
        <v>451</v>
      </c>
      <c r="S91" s="167" t="s">
        <v>479</v>
      </c>
      <c r="T91" s="169" t="s">
        <v>453</v>
      </c>
      <c r="U91" s="167" t="s">
        <v>454</v>
      </c>
      <c r="V91" s="169" t="s">
        <v>455</v>
      </c>
      <c r="W91" s="169" t="s">
        <v>456</v>
      </c>
      <c r="X91" s="167" t="s">
        <v>457</v>
      </c>
      <c r="Y91" s="167" t="s">
        <v>20</v>
      </c>
      <c r="Z91" s="167" t="s">
        <v>458</v>
      </c>
      <c r="AA91" s="169" t="s">
        <v>459</v>
      </c>
      <c r="AB91" s="169" t="s">
        <v>460</v>
      </c>
    </row>
    <row r="92" spans="1:28" s="166" customFormat="1" hidden="1" x14ac:dyDescent="0.25">
      <c r="A92" s="222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4"/>
      <c r="N92" s="225"/>
      <c r="O92" s="220">
        <f>(corntbl85[[#This Row],[Gross/ -Truck Net]]-corntbl85[[#This Row],[Tare]])</f>
        <v>0</v>
      </c>
      <c r="P92" s="175"/>
      <c r="Q92" s="171"/>
      <c r="R92" s="176"/>
      <c r="S92" s="177"/>
      <c r="T92" s="178">
        <f>corntbl85[[#This Row],[Net]]/56</f>
        <v>0</v>
      </c>
      <c r="U92" s="179"/>
      <c r="V92" s="178"/>
      <c r="W92" s="178">
        <f>corntbl85[[#This Row],[Gross Units]]-corntbl85[[#This Row],[Shrink]]</f>
        <v>0</v>
      </c>
      <c r="X92" s="180"/>
      <c r="Y92" s="181"/>
      <c r="Z92" s="182"/>
      <c r="AA92" s="183">
        <f t="shared" ref="AA92:AA113" si="15">W92*Y92</f>
        <v>0</v>
      </c>
      <c r="AB92" s="183">
        <f t="shared" ref="AB92:AB113" si="16">W92*Z92</f>
        <v>0</v>
      </c>
    </row>
    <row r="93" spans="1:28" s="166" customFormat="1" hidden="1" x14ac:dyDescent="0.25">
      <c r="A93" s="222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4"/>
      <c r="N93" s="225"/>
      <c r="O93" s="220">
        <f>(corntbl85[[#This Row],[Gross/ -Truck Net]]-corntbl85[[#This Row],[Tare]])</f>
        <v>0</v>
      </c>
      <c r="P93" s="175"/>
      <c r="Q93" s="171"/>
      <c r="R93" s="176"/>
      <c r="S93" s="177"/>
      <c r="T93" s="178">
        <f>corntbl85[[#This Row],[Net]]/56</f>
        <v>0</v>
      </c>
      <c r="U93" s="179"/>
      <c r="V93" s="178"/>
      <c r="W93" s="178">
        <f>corntbl85[[#This Row],[Gross Units]]-corntbl85[[#This Row],[Shrink]]</f>
        <v>0</v>
      </c>
      <c r="X93" s="180"/>
      <c r="Y93" s="181"/>
      <c r="Z93" s="182"/>
      <c r="AA93" s="183">
        <f t="shared" si="15"/>
        <v>0</v>
      </c>
      <c r="AB93" s="183">
        <f t="shared" si="16"/>
        <v>0</v>
      </c>
    </row>
    <row r="94" spans="1:28" s="166" customFormat="1" hidden="1" x14ac:dyDescent="0.25">
      <c r="A94" s="222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4"/>
      <c r="N94" s="225"/>
      <c r="O94" s="220">
        <f>(corntbl85[[#This Row],[Gross/ -Truck Net]]-corntbl85[[#This Row],[Tare]])</f>
        <v>0</v>
      </c>
      <c r="P94" s="175"/>
      <c r="Q94" s="171"/>
      <c r="R94" s="176"/>
      <c r="S94" s="177"/>
      <c r="T94" s="178">
        <f>corntbl85[[#This Row],[Net]]/56</f>
        <v>0</v>
      </c>
      <c r="U94" s="179"/>
      <c r="V94" s="178"/>
      <c r="W94" s="178">
        <f>corntbl85[[#This Row],[Gross Units]]-corntbl85[[#This Row],[Shrink]]</f>
        <v>0</v>
      </c>
      <c r="X94" s="180"/>
      <c r="Y94" s="181"/>
      <c r="Z94" s="182"/>
      <c r="AA94" s="183">
        <f t="shared" si="15"/>
        <v>0</v>
      </c>
      <c r="AB94" s="183">
        <f t="shared" si="16"/>
        <v>0</v>
      </c>
    </row>
    <row r="95" spans="1:28" s="166" customFormat="1" hidden="1" x14ac:dyDescent="0.25">
      <c r="A95" s="222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4"/>
      <c r="N95" s="225"/>
      <c r="O95" s="220">
        <f>(corntbl85[[#This Row],[Gross/ -Truck Net]]-corntbl85[[#This Row],[Tare]])</f>
        <v>0</v>
      </c>
      <c r="P95" s="175"/>
      <c r="Q95" s="171"/>
      <c r="R95" s="176"/>
      <c r="S95" s="177"/>
      <c r="T95" s="178">
        <f>corntbl85[[#This Row],[Net]]/56</f>
        <v>0</v>
      </c>
      <c r="U95" s="179"/>
      <c r="V95" s="178"/>
      <c r="W95" s="178">
        <f>corntbl85[[#This Row],[Gross Units]]-corntbl85[[#This Row],[Shrink]]</f>
        <v>0</v>
      </c>
      <c r="X95" s="180"/>
      <c r="Y95" s="181"/>
      <c r="Z95" s="182"/>
      <c r="AA95" s="183">
        <f t="shared" si="15"/>
        <v>0</v>
      </c>
      <c r="AB95" s="183">
        <f t="shared" si="16"/>
        <v>0</v>
      </c>
    </row>
    <row r="96" spans="1:28" s="166" customFormat="1" hidden="1" x14ac:dyDescent="0.25">
      <c r="A96" s="222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4"/>
      <c r="N96" s="225"/>
      <c r="O96" s="220">
        <f>(corntbl85[[#This Row],[Gross/ -Truck Net]]-corntbl85[[#This Row],[Tare]])</f>
        <v>0</v>
      </c>
      <c r="P96" s="175"/>
      <c r="Q96" s="171"/>
      <c r="R96" s="176"/>
      <c r="S96" s="177"/>
      <c r="T96" s="178">
        <f>corntbl85[[#This Row],[Net]]/56</f>
        <v>0</v>
      </c>
      <c r="U96" s="179"/>
      <c r="V96" s="178"/>
      <c r="W96" s="178">
        <f>corntbl85[[#This Row],[Gross Units]]-corntbl85[[#This Row],[Shrink]]</f>
        <v>0</v>
      </c>
      <c r="X96" s="180"/>
      <c r="Y96" s="181"/>
      <c r="Z96" s="182"/>
      <c r="AA96" s="183">
        <f t="shared" si="15"/>
        <v>0</v>
      </c>
      <c r="AB96" s="183">
        <f t="shared" si="16"/>
        <v>0</v>
      </c>
    </row>
    <row r="97" spans="1:28" s="166" customFormat="1" hidden="1" x14ac:dyDescent="0.25">
      <c r="A97" s="222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4"/>
      <c r="N97" s="225"/>
      <c r="O97" s="220">
        <f>(corntbl85[[#This Row],[Gross/ -Truck Net]]-corntbl85[[#This Row],[Tare]])</f>
        <v>0</v>
      </c>
      <c r="P97" s="175"/>
      <c r="Q97" s="171"/>
      <c r="R97" s="176"/>
      <c r="S97" s="177"/>
      <c r="T97" s="178">
        <f>corntbl85[[#This Row],[Net]]/56</f>
        <v>0</v>
      </c>
      <c r="U97" s="179"/>
      <c r="V97" s="178"/>
      <c r="W97" s="178">
        <f>corntbl85[[#This Row],[Gross Units]]-corntbl85[[#This Row],[Shrink]]</f>
        <v>0</v>
      </c>
      <c r="X97" s="180"/>
      <c r="Y97" s="181"/>
      <c r="Z97" s="182"/>
      <c r="AA97" s="183">
        <f t="shared" si="15"/>
        <v>0</v>
      </c>
      <c r="AB97" s="183">
        <f t="shared" si="16"/>
        <v>0</v>
      </c>
    </row>
    <row r="98" spans="1:28" s="166" customFormat="1" hidden="1" x14ac:dyDescent="0.25">
      <c r="A98" s="222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4"/>
      <c r="N98" s="225"/>
      <c r="O98" s="220">
        <f>(corntbl85[[#This Row],[Gross/ -Truck Net]]-corntbl85[[#This Row],[Tare]])</f>
        <v>0</v>
      </c>
      <c r="P98" s="175"/>
      <c r="Q98" s="171"/>
      <c r="R98" s="176"/>
      <c r="S98" s="177"/>
      <c r="T98" s="178">
        <f>corntbl85[[#This Row],[Net]]/56</f>
        <v>0</v>
      </c>
      <c r="U98" s="179"/>
      <c r="V98" s="178"/>
      <c r="W98" s="178">
        <f>corntbl85[[#This Row],[Gross Units]]-corntbl85[[#This Row],[Shrink]]</f>
        <v>0</v>
      </c>
      <c r="X98" s="180"/>
      <c r="Y98" s="181"/>
      <c r="Z98" s="182"/>
      <c r="AA98" s="183">
        <f t="shared" si="15"/>
        <v>0</v>
      </c>
      <c r="AB98" s="183">
        <f t="shared" si="16"/>
        <v>0</v>
      </c>
    </row>
    <row r="99" spans="1:28" s="166" customFormat="1" hidden="1" x14ac:dyDescent="0.25">
      <c r="A99" s="222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4"/>
      <c r="N99" s="225"/>
      <c r="O99" s="220">
        <f>(corntbl85[[#This Row],[Gross/ -Truck Net]]-corntbl85[[#This Row],[Tare]])</f>
        <v>0</v>
      </c>
      <c r="P99" s="175"/>
      <c r="Q99" s="171"/>
      <c r="R99" s="176"/>
      <c r="S99" s="177"/>
      <c r="T99" s="178">
        <f>corntbl85[[#This Row],[Net]]/56</f>
        <v>0</v>
      </c>
      <c r="U99" s="179"/>
      <c r="V99" s="178"/>
      <c r="W99" s="178">
        <f>corntbl85[[#This Row],[Gross Units]]-corntbl85[[#This Row],[Shrink]]</f>
        <v>0</v>
      </c>
      <c r="X99" s="180"/>
      <c r="Y99" s="181"/>
      <c r="Z99" s="182"/>
      <c r="AA99" s="183">
        <f t="shared" si="15"/>
        <v>0</v>
      </c>
      <c r="AB99" s="183">
        <f t="shared" si="16"/>
        <v>0</v>
      </c>
    </row>
    <row r="100" spans="1:28" s="166" customFormat="1" hidden="1" x14ac:dyDescent="0.25">
      <c r="A100" s="222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4"/>
      <c r="N100" s="225"/>
      <c r="O100" s="220">
        <f>(corntbl85[[#This Row],[Gross/ -Truck Net]]-corntbl85[[#This Row],[Tare]])</f>
        <v>0</v>
      </c>
      <c r="P100" s="175"/>
      <c r="Q100" s="171"/>
      <c r="R100" s="176"/>
      <c r="S100" s="177"/>
      <c r="T100" s="178">
        <f>corntbl85[[#This Row],[Net]]/56</f>
        <v>0</v>
      </c>
      <c r="U100" s="179"/>
      <c r="V100" s="178"/>
      <c r="W100" s="178">
        <f>corntbl85[[#This Row],[Gross Units]]-corntbl85[[#This Row],[Shrink]]</f>
        <v>0</v>
      </c>
      <c r="X100" s="180"/>
      <c r="Y100" s="181"/>
      <c r="Z100" s="182"/>
      <c r="AA100" s="183">
        <f t="shared" si="15"/>
        <v>0</v>
      </c>
      <c r="AB100" s="183">
        <f t="shared" si="16"/>
        <v>0</v>
      </c>
    </row>
    <row r="101" spans="1:28" s="166" customFormat="1" hidden="1" x14ac:dyDescent="0.25">
      <c r="A101" s="222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4"/>
      <c r="N101" s="225"/>
      <c r="O101" s="220">
        <f>(corntbl85[[#This Row],[Gross/ -Truck Net]]-corntbl85[[#This Row],[Tare]])</f>
        <v>0</v>
      </c>
      <c r="P101" s="175"/>
      <c r="Q101" s="171"/>
      <c r="R101" s="176"/>
      <c r="S101" s="177"/>
      <c r="T101" s="178">
        <f>corntbl85[[#This Row],[Net]]/56</f>
        <v>0</v>
      </c>
      <c r="U101" s="179"/>
      <c r="V101" s="178"/>
      <c r="W101" s="178">
        <f>corntbl85[[#This Row],[Gross Units]]-corntbl85[[#This Row],[Shrink]]</f>
        <v>0</v>
      </c>
      <c r="X101" s="180"/>
      <c r="Y101" s="181"/>
      <c r="Z101" s="182"/>
      <c r="AA101" s="183">
        <f t="shared" si="15"/>
        <v>0</v>
      </c>
      <c r="AB101" s="183">
        <f t="shared" si="16"/>
        <v>0</v>
      </c>
    </row>
    <row r="102" spans="1:28" s="166" customFormat="1" hidden="1" x14ac:dyDescent="0.25">
      <c r="A102" s="222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4"/>
      <c r="N102" s="225"/>
      <c r="O102" s="220">
        <f>(corntbl85[[#This Row],[Gross/ -Truck Net]]-corntbl85[[#This Row],[Tare]])</f>
        <v>0</v>
      </c>
      <c r="P102" s="175"/>
      <c r="Q102" s="171"/>
      <c r="R102" s="176"/>
      <c r="S102" s="177"/>
      <c r="T102" s="178">
        <f>corntbl85[[#This Row],[Net]]/56</f>
        <v>0</v>
      </c>
      <c r="U102" s="179"/>
      <c r="V102" s="178"/>
      <c r="W102" s="178">
        <f>corntbl85[[#This Row],[Gross Units]]-corntbl85[[#This Row],[Shrink]]</f>
        <v>0</v>
      </c>
      <c r="X102" s="180"/>
      <c r="Y102" s="181"/>
      <c r="Z102" s="182"/>
      <c r="AA102" s="183">
        <f t="shared" si="15"/>
        <v>0</v>
      </c>
      <c r="AB102" s="183">
        <f t="shared" si="16"/>
        <v>0</v>
      </c>
    </row>
    <row r="103" spans="1:28" s="166" customFormat="1" hidden="1" x14ac:dyDescent="0.25">
      <c r="A103" s="222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4"/>
      <c r="N103" s="225"/>
      <c r="O103" s="220">
        <f>(corntbl85[[#This Row],[Gross/ -Truck Net]]-corntbl85[[#This Row],[Tare]])</f>
        <v>0</v>
      </c>
      <c r="P103" s="175"/>
      <c r="Q103" s="171"/>
      <c r="R103" s="176"/>
      <c r="S103" s="177"/>
      <c r="T103" s="178">
        <f>corntbl85[[#This Row],[Net]]/56</f>
        <v>0</v>
      </c>
      <c r="U103" s="179"/>
      <c r="V103" s="178"/>
      <c r="W103" s="178">
        <f>corntbl85[[#This Row],[Gross Units]]-corntbl85[[#This Row],[Shrink]]</f>
        <v>0</v>
      </c>
      <c r="X103" s="180"/>
      <c r="Y103" s="181"/>
      <c r="Z103" s="182"/>
      <c r="AA103" s="183">
        <f t="shared" si="15"/>
        <v>0</v>
      </c>
      <c r="AB103" s="183">
        <f t="shared" si="16"/>
        <v>0</v>
      </c>
    </row>
    <row r="104" spans="1:28" s="166" customFormat="1" hidden="1" x14ac:dyDescent="0.25">
      <c r="A104" s="222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4"/>
      <c r="N104" s="225"/>
      <c r="O104" s="220">
        <f>(corntbl85[[#This Row],[Gross/ -Truck Net]]-corntbl85[[#This Row],[Tare]])</f>
        <v>0</v>
      </c>
      <c r="P104" s="175"/>
      <c r="Q104" s="171"/>
      <c r="R104" s="176"/>
      <c r="S104" s="177"/>
      <c r="T104" s="178">
        <f>corntbl85[[#This Row],[Net]]/56</f>
        <v>0</v>
      </c>
      <c r="U104" s="179"/>
      <c r="V104" s="178"/>
      <c r="W104" s="178">
        <f>corntbl85[[#This Row],[Gross Units]]-corntbl85[[#This Row],[Shrink]]</f>
        <v>0</v>
      </c>
      <c r="X104" s="180"/>
      <c r="Y104" s="181"/>
      <c r="Z104" s="182"/>
      <c r="AA104" s="183">
        <f t="shared" si="15"/>
        <v>0</v>
      </c>
      <c r="AB104" s="183">
        <f t="shared" si="16"/>
        <v>0</v>
      </c>
    </row>
    <row r="105" spans="1:28" s="166" customFormat="1" hidden="1" x14ac:dyDescent="0.25">
      <c r="A105" s="222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4"/>
      <c r="N105" s="225"/>
      <c r="O105" s="220">
        <f>(corntbl85[[#This Row],[Gross/ -Truck Net]]-corntbl85[[#This Row],[Tare]])</f>
        <v>0</v>
      </c>
      <c r="P105" s="175"/>
      <c r="Q105" s="171"/>
      <c r="R105" s="176"/>
      <c r="S105" s="177"/>
      <c r="T105" s="178">
        <f>corntbl85[[#This Row],[Net]]/56</f>
        <v>0</v>
      </c>
      <c r="U105" s="179"/>
      <c r="V105" s="178"/>
      <c r="W105" s="178">
        <f>corntbl85[[#This Row],[Gross Units]]-corntbl85[[#This Row],[Shrink]]</f>
        <v>0</v>
      </c>
      <c r="X105" s="180"/>
      <c r="Y105" s="181"/>
      <c r="Z105" s="182"/>
      <c r="AA105" s="183">
        <f t="shared" si="15"/>
        <v>0</v>
      </c>
      <c r="AB105" s="183">
        <f t="shared" si="16"/>
        <v>0</v>
      </c>
    </row>
    <row r="106" spans="1:28" s="166" customFormat="1" hidden="1" x14ac:dyDescent="0.25">
      <c r="A106" s="238"/>
      <c r="B106" s="239"/>
      <c r="C106" s="239"/>
      <c r="D106" s="239"/>
      <c r="E106" s="239"/>
      <c r="F106" s="239"/>
      <c r="G106" s="239"/>
      <c r="H106" s="239"/>
      <c r="I106" s="239"/>
      <c r="J106" s="239"/>
      <c r="K106" s="239"/>
      <c r="L106" s="239"/>
      <c r="M106" s="240"/>
      <c r="N106" s="241"/>
      <c r="O106" s="220">
        <f>(corntbl85[[#This Row],[Gross/ -Truck Net]]-corntbl85[[#This Row],[Tare]])</f>
        <v>0</v>
      </c>
      <c r="P106" s="175"/>
      <c r="Q106" s="171"/>
      <c r="R106" s="176"/>
      <c r="S106" s="177"/>
      <c r="T106" s="178">
        <f>corntbl85[[#This Row],[Net]]/56</f>
        <v>0</v>
      </c>
      <c r="U106" s="179"/>
      <c r="V106" s="178"/>
      <c r="W106" s="178">
        <f>corntbl85[[#This Row],[Gross Units]]-corntbl85[[#This Row],[Shrink]]</f>
        <v>0</v>
      </c>
      <c r="X106" s="180"/>
      <c r="Y106" s="181"/>
      <c r="Z106" s="182"/>
      <c r="AA106" s="183">
        <f t="shared" si="15"/>
        <v>0</v>
      </c>
      <c r="AB106" s="183">
        <f t="shared" si="16"/>
        <v>0</v>
      </c>
    </row>
    <row r="107" spans="1:28" s="166" customFormat="1" hidden="1" x14ac:dyDescent="0.25">
      <c r="A107" s="234"/>
      <c r="B107" s="235"/>
      <c r="C107" s="235"/>
      <c r="D107" s="223"/>
      <c r="E107" s="223"/>
      <c r="F107" s="223"/>
      <c r="G107" s="223"/>
      <c r="H107" s="223"/>
      <c r="I107" s="223"/>
      <c r="J107" s="223"/>
      <c r="K107" s="235"/>
      <c r="L107" s="235"/>
      <c r="M107" s="236"/>
      <c r="N107" s="237"/>
      <c r="O107" s="233">
        <f>(corntbl85[[#This Row],[Gross/ -Truck Net]]-corntbl85[[#This Row],[Tare]])</f>
        <v>0</v>
      </c>
      <c r="P107" s="187"/>
      <c r="Q107" s="184"/>
      <c r="R107" s="188"/>
      <c r="S107" s="189"/>
      <c r="T107" s="190">
        <f>corntbl85[[#This Row],[Net]]/56</f>
        <v>0</v>
      </c>
      <c r="U107" s="191"/>
      <c r="V107" s="192"/>
      <c r="W107" s="183">
        <f>corntbl85[[#This Row],[Gross Units]]-corntbl85[[#This Row],[Shrink]]</f>
        <v>0</v>
      </c>
      <c r="X107" s="180"/>
      <c r="Y107" s="181"/>
      <c r="Z107" s="182"/>
      <c r="AA107" s="183">
        <f t="shared" si="15"/>
        <v>0</v>
      </c>
      <c r="AB107" s="183">
        <f t="shared" si="16"/>
        <v>0</v>
      </c>
    </row>
    <row r="108" spans="1:28" s="166" customFormat="1" hidden="1" x14ac:dyDescent="0.25">
      <c r="A108" s="234"/>
      <c r="B108" s="235"/>
      <c r="C108" s="235"/>
      <c r="D108" s="223"/>
      <c r="E108" s="223"/>
      <c r="F108" s="223"/>
      <c r="G108" s="223"/>
      <c r="H108" s="239"/>
      <c r="I108" s="223"/>
      <c r="J108" s="223"/>
      <c r="K108" s="235"/>
      <c r="L108" s="235"/>
      <c r="M108" s="236"/>
      <c r="N108" s="237"/>
      <c r="O108" s="233">
        <f>(corntbl85[[#This Row],[Gross/ -Truck Net]]-corntbl85[[#This Row],[Tare]])</f>
        <v>0</v>
      </c>
      <c r="P108" s="187"/>
      <c r="Q108" s="184"/>
      <c r="R108" s="188"/>
      <c r="S108" s="189"/>
      <c r="T108" s="190">
        <f>corntbl85[[#This Row],[Net]]/56</f>
        <v>0</v>
      </c>
      <c r="U108" s="191"/>
      <c r="V108" s="192"/>
      <c r="W108" s="183">
        <f>corntbl85[[#This Row],[Gross Units]]-corntbl85[[#This Row],[Shrink]]</f>
        <v>0</v>
      </c>
      <c r="X108" s="180"/>
      <c r="Y108" s="181"/>
      <c r="Z108" s="182"/>
      <c r="AA108" s="183">
        <f t="shared" si="15"/>
        <v>0</v>
      </c>
      <c r="AB108" s="183">
        <f t="shared" si="16"/>
        <v>0</v>
      </c>
    </row>
    <row r="109" spans="1:28" s="166" customFormat="1" hidden="1" x14ac:dyDescent="0.25">
      <c r="A109" s="242"/>
      <c r="B109" s="243"/>
      <c r="C109" s="243"/>
      <c r="D109" s="243"/>
      <c r="E109" s="243"/>
      <c r="F109" s="243"/>
      <c r="G109" s="243"/>
      <c r="H109" s="243"/>
      <c r="I109" s="243"/>
      <c r="J109" s="243"/>
      <c r="K109" s="243"/>
      <c r="L109" s="243"/>
      <c r="M109" s="244"/>
      <c r="N109" s="245"/>
      <c r="O109" s="220">
        <f>(corntbl85[[#This Row],[Gross/ -Truck Net]]-corntbl85[[#This Row],[Tare]])</f>
        <v>0</v>
      </c>
      <c r="P109" s="175"/>
      <c r="Q109" s="171"/>
      <c r="R109" s="176"/>
      <c r="S109" s="177"/>
      <c r="T109" s="178">
        <f>corntbl85[[#This Row],[Net]]/56</f>
        <v>0</v>
      </c>
      <c r="U109" s="179"/>
      <c r="V109" s="178"/>
      <c r="W109" s="178">
        <f>corntbl85[[#This Row],[Gross Units]]-corntbl85[[#This Row],[Shrink]]</f>
        <v>0</v>
      </c>
      <c r="X109" s="180"/>
      <c r="Y109" s="181"/>
      <c r="Z109" s="182"/>
      <c r="AA109" s="183">
        <f t="shared" si="15"/>
        <v>0</v>
      </c>
      <c r="AB109" s="183">
        <f t="shared" si="16"/>
        <v>0</v>
      </c>
    </row>
    <row r="110" spans="1:28" s="166" customFormat="1" hidden="1" x14ac:dyDescent="0.25">
      <c r="A110" s="222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4"/>
      <c r="N110" s="225"/>
      <c r="O110" s="220">
        <f>(corntbl85[[#This Row],[Gross/ -Truck Net]]-corntbl85[[#This Row],[Tare]])</f>
        <v>0</v>
      </c>
      <c r="P110" s="175"/>
      <c r="Q110" s="171"/>
      <c r="R110" s="176"/>
      <c r="S110" s="177"/>
      <c r="T110" s="178">
        <f>corntbl85[[#This Row],[Net]]/56</f>
        <v>0</v>
      </c>
      <c r="U110" s="179"/>
      <c r="V110" s="178"/>
      <c r="W110" s="178">
        <f>corntbl85[[#This Row],[Gross Units]]-corntbl85[[#This Row],[Shrink]]</f>
        <v>0</v>
      </c>
      <c r="X110" s="180"/>
      <c r="Y110" s="181"/>
      <c r="Z110" s="182"/>
      <c r="AA110" s="183">
        <f t="shared" si="15"/>
        <v>0</v>
      </c>
      <c r="AB110" s="183">
        <f t="shared" si="16"/>
        <v>0</v>
      </c>
    </row>
    <row r="111" spans="1:28" s="166" customFormat="1" hidden="1" x14ac:dyDescent="0.25">
      <c r="A111" s="222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4"/>
      <c r="N111" s="225"/>
      <c r="O111" s="220">
        <f>(corntbl85[[#This Row],[Gross/ -Truck Net]]-corntbl85[[#This Row],[Tare]])</f>
        <v>0</v>
      </c>
      <c r="P111" s="175"/>
      <c r="Q111" s="171"/>
      <c r="R111" s="176"/>
      <c r="S111" s="177"/>
      <c r="T111" s="178">
        <f>corntbl85[[#This Row],[Net]]/56</f>
        <v>0</v>
      </c>
      <c r="U111" s="179"/>
      <c r="V111" s="178"/>
      <c r="W111" s="178">
        <f>corntbl85[[#This Row],[Gross Units]]-corntbl85[[#This Row],[Shrink]]</f>
        <v>0</v>
      </c>
      <c r="X111" s="180"/>
      <c r="Y111" s="181"/>
      <c r="Z111" s="182"/>
      <c r="AA111" s="183">
        <f t="shared" si="15"/>
        <v>0</v>
      </c>
      <c r="AB111" s="183">
        <f t="shared" si="16"/>
        <v>0</v>
      </c>
    </row>
    <row r="112" spans="1:28" s="166" customFormat="1" hidden="1" x14ac:dyDescent="0.25">
      <c r="A112" s="222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4"/>
      <c r="N112" s="225"/>
      <c r="O112" s="220">
        <f>(corntbl85[[#This Row],[Gross/ -Truck Net]]-corntbl85[[#This Row],[Tare]])</f>
        <v>0</v>
      </c>
      <c r="P112" s="175"/>
      <c r="Q112" s="171"/>
      <c r="R112" s="176"/>
      <c r="S112" s="177"/>
      <c r="T112" s="178">
        <f>corntbl85[[#This Row],[Net]]/56</f>
        <v>0</v>
      </c>
      <c r="U112" s="179"/>
      <c r="V112" s="178"/>
      <c r="W112" s="178">
        <f>corntbl85[[#This Row],[Gross Units]]-corntbl85[[#This Row],[Shrink]]</f>
        <v>0</v>
      </c>
      <c r="X112" s="180"/>
      <c r="Y112" s="181"/>
      <c r="Z112" s="182"/>
      <c r="AA112" s="183">
        <f t="shared" si="15"/>
        <v>0</v>
      </c>
      <c r="AB112" s="183">
        <f t="shared" si="16"/>
        <v>0</v>
      </c>
    </row>
    <row r="113" spans="1:28" s="166" customFormat="1" hidden="1" x14ac:dyDescent="0.25">
      <c r="A113" s="222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4"/>
      <c r="N113" s="225"/>
      <c r="O113" s="220">
        <f>(corntbl85[[#This Row],[Gross/ -Truck Net]]-corntbl85[[#This Row],[Tare]])</f>
        <v>0</v>
      </c>
      <c r="P113" s="175"/>
      <c r="Q113" s="171"/>
      <c r="R113" s="176"/>
      <c r="S113" s="177"/>
      <c r="T113" s="178">
        <f>corntbl85[[#This Row],[Net]]/56</f>
        <v>0</v>
      </c>
      <c r="U113" s="179"/>
      <c r="V113" s="178"/>
      <c r="W113" s="178">
        <f>corntbl85[[#This Row],[Gross Units]]-corntbl85[[#This Row],[Shrink]]</f>
        <v>0</v>
      </c>
      <c r="X113" s="180"/>
      <c r="Y113" s="181"/>
      <c r="Z113" s="182"/>
      <c r="AA113" s="183">
        <f t="shared" si="15"/>
        <v>0</v>
      </c>
      <c r="AB113" s="183">
        <f t="shared" si="16"/>
        <v>0</v>
      </c>
    </row>
    <row r="114" spans="1:28" s="166" customFormat="1" hidden="1" x14ac:dyDescent="0.25">
      <c r="A114" s="221"/>
      <c r="B114" s="171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2"/>
      <c r="N114" s="173"/>
      <c r="O114" s="174">
        <f>(corntbl85[[#This Row],[Gross/ -Truck Net]]-corntbl85[[#This Row],[Tare]])</f>
        <v>0</v>
      </c>
      <c r="P114" s="175"/>
      <c r="Q114" s="171"/>
      <c r="R114" s="176"/>
      <c r="S114" s="177"/>
      <c r="T114" s="178">
        <f>corntbl85[[#This Row],[Net]]/56</f>
        <v>0</v>
      </c>
      <c r="U114" s="179"/>
      <c r="V114" s="178"/>
      <c r="W114" s="178">
        <f>corntbl85[[#This Row],[Gross Units]]-corntbl85[[#This Row],[Shrink]]</f>
        <v>0</v>
      </c>
      <c r="X114" s="180"/>
      <c r="Y114" s="181"/>
      <c r="Z114" s="182"/>
      <c r="AA114" s="183"/>
      <c r="AB114" s="183"/>
    </row>
    <row r="115" spans="1:28" s="166" customFormat="1" hidden="1" x14ac:dyDescent="0.25">
      <c r="A115" s="170"/>
      <c r="B115" s="171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2"/>
      <c r="N115" s="173"/>
      <c r="O115" s="174">
        <f>(corntbl85[[#This Row],[Gross/ -Truck Net]]-corntbl85[[#This Row],[Tare]])</f>
        <v>0</v>
      </c>
      <c r="P115" s="175"/>
      <c r="Q115" s="171"/>
      <c r="R115" s="176"/>
      <c r="S115" s="177"/>
      <c r="T115" s="178">
        <f>corntbl85[[#This Row],[Net]]/56</f>
        <v>0</v>
      </c>
      <c r="U115" s="179"/>
      <c r="V115" s="178"/>
      <c r="W115" s="178">
        <f>corntbl85[[#This Row],[Gross Units]]-corntbl85[[#This Row],[Shrink]]</f>
        <v>0</v>
      </c>
      <c r="X115" s="180"/>
      <c r="Y115" s="181"/>
      <c r="Z115" s="182"/>
      <c r="AA115" s="183"/>
      <c r="AB115" s="183"/>
    </row>
    <row r="116" spans="1:28" s="166" customFormat="1" hidden="1" x14ac:dyDescent="0.25">
      <c r="A116" s="170"/>
      <c r="B116" s="171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2"/>
      <c r="N116" s="173"/>
      <c r="O116" s="174">
        <f>(corntbl85[[#This Row],[Gross/ -Truck Net]]-corntbl85[[#This Row],[Tare]])</f>
        <v>0</v>
      </c>
      <c r="P116" s="175"/>
      <c r="Q116" s="171"/>
      <c r="R116" s="176"/>
      <c r="S116" s="177"/>
      <c r="T116" s="178">
        <f>corntbl85[[#This Row],[Net]]/56</f>
        <v>0</v>
      </c>
      <c r="U116" s="179"/>
      <c r="V116" s="178"/>
      <c r="W116" s="178">
        <f>corntbl85[[#This Row],[Gross Units]]-corntbl85[[#This Row],[Shrink]]</f>
        <v>0</v>
      </c>
      <c r="X116" s="180"/>
      <c r="Y116" s="181"/>
      <c r="Z116" s="182"/>
      <c r="AA116" s="183"/>
      <c r="AB116" s="183"/>
    </row>
    <row r="117" spans="1:28" s="166" customFormat="1" hidden="1" x14ac:dyDescent="0.25">
      <c r="A117" s="170"/>
      <c r="B117" s="171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2"/>
      <c r="N117" s="173"/>
      <c r="O117" s="174">
        <f>(corntbl85[[#This Row],[Gross/ -Truck Net]]-corntbl85[[#This Row],[Tare]])</f>
        <v>0</v>
      </c>
      <c r="P117" s="175"/>
      <c r="Q117" s="171"/>
      <c r="R117" s="176"/>
      <c r="S117" s="177"/>
      <c r="T117" s="178">
        <f>corntbl85[[#This Row],[Net]]/56</f>
        <v>0</v>
      </c>
      <c r="U117" s="179"/>
      <c r="V117" s="178"/>
      <c r="W117" s="178">
        <f>corntbl85[[#This Row],[Gross Units]]-corntbl85[[#This Row],[Shrink]]</f>
        <v>0</v>
      </c>
      <c r="X117" s="180"/>
      <c r="Y117" s="181"/>
      <c r="Z117" s="182"/>
      <c r="AA117" s="183"/>
      <c r="AB117" s="183"/>
    </row>
    <row r="118" spans="1:28" s="166" customFormat="1" hidden="1" x14ac:dyDescent="0.25">
      <c r="A118" s="170"/>
      <c r="B118" s="171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2"/>
      <c r="N118" s="173"/>
      <c r="O118" s="174">
        <f>(corntbl85[[#This Row],[Gross/ -Truck Net]]-corntbl85[[#This Row],[Tare]])</f>
        <v>0</v>
      </c>
      <c r="P118" s="175"/>
      <c r="Q118" s="171"/>
      <c r="R118" s="176"/>
      <c r="S118" s="177"/>
      <c r="T118" s="178">
        <f>corntbl85[[#This Row],[Net]]/56</f>
        <v>0</v>
      </c>
      <c r="U118" s="179"/>
      <c r="V118" s="178"/>
      <c r="W118" s="178">
        <f>corntbl85[[#This Row],[Gross Units]]-corntbl85[[#This Row],[Shrink]]</f>
        <v>0</v>
      </c>
      <c r="X118" s="180"/>
      <c r="Y118" s="181"/>
      <c r="Z118" s="182"/>
      <c r="AA118" s="183"/>
      <c r="AB118" s="183"/>
    </row>
    <row r="119" spans="1:28" s="166" customFormat="1" hidden="1" x14ac:dyDescent="0.25">
      <c r="A119" s="170"/>
      <c r="B119" s="171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2"/>
      <c r="N119" s="173"/>
      <c r="O119" s="174">
        <f>(corntbl85[[#This Row],[Gross/ -Truck Net]]-corntbl85[[#This Row],[Tare]])</f>
        <v>0</v>
      </c>
      <c r="P119" s="175"/>
      <c r="Q119" s="171"/>
      <c r="R119" s="176"/>
      <c r="S119" s="177"/>
      <c r="T119" s="178">
        <f>corntbl85[[#This Row],[Net]]/56</f>
        <v>0</v>
      </c>
      <c r="U119" s="179"/>
      <c r="V119" s="178"/>
      <c r="W119" s="178">
        <f>corntbl85[[#This Row],[Gross Units]]-corntbl85[[#This Row],[Shrink]]</f>
        <v>0</v>
      </c>
      <c r="X119" s="180"/>
      <c r="Y119" s="181"/>
      <c r="Z119" s="182"/>
      <c r="AA119" s="183"/>
      <c r="AB119" s="183"/>
    </row>
    <row r="120" spans="1:28" s="166" customFormat="1" hidden="1" x14ac:dyDescent="0.25">
      <c r="A120" s="170"/>
      <c r="B120" s="171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2"/>
      <c r="N120" s="173"/>
      <c r="O120" s="174">
        <f>(corntbl85[[#This Row],[Gross/ -Truck Net]]-corntbl85[[#This Row],[Tare]])</f>
        <v>0</v>
      </c>
      <c r="P120" s="175"/>
      <c r="Q120" s="171"/>
      <c r="R120" s="176"/>
      <c r="S120" s="177"/>
      <c r="T120" s="178">
        <f>corntbl85[[#This Row],[Net]]/56</f>
        <v>0</v>
      </c>
      <c r="U120" s="179"/>
      <c r="V120" s="178"/>
      <c r="W120" s="178">
        <f>corntbl85[[#This Row],[Gross Units]]-corntbl85[[#This Row],[Shrink]]</f>
        <v>0</v>
      </c>
      <c r="X120" s="180"/>
      <c r="Y120" s="181"/>
      <c r="Z120" s="182"/>
      <c r="AA120" s="183"/>
      <c r="AB120" s="183"/>
    </row>
    <row r="121" spans="1:28" s="166" customFormat="1" hidden="1" x14ac:dyDescent="0.25">
      <c r="A121" s="170"/>
      <c r="B121" s="171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2"/>
      <c r="N121" s="173"/>
      <c r="O121" s="174">
        <f>(corntbl85[[#This Row],[Gross/ -Truck Net]]-corntbl85[[#This Row],[Tare]])</f>
        <v>0</v>
      </c>
      <c r="P121" s="175"/>
      <c r="Q121" s="171"/>
      <c r="R121" s="176"/>
      <c r="S121" s="177"/>
      <c r="T121" s="178">
        <f>corntbl85[[#This Row],[Net]]/56</f>
        <v>0</v>
      </c>
      <c r="U121" s="179"/>
      <c r="V121" s="178"/>
      <c r="W121" s="178">
        <f>corntbl85[[#This Row],[Gross Units]]-corntbl85[[#This Row],[Shrink]]</f>
        <v>0</v>
      </c>
      <c r="X121" s="180"/>
      <c r="Y121" s="181"/>
      <c r="Z121" s="182"/>
      <c r="AA121" s="183"/>
      <c r="AB121" s="183"/>
    </row>
    <row r="122" spans="1:28" s="166" customFormat="1" ht="15" hidden="1" customHeight="1" x14ac:dyDescent="0.25">
      <c r="A122" s="170"/>
      <c r="B122" s="171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2"/>
      <c r="N122" s="173"/>
      <c r="O122" s="174">
        <f>(corntbl85[[#This Row],[Gross/ -Truck Net]]-corntbl85[[#This Row],[Tare]])</f>
        <v>0</v>
      </c>
      <c r="P122" s="175"/>
      <c r="Q122" s="171"/>
      <c r="R122" s="176"/>
      <c r="S122" s="177"/>
      <c r="T122" s="178">
        <f>corntbl85[[#This Row],[Net]]/56</f>
        <v>0</v>
      </c>
      <c r="U122" s="179"/>
      <c r="V122" s="178"/>
      <c r="W122" s="178">
        <f>corntbl85[[#This Row],[Gross Units]]-corntbl85[[#This Row],[Shrink]]</f>
        <v>0</v>
      </c>
      <c r="X122" s="180"/>
      <c r="Y122" s="181"/>
      <c r="Z122" s="182"/>
      <c r="AA122" s="183"/>
      <c r="AB122" s="183"/>
    </row>
    <row r="123" spans="1:28" s="166" customFormat="1" hidden="1" x14ac:dyDescent="0.25">
      <c r="A123" s="170"/>
      <c r="B123" s="171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230"/>
      <c r="N123" s="227"/>
      <c r="O123" s="228">
        <f>(corntbl85[[#This Row],[Gross/ -Truck Net]]-corntbl85[[#This Row],[Tare]])</f>
        <v>0</v>
      </c>
      <c r="P123" s="175"/>
      <c r="Q123" s="171"/>
      <c r="R123" s="176"/>
      <c r="S123" s="177"/>
      <c r="T123" s="178">
        <f>corntbl85[[#This Row],[Net]]/56</f>
        <v>0</v>
      </c>
      <c r="U123" s="179"/>
      <c r="V123" s="178"/>
      <c r="W123" s="178">
        <f>corntbl85[[#This Row],[Gross Units]]-corntbl85[[#This Row],[Shrink]]</f>
        <v>0</v>
      </c>
      <c r="X123" s="180"/>
      <c r="Y123" s="181"/>
      <c r="Z123" s="182"/>
      <c r="AA123" s="183"/>
      <c r="AB123" s="183"/>
    </row>
    <row r="124" spans="1:28" s="166" customFormat="1" hidden="1" x14ac:dyDescent="0.25">
      <c r="A124" s="170"/>
      <c r="B124" s="171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230"/>
      <c r="N124" s="227"/>
      <c r="O124" s="229">
        <f>(corntbl85[[#This Row],[Gross/ -Truck Net]]-corntbl85[[#This Row],[Tare]])</f>
        <v>0</v>
      </c>
      <c r="P124" s="175"/>
      <c r="Q124" s="171"/>
      <c r="R124" s="176"/>
      <c r="S124" s="177"/>
      <c r="T124" s="178">
        <f>corntbl85[[#This Row],[Net]]/56</f>
        <v>0</v>
      </c>
      <c r="U124" s="179"/>
      <c r="V124" s="178"/>
      <c r="W124" s="178">
        <f>corntbl85[[#This Row],[Gross Units]]-corntbl85[[#This Row],[Shrink]]</f>
        <v>0</v>
      </c>
      <c r="X124" s="180"/>
      <c r="Y124" s="181"/>
      <c r="Z124" s="182"/>
      <c r="AA124" s="183"/>
      <c r="AB124" s="183"/>
    </row>
    <row r="125" spans="1:28" s="166" customFormat="1" hidden="1" x14ac:dyDescent="0.25">
      <c r="A125" s="231"/>
      <c r="B125" s="232"/>
      <c r="C125" s="232"/>
      <c r="D125" s="232"/>
      <c r="E125" s="232"/>
      <c r="F125" s="232"/>
      <c r="G125" s="184"/>
      <c r="H125" s="184"/>
      <c r="I125" s="184"/>
      <c r="J125" s="184"/>
      <c r="K125" s="171"/>
      <c r="L125" s="185"/>
      <c r="M125" s="230"/>
      <c r="N125" s="186"/>
      <c r="O125" s="229">
        <f>(corntbl85[[#This Row],[Gross/ -Truck Net]]-corntbl85[[#This Row],[Tare]])</f>
        <v>0</v>
      </c>
      <c r="P125" s="187"/>
      <c r="Q125" s="184"/>
      <c r="R125" s="188"/>
      <c r="S125" s="189"/>
      <c r="T125" s="190">
        <f>corntbl85[[#This Row],[Net]]/56</f>
        <v>0</v>
      </c>
      <c r="U125" s="191"/>
      <c r="V125" s="192"/>
      <c r="W125" s="183">
        <f>corntbl85[[#This Row],[Gross Units]]-corntbl85[[#This Row],[Shrink]]</f>
        <v>0</v>
      </c>
      <c r="X125" s="193"/>
      <c r="Y125" s="181"/>
      <c r="Z125" s="182"/>
      <c r="AA125" s="183"/>
      <c r="AB125" s="183"/>
    </row>
    <row r="126" spans="1:28" s="166" customFormat="1" hidden="1" x14ac:dyDescent="0.25">
      <c r="A126" s="231"/>
      <c r="B126" s="232"/>
      <c r="C126" s="232"/>
      <c r="D126" s="232"/>
      <c r="E126" s="232"/>
      <c r="F126" s="232"/>
      <c r="G126" s="184"/>
      <c r="H126" s="184"/>
      <c r="I126" s="184"/>
      <c r="J126" s="184"/>
      <c r="K126" s="171"/>
      <c r="L126" s="185"/>
      <c r="M126" s="230"/>
      <c r="N126" s="186"/>
      <c r="O126" s="229">
        <f>(corntbl85[[#This Row],[Gross/ -Truck Net]]-corntbl85[[#This Row],[Tare]])</f>
        <v>0</v>
      </c>
      <c r="P126" s="187"/>
      <c r="Q126" s="184"/>
      <c r="R126" s="188"/>
      <c r="S126" s="189"/>
      <c r="T126" s="190">
        <f>corntbl85[[#This Row],[Net]]/56</f>
        <v>0</v>
      </c>
      <c r="U126" s="191"/>
      <c r="V126" s="192"/>
      <c r="W126" s="183">
        <f>corntbl85[[#This Row],[Gross Units]]-corntbl85[[#This Row],[Shrink]]</f>
        <v>0</v>
      </c>
      <c r="X126" s="193"/>
      <c r="Y126" s="181"/>
      <c r="Z126" s="182"/>
      <c r="AA126" s="183"/>
      <c r="AB126" s="183"/>
    </row>
    <row r="127" spans="1:28" s="166" customFormat="1" hidden="1" x14ac:dyDescent="0.25">
      <c r="A127" s="231"/>
      <c r="B127" s="232"/>
      <c r="C127" s="232"/>
      <c r="D127" s="232"/>
      <c r="E127" s="232"/>
      <c r="F127" s="232"/>
      <c r="G127" s="184"/>
      <c r="H127" s="184"/>
      <c r="I127" s="184"/>
      <c r="J127" s="184"/>
      <c r="K127" s="171"/>
      <c r="L127" s="185"/>
      <c r="M127" s="230"/>
      <c r="N127" s="186"/>
      <c r="O127" s="229">
        <f>(corntbl85[[#This Row],[Gross/ -Truck Net]]-corntbl85[[#This Row],[Tare]])</f>
        <v>0</v>
      </c>
      <c r="P127" s="187"/>
      <c r="Q127" s="184"/>
      <c r="R127" s="188"/>
      <c r="S127" s="189"/>
      <c r="T127" s="190">
        <f>corntbl85[[#This Row],[Net]]/56</f>
        <v>0</v>
      </c>
      <c r="U127" s="191"/>
      <c r="V127" s="192"/>
      <c r="W127" s="183">
        <f>corntbl85[[#This Row],[Gross Units]]-corntbl85[[#This Row],[Shrink]]</f>
        <v>0</v>
      </c>
      <c r="X127" s="193"/>
      <c r="Y127" s="181"/>
      <c r="Z127" s="182"/>
      <c r="AA127" s="183"/>
      <c r="AB127" s="183"/>
    </row>
    <row r="128" spans="1:28" s="166" customFormat="1" hidden="1" x14ac:dyDescent="0.25">
      <c r="A128" s="231"/>
      <c r="B128" s="232"/>
      <c r="C128" s="232"/>
      <c r="D128" s="232"/>
      <c r="E128" s="232"/>
      <c r="F128" s="232"/>
      <c r="G128" s="171"/>
      <c r="H128" s="171"/>
      <c r="I128" s="171"/>
      <c r="J128" s="171"/>
      <c r="K128" s="171"/>
      <c r="L128" s="171"/>
      <c r="M128" s="230"/>
      <c r="N128" s="227"/>
      <c r="O128" s="229">
        <f>(corntbl85[[#This Row],[Gross/ -Truck Net]]-corntbl85[[#This Row],[Tare]])</f>
        <v>0</v>
      </c>
      <c r="P128" s="175"/>
      <c r="Q128" s="171"/>
      <c r="R128" s="176"/>
      <c r="S128" s="177"/>
      <c r="T128" s="178">
        <f>corntbl85[[#This Row],[Net]]/56</f>
        <v>0</v>
      </c>
      <c r="U128" s="179"/>
      <c r="V128" s="178"/>
      <c r="W128" s="178">
        <f>corntbl85[[#This Row],[Gross Units]]-corntbl85[[#This Row],[Shrink]]</f>
        <v>0</v>
      </c>
      <c r="X128" s="180"/>
      <c r="Y128" s="181"/>
      <c r="Z128" s="182"/>
      <c r="AA128" s="183"/>
      <c r="AB128" s="183"/>
    </row>
    <row r="129" spans="1:28" s="166" customFormat="1" hidden="1" x14ac:dyDescent="0.25">
      <c r="A129" s="231"/>
      <c r="B129" s="232"/>
      <c r="C129" s="232"/>
      <c r="D129" s="232"/>
      <c r="E129" s="232"/>
      <c r="F129" s="232"/>
      <c r="G129" s="184"/>
      <c r="H129" s="184"/>
      <c r="I129" s="184"/>
      <c r="J129" s="184"/>
      <c r="K129" s="171"/>
      <c r="L129" s="185"/>
      <c r="M129" s="230"/>
      <c r="N129" s="186"/>
      <c r="O129" s="229">
        <f>(corntbl85[[#This Row],[Gross/ -Truck Net]]-corntbl85[[#This Row],[Tare]])</f>
        <v>0</v>
      </c>
      <c r="P129" s="187"/>
      <c r="Q129" s="184"/>
      <c r="R129" s="188"/>
      <c r="S129" s="189"/>
      <c r="T129" s="190">
        <f>corntbl85[[#This Row],[Net]]/56</f>
        <v>0</v>
      </c>
      <c r="U129" s="191"/>
      <c r="V129" s="192"/>
      <c r="W129" s="183">
        <f>corntbl85[[#This Row],[Gross Units]]-corntbl85[[#This Row],[Shrink]]</f>
        <v>0</v>
      </c>
      <c r="X129" s="193"/>
      <c r="Y129" s="181"/>
      <c r="Z129" s="182"/>
      <c r="AA129" s="183"/>
      <c r="AB129" s="183"/>
    </row>
    <row r="130" spans="1:28" s="166" customFormat="1" hidden="1" x14ac:dyDescent="0.25">
      <c r="A130" s="250"/>
      <c r="B130" s="251"/>
      <c r="C130" s="251"/>
      <c r="D130" s="251"/>
      <c r="E130" s="251"/>
      <c r="F130" s="251"/>
      <c r="G130" s="252"/>
      <c r="H130" s="252"/>
      <c r="I130" s="252"/>
      <c r="J130" s="252"/>
      <c r="K130" s="251"/>
      <c r="L130" s="253"/>
      <c r="M130" s="254"/>
      <c r="N130" s="255"/>
      <c r="O130" s="256">
        <f>(corntbl85[[#This Row],[Gross/ -Truck Net]]-corntbl85[[#This Row],[Tare]])</f>
        <v>0</v>
      </c>
      <c r="P130" s="261"/>
      <c r="Q130" s="252"/>
      <c r="R130" s="262"/>
      <c r="S130" s="263"/>
      <c r="T130" s="264">
        <f>corntbl85[[#This Row],[Net]]/56</f>
        <v>0</v>
      </c>
      <c r="U130" s="265"/>
      <c r="V130" s="266"/>
      <c r="W130" s="267">
        <f>corntbl85[[#This Row],[Gross Units]]-corntbl85[[#This Row],[Shrink]]</f>
        <v>0</v>
      </c>
      <c r="X130" s="268"/>
      <c r="Y130" s="269"/>
      <c r="Z130" s="270"/>
      <c r="AA130" s="267"/>
      <c r="AB130" s="267"/>
    </row>
    <row r="131" spans="1:28" s="226" customFormat="1" ht="23.25" hidden="1" x14ac:dyDescent="0.35">
      <c r="A131" s="246" t="s">
        <v>38</v>
      </c>
      <c r="B131" s="246"/>
      <c r="C131" s="246"/>
      <c r="D131" s="247"/>
      <c r="E131" s="247"/>
      <c r="F131" s="247"/>
      <c r="G131" s="247"/>
      <c r="H131" s="247"/>
      <c r="I131" s="247"/>
      <c r="J131" s="247"/>
      <c r="K131" s="247"/>
      <c r="L131" s="247"/>
      <c r="M131" s="248"/>
      <c r="N131" s="249"/>
      <c r="O131" s="260">
        <f>SUBTOTAL(109,corntbl85[Net])</f>
        <v>0</v>
      </c>
      <c r="P131" s="247"/>
      <c r="Q131" s="247"/>
      <c r="R131" s="257"/>
      <c r="S131" s="258"/>
      <c r="T131" s="259"/>
      <c r="U131" s="276">
        <f>SUBTOTAL(109,corntbl85[Shrink])</f>
        <v>0</v>
      </c>
      <c r="V131" s="259"/>
      <c r="W131" s="259"/>
      <c r="X131" s="247"/>
      <c r="Y131" s="257"/>
      <c r="Z131" s="257"/>
      <c r="AA131" s="280">
        <f>SUBTOTAL(109,corntbl85[MCC. ENT. BU])</f>
        <v>0</v>
      </c>
      <c r="AB131" s="280">
        <f>SUBTOTAL(109,corntbl85[L.L. BU])</f>
        <v>0</v>
      </c>
    </row>
    <row r="132" spans="1:28" hidden="1" x14ac:dyDescent="0.25">
      <c r="A132" s="757" t="s">
        <v>820</v>
      </c>
      <c r="B132" s="757"/>
      <c r="C132" s="757"/>
      <c r="D132" s="757"/>
      <c r="E132" s="757"/>
      <c r="F132" s="757"/>
      <c r="G132" s="757"/>
      <c r="H132" s="757"/>
      <c r="I132" s="757"/>
      <c r="J132" s="757"/>
      <c r="K132" s="757"/>
      <c r="L132" s="757"/>
      <c r="M132" s="757"/>
      <c r="N132" s="757"/>
      <c r="O132" s="757"/>
      <c r="P132" s="757"/>
      <c r="Q132" s="757"/>
      <c r="R132" s="757"/>
      <c r="S132" s="757"/>
      <c r="T132" s="757"/>
      <c r="U132" s="272"/>
      <c r="V132" s="271"/>
      <c r="W132" s="271"/>
      <c r="X132" s="273"/>
      <c r="Y132" s="274"/>
      <c r="Z132" s="274"/>
      <c r="AA132" s="271"/>
      <c r="AB132" s="271"/>
    </row>
    <row r="133" spans="1:28" s="108" customFormat="1" ht="36.75" hidden="1" customHeight="1" x14ac:dyDescent="0.7">
      <c r="A133" s="758"/>
      <c r="B133" s="758"/>
      <c r="C133" s="758"/>
      <c r="D133" s="758"/>
      <c r="E133" s="758"/>
      <c r="F133" s="758"/>
      <c r="G133" s="758"/>
      <c r="H133" s="758"/>
      <c r="I133" s="758"/>
      <c r="J133" s="758"/>
      <c r="K133" s="758"/>
      <c r="L133" s="758"/>
      <c r="M133" s="758"/>
      <c r="N133" s="758"/>
      <c r="O133" s="758"/>
      <c r="P133" s="758"/>
      <c r="Q133" s="758"/>
      <c r="R133" s="758"/>
      <c r="S133" s="758"/>
      <c r="T133" s="758"/>
      <c r="U133" s="284"/>
      <c r="V133" s="284"/>
      <c r="W133" s="275"/>
      <c r="X133" s="275"/>
      <c r="Y133" s="275"/>
      <c r="Z133" s="275"/>
      <c r="AA133" s="749">
        <f>SUM(AA131:AB131)</f>
        <v>0</v>
      </c>
      <c r="AB133" s="749"/>
    </row>
    <row r="134" spans="1:28" s="96" customFormat="1" ht="36.75" hidden="1" customHeight="1" x14ac:dyDescent="0.25">
      <c r="A134" s="758"/>
      <c r="B134" s="758"/>
      <c r="C134" s="758"/>
      <c r="D134" s="758"/>
      <c r="E134" s="758"/>
      <c r="F134" s="758"/>
      <c r="G134" s="758"/>
      <c r="H134" s="758"/>
      <c r="I134" s="758"/>
      <c r="J134" s="758"/>
      <c r="K134" s="758"/>
      <c r="L134" s="758"/>
      <c r="M134" s="758"/>
      <c r="N134" s="758"/>
      <c r="O134" s="758"/>
      <c r="P134" s="758"/>
      <c r="Q134" s="758"/>
      <c r="R134" s="758"/>
      <c r="S134" s="758"/>
      <c r="T134" s="758"/>
      <c r="U134" s="275"/>
      <c r="V134" s="275"/>
      <c r="W134" s="275"/>
      <c r="X134" s="275"/>
      <c r="Y134" s="275"/>
      <c r="Z134" s="275"/>
      <c r="AA134" s="275"/>
      <c r="AB134" s="275"/>
    </row>
    <row r="135" spans="1:28" s="96" customFormat="1" ht="31.5" hidden="1" customHeight="1" x14ac:dyDescent="0.25">
      <c r="A135" s="109" t="s">
        <v>481</v>
      </c>
      <c r="B135" s="109" t="s">
        <v>482</v>
      </c>
      <c r="C135" s="109" t="s">
        <v>118</v>
      </c>
      <c r="D135" s="109" t="s">
        <v>119</v>
      </c>
      <c r="E135" s="109" t="s">
        <v>483</v>
      </c>
      <c r="F135" s="109" t="s">
        <v>484</v>
      </c>
      <c r="G135" s="109" t="s">
        <v>485</v>
      </c>
      <c r="H135" s="109" t="s">
        <v>477</v>
      </c>
      <c r="I135" s="109" t="s">
        <v>478</v>
      </c>
      <c r="J135" s="109" t="s">
        <v>486</v>
      </c>
      <c r="K135" s="109" t="s">
        <v>600</v>
      </c>
      <c r="L135" s="109" t="s">
        <v>601</v>
      </c>
      <c r="M135" s="109" t="s">
        <v>623</v>
      </c>
      <c r="N135" s="109" t="s">
        <v>556</v>
      </c>
      <c r="O135" s="196" t="s">
        <v>552</v>
      </c>
      <c r="P135" s="196" t="s">
        <v>553</v>
      </c>
      <c r="Q135" s="196" t="s">
        <v>554</v>
      </c>
      <c r="R135" s="196" t="s">
        <v>555</v>
      </c>
      <c r="S135" s="196" t="s">
        <v>604</v>
      </c>
      <c r="T135" s="196" t="s">
        <v>557</v>
      </c>
      <c r="U135" s="107" t="s">
        <v>821</v>
      </c>
      <c r="V135" s="750" t="s">
        <v>822</v>
      </c>
      <c r="W135" s="750"/>
      <c r="X135" s="750"/>
      <c r="Y135" s="750"/>
      <c r="Z135" s="750"/>
      <c r="AA135" s="750"/>
      <c r="AB135" s="750"/>
    </row>
    <row r="136" spans="1:28" s="96" customFormat="1" hidden="1" x14ac:dyDescent="0.25">
      <c r="A136" s="99"/>
      <c r="B136" s="99"/>
      <c r="C136" s="99"/>
      <c r="D136" s="99"/>
      <c r="E136" s="99"/>
      <c r="F136" s="94"/>
      <c r="G136" s="94"/>
      <c r="H136" s="100"/>
      <c r="I136" s="100"/>
      <c r="J136" s="100" t="str">
        <f>IFERROR(CORNYIELDPERF84[[#This Row],[TOT BU]]/CORNYIELDPERF84[[#This Row],[Acres]],"")</f>
        <v/>
      </c>
      <c r="K136" s="100">
        <f>SUMIF(corntbl85[Field],CORNYIELDPERF84[[#This Row],[Field]],corntbl85[Net])</f>
        <v>0</v>
      </c>
      <c r="L136" s="100">
        <f>SUMIF(corntbl85[Field],CORNYIELDPERF84[[#This Row],[Field]],corntbl85[Net Units])</f>
        <v>0</v>
      </c>
      <c r="M136" s="100">
        <f>CORNYIELDPERF84[[#This Row],[TOT BU]]*0.65</f>
        <v>0</v>
      </c>
      <c r="N136" s="100">
        <f>CORNYIELDPERF84[[#This Row],[TOT BU]]*0.35</f>
        <v>0</v>
      </c>
      <c r="O136" s="146">
        <f>SUMIF(EXPENSETBL4583[FIELD],CORNYIELDPERF84[[#This Row],[Field]],EXPENSETBL4583[TOTAL])</f>
        <v>0</v>
      </c>
      <c r="P136" s="100" t="e">
        <f>CORNYIELDPERF84[[#This Row],[TOTAL EXP]]/CORNYIELDPERF84[[#This Row],[TOT BU]]</f>
        <v>#DIV/0!</v>
      </c>
      <c r="Q136" s="100">
        <f>SUMIF(EXPENSETBL4583[FIELD],CORNYIELDPERF84[[#This Row],[Field]],EXPENSETBL4583[MCC.ENT])</f>
        <v>0</v>
      </c>
      <c r="R136" s="100" t="e">
        <f>CORNYIELDPERF84[[#This Row],[TOTME]]/CORNYIELDPERF84[[#This Row],[TOT. ME]]</f>
        <v>#DIV/0!</v>
      </c>
      <c r="S136" s="100">
        <f>SUMIF(EXPENSETBL4583[FIELD],CORNYIELDPERF84[[#This Row],[Field]],EXPENSETBL4583[L.L.])</f>
        <v>0</v>
      </c>
      <c r="T136" s="100" t="e">
        <f>CORNYIELDPERF84[[#This Row],[TOT LL2]]/CORNYIELDPERF84[[#This Row],[TOT LL]]</f>
        <v>#DIV/0!</v>
      </c>
      <c r="U136" s="101"/>
      <c r="V136" s="750"/>
      <c r="W136" s="750"/>
      <c r="X136" s="750"/>
      <c r="Y136" s="750"/>
      <c r="Z136" s="750"/>
      <c r="AA136" s="750"/>
      <c r="AB136" s="750"/>
    </row>
    <row r="137" spans="1:28" s="96" customFormat="1" ht="15" hidden="1" customHeight="1" x14ac:dyDescent="0.25">
      <c r="A137" s="99" t="s">
        <v>74</v>
      </c>
      <c r="B137" s="99" t="s">
        <v>32</v>
      </c>
      <c r="C137" s="99" t="s">
        <v>94</v>
      </c>
      <c r="D137" s="99">
        <f>IFERROR((VLOOKUP(CORNYIELDPERF84[[#This Row],[Field]],FIELDACRE,2,FALSE)),"")</f>
        <v>158.18</v>
      </c>
      <c r="E137" s="99" t="str">
        <f>IFERROR(VLOOKUP(CORNYIELDPERF84[[#This Row],[Field]],FIELDACRE,3,FALSE),"")</f>
        <v>SW4 12-8-47</v>
      </c>
      <c r="F137" s="94">
        <f>IFERROR(VLOOKUP(CORNYIELDPERF84[[#This Row],[Field]],FIELDACRE,4,FALSE),"")</f>
        <v>2522</v>
      </c>
      <c r="G137" s="94">
        <f>IFERROR(VLOOKUP(CORNYIELDPERF84[[#This Row],[Field]],FIELDACRE,5,FALSE),"")</f>
        <v>3251</v>
      </c>
      <c r="H137" s="100" t="s">
        <v>283</v>
      </c>
      <c r="I137" s="100"/>
      <c r="J137" s="100">
        <f>IFERROR(CORNYIELDPERF84[[#This Row],[TOT BU]]/CORNYIELDPERF84[[#This Row],[Acres]],"")</f>
        <v>0</v>
      </c>
      <c r="K137" s="100">
        <f>SUMIF(corntbl85[Field],CORNYIELDPERF84[[#This Row],[Field]],corntbl85[Net])</f>
        <v>0</v>
      </c>
      <c r="L137" s="100">
        <f>SUMIF(corntbl85[Field],CORNYIELDPERF84[[#This Row],[Field]],corntbl85[Net Units])</f>
        <v>0</v>
      </c>
      <c r="M137" s="100">
        <f>CORNYIELDPERF84[[#This Row],[TOT BU]]*0.65</f>
        <v>0</v>
      </c>
      <c r="N137" s="100">
        <f>CORNYIELDPERF84[[#This Row],[TOT BU]]*0.35</f>
        <v>0</v>
      </c>
      <c r="O137" s="198">
        <f>SUMIF(EXPENSETBL4583[FIELD],CORNYIELDPERF84[[#This Row],[Field]],EXPENSETBL4583[TOTAL])</f>
        <v>0</v>
      </c>
      <c r="P137" s="99" t="e">
        <f>CORNYIELDPERF84[[#This Row],[TOTAL EXP]]/CORNYIELDPERF84[[#This Row],[TOT BU]]</f>
        <v>#DIV/0!</v>
      </c>
      <c r="Q137" s="99">
        <f>SUMIF(EXPENSETBL4583[FIELD],CORNYIELDPERF84[[#This Row],[Field]],EXPENSETBL4583[MCC.ENT])</f>
        <v>0</v>
      </c>
      <c r="R137" s="99" t="e">
        <f>CORNYIELDPERF84[[#This Row],[TOTME]]/CORNYIELDPERF84[[#This Row],[TOT. ME]]</f>
        <v>#DIV/0!</v>
      </c>
      <c r="S137" s="99">
        <f>SUMIF(EXPENSETBL4583[FIELD],CORNYIELDPERF84[[#This Row],[Field]],EXPENSETBL4583[L.L.])</f>
        <v>0</v>
      </c>
      <c r="T137" s="99" t="e">
        <f>CORNYIELDPERF84[[#This Row],[TOT LL2]]/CORNYIELDPERF84[[#This Row],[TOT LL]]</f>
        <v>#DIV/0!</v>
      </c>
      <c r="U137" s="101"/>
      <c r="V137" s="751"/>
      <c r="W137" s="751"/>
      <c r="X137" s="751"/>
      <c r="Y137" s="751"/>
      <c r="Z137" s="751"/>
      <c r="AA137" s="751"/>
      <c r="AB137" s="751"/>
    </row>
    <row r="138" spans="1:28" s="96" customFormat="1" ht="15" hidden="1" customHeight="1" x14ac:dyDescent="0.25">
      <c r="A138" s="99" t="s">
        <v>74</v>
      </c>
      <c r="B138" s="99" t="s">
        <v>21</v>
      </c>
      <c r="C138" s="99" t="s">
        <v>823</v>
      </c>
      <c r="D138" s="99" t="str">
        <f>IFERROR((VLOOKUP(CORNYIELDPERF84[[#This Row],[Field]],FIELDACRE,2,FALSE)),"")</f>
        <v/>
      </c>
      <c r="E138" s="99" t="str">
        <f>IFERROR(VLOOKUP(CORNYIELDPERF84[[#This Row],[Field]],FIELDACRE,3,FALSE),"")</f>
        <v/>
      </c>
      <c r="F138" s="94" t="str">
        <f>IFERROR(VLOOKUP(CORNYIELDPERF84[[#This Row],[Field]],FIELDACRE,4,FALSE),"")</f>
        <v/>
      </c>
      <c r="G138" s="94" t="str">
        <f>IFERROR(VLOOKUP(CORNYIELDPERF84[[#This Row],[Field]],FIELDACRE,5,FALSE),"")</f>
        <v/>
      </c>
      <c r="H138" s="100" t="s">
        <v>283</v>
      </c>
      <c r="I138" s="100"/>
      <c r="J138" s="100" t="str">
        <f>IFERROR(CORNYIELDPERF84[[#This Row],[TOT BU]]/CORNYIELDPERF84[[#This Row],[Acres]],"")</f>
        <v/>
      </c>
      <c r="K138" s="100">
        <f>SUMIF(corntbl85[Field],CORNYIELDPERF84[[#This Row],[Field]],corntbl85[Net])</f>
        <v>0</v>
      </c>
      <c r="L138" s="100">
        <f>SUMIF(corntbl85[Field],CORNYIELDPERF84[[#This Row],[Field]],corntbl85[Net Units])</f>
        <v>0</v>
      </c>
      <c r="M138" s="100">
        <f>CORNYIELDPERF84[[#This Row],[TOT BU]]*0.65</f>
        <v>0</v>
      </c>
      <c r="N138" s="100">
        <f>CORNYIELDPERF84[[#This Row],[TOT BU]]*0.35</f>
        <v>0</v>
      </c>
      <c r="O138" s="198">
        <f>SUMIF(EXPENSETBL4583[FIELD],CORNYIELDPERF84[[#This Row],[Field]],EXPENSETBL4583[TOTAL])</f>
        <v>0</v>
      </c>
      <c r="P138" s="99" t="e">
        <f>CORNYIELDPERF84[[#This Row],[TOTAL EXP]]/CORNYIELDPERF84[[#This Row],[TOT BU]]</f>
        <v>#DIV/0!</v>
      </c>
      <c r="Q138" s="99">
        <f>SUMIF(EXPENSETBL4583[FIELD],CORNYIELDPERF84[[#This Row],[Field]],EXPENSETBL4583[MCC.ENT])</f>
        <v>0</v>
      </c>
      <c r="R138" s="99" t="e">
        <f>CORNYIELDPERF84[[#This Row],[TOTME]]/CORNYIELDPERF84[[#This Row],[TOT. ME]]</f>
        <v>#DIV/0!</v>
      </c>
      <c r="S138" s="99">
        <f>SUMIF(EXPENSETBL4583[FIELD],CORNYIELDPERF84[[#This Row],[Field]],EXPENSETBL4583[L.L.])</f>
        <v>0</v>
      </c>
      <c r="T138" s="99" t="e">
        <f>CORNYIELDPERF84[[#This Row],[TOT LL2]]/CORNYIELDPERF84[[#This Row],[TOT LL]]</f>
        <v>#DIV/0!</v>
      </c>
      <c r="U138" s="101"/>
      <c r="V138" s="751"/>
      <c r="W138" s="751"/>
      <c r="X138" s="751"/>
      <c r="Y138" s="751"/>
      <c r="Z138" s="751"/>
      <c r="AA138" s="751"/>
      <c r="AB138" s="751"/>
    </row>
    <row r="139" spans="1:28" s="96" customFormat="1" ht="15" hidden="1" customHeight="1" x14ac:dyDescent="0.25">
      <c r="A139" s="99" t="s">
        <v>74</v>
      </c>
      <c r="B139" s="99" t="s">
        <v>75</v>
      </c>
      <c r="C139" s="99" t="s">
        <v>475</v>
      </c>
      <c r="D139" s="99" t="str">
        <f>IFERROR((VLOOKUP(CORNYIELDPERF84[[#This Row],[Field]],FIELDACRE,2,FALSE)),"")</f>
        <v/>
      </c>
      <c r="E139" s="99" t="str">
        <f>IFERROR(VLOOKUP(CORNYIELDPERF84[[#This Row],[Field]],FIELDACRE,3,FALSE),"")</f>
        <v/>
      </c>
      <c r="F139" s="94" t="str">
        <f>IFERROR(VLOOKUP(CORNYIELDPERF84[[#This Row],[Field]],FIELDACRE,4,FALSE),"")</f>
        <v/>
      </c>
      <c r="G139" s="94" t="str">
        <f>IFERROR(VLOOKUP(CORNYIELDPERF84[[#This Row],[Field]],FIELDACRE,5,FALSE),"")</f>
        <v/>
      </c>
      <c r="H139" s="100" t="s">
        <v>283</v>
      </c>
      <c r="I139" s="100"/>
      <c r="J139" s="100" t="str">
        <f>IFERROR(CORNYIELDPERF84[[#This Row],[TOT BU]]/CORNYIELDPERF84[[#This Row],[Acres]],"")</f>
        <v/>
      </c>
      <c r="K139" s="100">
        <f>SUMIF(corntbl85[Field],CORNYIELDPERF84[[#This Row],[Field]],corntbl85[Net])</f>
        <v>0</v>
      </c>
      <c r="L139" s="100">
        <f>SUMIF(corntbl85[Field],CORNYIELDPERF84[[#This Row],[Field]],corntbl85[Net Units])</f>
        <v>0</v>
      </c>
      <c r="M139" s="100">
        <f>CORNYIELDPERF84[[#This Row],[TOT BU]]*0.65</f>
        <v>0</v>
      </c>
      <c r="N139" s="100">
        <f>CORNYIELDPERF84[[#This Row],[TOT BU]]*0.35</f>
        <v>0</v>
      </c>
      <c r="O139" s="198">
        <f>SUMIF(EXPENSETBL4583[FIELD],CORNYIELDPERF84[[#This Row],[Field]],EXPENSETBL4583[TOTAL])</f>
        <v>0</v>
      </c>
      <c r="P139" s="99" t="e">
        <f>CORNYIELDPERF84[[#This Row],[TOTAL EXP]]/CORNYIELDPERF84[[#This Row],[TOT BU]]</f>
        <v>#DIV/0!</v>
      </c>
      <c r="Q139" s="99">
        <f>SUMIF(EXPENSETBL4583[FIELD],CORNYIELDPERF84[[#This Row],[Field]],EXPENSETBL4583[MCC.ENT])</f>
        <v>0</v>
      </c>
      <c r="R139" s="99" t="e">
        <f>CORNYIELDPERF84[[#This Row],[TOTME]]/CORNYIELDPERF84[[#This Row],[TOT. ME]]</f>
        <v>#DIV/0!</v>
      </c>
      <c r="S139" s="99">
        <f>SUMIF(EXPENSETBL4583[FIELD],CORNYIELDPERF84[[#This Row],[Field]],EXPENSETBL4583[L.L.])</f>
        <v>0</v>
      </c>
      <c r="T139" s="99" t="e">
        <f>CORNYIELDPERF84[[#This Row],[TOT LL2]]/CORNYIELDPERF84[[#This Row],[TOT LL]]</f>
        <v>#DIV/0!</v>
      </c>
      <c r="U139" s="101"/>
      <c r="V139" s="751"/>
      <c r="W139" s="751"/>
      <c r="X139" s="751"/>
      <c r="Y139" s="751"/>
      <c r="Z139" s="751"/>
      <c r="AA139" s="751"/>
      <c r="AB139" s="751"/>
    </row>
    <row r="140" spans="1:28" s="96" customFormat="1" ht="15" hidden="1" customHeight="1" x14ac:dyDescent="0.25">
      <c r="A140" s="99" t="s">
        <v>74</v>
      </c>
      <c r="B140" s="99" t="s">
        <v>75</v>
      </c>
      <c r="C140" s="99" t="s">
        <v>462</v>
      </c>
      <c r="D140" s="99" t="str">
        <f>IFERROR((VLOOKUP(CORNYIELDPERF84[[#This Row],[Field]],FIELDACRE,2,FALSE)),"")</f>
        <v/>
      </c>
      <c r="E140" s="99" t="str">
        <f>IFERROR(VLOOKUP(CORNYIELDPERF84[[#This Row],[Field]],FIELDACRE,3,FALSE),"")</f>
        <v/>
      </c>
      <c r="F140" s="94" t="str">
        <f>IFERROR(VLOOKUP(CORNYIELDPERF84[[#This Row],[Field]],FIELDACRE,4,FALSE),"")</f>
        <v/>
      </c>
      <c r="G140" s="94" t="str">
        <f>IFERROR(VLOOKUP(CORNYIELDPERF84[[#This Row],[Field]],FIELDACRE,5,FALSE),"")</f>
        <v/>
      </c>
      <c r="H140" s="100" t="s">
        <v>283</v>
      </c>
      <c r="I140" s="100"/>
      <c r="J140" s="100" t="str">
        <f>IFERROR(CORNYIELDPERF84[[#This Row],[TOT BU]]/CORNYIELDPERF84[[#This Row],[Acres]],"")</f>
        <v/>
      </c>
      <c r="K140" s="100">
        <f>SUMIF(corntbl85[Field],CORNYIELDPERF84[[#This Row],[Field]],corntbl85[Net])</f>
        <v>0</v>
      </c>
      <c r="L140" s="100">
        <f>SUMIF(corntbl85[Field],CORNYIELDPERF84[[#This Row],[Field]],corntbl85[Net Units])</f>
        <v>0</v>
      </c>
      <c r="M140" s="100">
        <f>CORNYIELDPERF84[[#This Row],[TOT BU]]*0.65</f>
        <v>0</v>
      </c>
      <c r="N140" s="100">
        <f>CORNYIELDPERF84[[#This Row],[TOT BU]]*0.35</f>
        <v>0</v>
      </c>
      <c r="O140" s="198">
        <f>SUMIF(EXPENSETBL4583[FIELD],CORNYIELDPERF84[[#This Row],[Field]],EXPENSETBL4583[TOTAL])</f>
        <v>0</v>
      </c>
      <c r="P140" s="99" t="e">
        <f>CORNYIELDPERF84[[#This Row],[TOTAL EXP]]/CORNYIELDPERF84[[#This Row],[TOT BU]]</f>
        <v>#DIV/0!</v>
      </c>
      <c r="Q140" s="99">
        <f>SUMIF(EXPENSETBL4583[FIELD],CORNYIELDPERF84[[#This Row],[Field]],EXPENSETBL4583[MCC.ENT])</f>
        <v>0</v>
      </c>
      <c r="R140" s="99" t="e">
        <f>CORNYIELDPERF84[[#This Row],[TOTME]]/CORNYIELDPERF84[[#This Row],[TOT. ME]]</f>
        <v>#DIV/0!</v>
      </c>
      <c r="S140" s="99">
        <f>SUMIF(EXPENSETBL4583[FIELD],CORNYIELDPERF84[[#This Row],[Field]],EXPENSETBL4583[L.L.])</f>
        <v>0</v>
      </c>
      <c r="T140" s="99" t="e">
        <f>CORNYIELDPERF84[[#This Row],[TOT LL2]]/CORNYIELDPERF84[[#This Row],[TOT LL]]</f>
        <v>#DIV/0!</v>
      </c>
      <c r="U140" s="101"/>
      <c r="V140" s="751"/>
      <c r="W140" s="751"/>
      <c r="X140" s="751"/>
      <c r="Y140" s="751"/>
      <c r="Z140" s="751"/>
      <c r="AA140" s="751"/>
      <c r="AB140" s="751"/>
    </row>
    <row r="141" spans="1:28" s="96" customFormat="1" ht="15" hidden="1" customHeight="1" x14ac:dyDescent="0.25">
      <c r="A141" s="99" t="s">
        <v>74</v>
      </c>
      <c r="B141" s="99" t="s">
        <v>21</v>
      </c>
      <c r="C141" s="99" t="s">
        <v>150</v>
      </c>
      <c r="D141" s="99">
        <f>IFERROR((VLOOKUP(CORNYIELDPERF84[[#This Row],[Field]],FIELDACRE,2,FALSE)),"")</f>
        <v>149.76</v>
      </c>
      <c r="E141" s="99" t="str">
        <f>IFERROR(VLOOKUP(CORNYIELDPERF84[[#This Row],[Field]],FIELDACRE,3,FALSE),"")</f>
        <v>SE4 14-7-48</v>
      </c>
      <c r="F141" s="94">
        <f>IFERROR(VLOOKUP(CORNYIELDPERF84[[#This Row],[Field]],FIELDACRE,4,FALSE),"")</f>
        <v>3438</v>
      </c>
      <c r="G141" s="94">
        <f>IFERROR(VLOOKUP(CORNYIELDPERF84[[#This Row],[Field]],FIELDACRE,5,FALSE),"")</f>
        <v>3460</v>
      </c>
      <c r="H141" s="100" t="s">
        <v>283</v>
      </c>
      <c r="I141" s="100"/>
      <c r="J141" s="100">
        <f>IFERROR(CORNYIELDPERF84[[#This Row],[TOT BU]]/CORNYIELDPERF84[[#This Row],[Acres]],"")</f>
        <v>0</v>
      </c>
      <c r="K141" s="100">
        <f>SUMIF(corntbl85[Field],CORNYIELDPERF84[[#This Row],[Field]],corntbl85[Net])</f>
        <v>0</v>
      </c>
      <c r="L141" s="100">
        <f>SUMIF(corntbl85[Field],CORNYIELDPERF84[[#This Row],[Field]],corntbl85[Net Units])</f>
        <v>0</v>
      </c>
      <c r="M141" s="100">
        <f>CORNYIELDPERF84[[#This Row],[TOT BU]]*0.65</f>
        <v>0</v>
      </c>
      <c r="N141" s="100">
        <f>CORNYIELDPERF84[[#This Row],[TOT BU]]*0.35</f>
        <v>0</v>
      </c>
      <c r="O141" s="198">
        <f>SUMIF(EXPENSETBL4583[FIELD],CORNYIELDPERF84[[#This Row],[Field]],EXPENSETBL4583[TOTAL])</f>
        <v>-30589.454999999998</v>
      </c>
      <c r="P141" s="99" t="e">
        <f>CORNYIELDPERF84[[#This Row],[TOTAL EXP]]/CORNYIELDPERF84[[#This Row],[TOT BU]]</f>
        <v>#DIV/0!</v>
      </c>
      <c r="Q141" s="99">
        <f>SUMIF(EXPENSETBL4583[FIELD],CORNYIELDPERF84[[#This Row],[Field]],EXPENSETBL4583[MCC.ENT])</f>
        <v>8.65</v>
      </c>
      <c r="R141" s="99" t="e">
        <f>CORNYIELDPERF84[[#This Row],[TOTME]]/CORNYIELDPERF84[[#This Row],[TOT. ME]]</f>
        <v>#DIV/0!</v>
      </c>
      <c r="S141" s="99">
        <f>SUMIF(EXPENSETBL4583[FIELD],CORNYIELDPERF84[[#This Row],[Field]],EXPENSETBL4583[L.L.])</f>
        <v>0.35</v>
      </c>
      <c r="T141" s="99" t="e">
        <f>CORNYIELDPERF84[[#This Row],[TOT LL2]]/CORNYIELDPERF84[[#This Row],[TOT LL]]</f>
        <v>#DIV/0!</v>
      </c>
      <c r="U141" s="101"/>
      <c r="V141" s="751"/>
      <c r="W141" s="751"/>
      <c r="X141" s="751"/>
      <c r="Y141" s="751"/>
      <c r="Z141" s="751"/>
      <c r="AA141" s="751"/>
      <c r="AB141" s="751"/>
    </row>
    <row r="142" spans="1:28" s="96" customFormat="1" hidden="1" x14ac:dyDescent="0.25">
      <c r="A142" s="99"/>
      <c r="B142" s="99"/>
      <c r="C142" s="99"/>
      <c r="D142" s="99"/>
      <c r="E142" s="99"/>
      <c r="F142" s="94"/>
      <c r="G142" s="94"/>
      <c r="H142" s="99"/>
      <c r="I142" s="99"/>
      <c r="J142" s="99" t="str">
        <f>IFERROR(CORNYIELDPERF84[[#This Row],[TOT BU]]/CORNYIELDPERF84[[#This Row],[Acres]],"")</f>
        <v/>
      </c>
      <c r="K142" s="100">
        <f>SUMIF(corntbl85[Field],CORNYIELDPERF84[[#This Row],[Field]],corntbl85[Net])</f>
        <v>0</v>
      </c>
      <c r="L142" s="100">
        <f>SUMIF(corntbl85[Field],CORNYIELDPERF84[[#This Row],[Field]],corntbl85[Net Units])</f>
        <v>0</v>
      </c>
      <c r="M142" s="99">
        <f>CORNYIELDPERF84[[#This Row],[TOT BU]]*0.65</f>
        <v>0</v>
      </c>
      <c r="N142" s="99">
        <f>CORNYIELDPERF84[[#This Row],[TOT BU]]*0.35</f>
        <v>0</v>
      </c>
      <c r="O142" s="198">
        <f>SUMIF(EXPENSETBL4583[FIELD],CORNYIELDPERF84[[#This Row],[Field]],EXPENSETBL4583[TOTAL])</f>
        <v>0</v>
      </c>
      <c r="P142" s="99" t="e">
        <f>CORNYIELDPERF84[[#This Row],[TOTAL EXP]]/CORNYIELDPERF84[[#This Row],[TOT BU]]</f>
        <v>#DIV/0!</v>
      </c>
      <c r="Q142" s="99">
        <f>SUMIF(EXPENSETBL4583[FIELD],CORNYIELDPERF84[[#This Row],[Field]],EXPENSETBL4583[MCC.ENT])</f>
        <v>0</v>
      </c>
      <c r="R142" s="99" t="e">
        <f>CORNYIELDPERF84[[#This Row],[TOTME]]/CORNYIELDPERF84[[#This Row],[TOT. ME]]</f>
        <v>#DIV/0!</v>
      </c>
      <c r="S142" s="99">
        <f>SUMIF(EXPENSETBL4583[FIELD],CORNYIELDPERF84[[#This Row],[Field]],EXPENSETBL4583[L.L.])</f>
        <v>0</v>
      </c>
      <c r="T142" s="99" t="e">
        <f>CORNYIELDPERF84[[#This Row],[TOT LL2]]/CORNYIELDPERF84[[#This Row],[TOT LL]]</f>
        <v>#DIV/0!</v>
      </c>
      <c r="U142" s="101"/>
      <c r="V142" s="750"/>
      <c r="W142" s="750"/>
      <c r="X142" s="750"/>
      <c r="Y142" s="750"/>
      <c r="Z142" s="750"/>
      <c r="AA142" s="750"/>
      <c r="AB142" s="750"/>
    </row>
    <row r="143" spans="1:28" s="96" customFormat="1" hidden="1" x14ac:dyDescent="0.25">
      <c r="A143" s="99"/>
      <c r="B143" s="99"/>
      <c r="C143" s="99"/>
      <c r="D143" s="99"/>
      <c r="E143" s="99"/>
      <c r="F143" s="94"/>
      <c r="G143" s="94"/>
      <c r="H143" s="99"/>
      <c r="I143" s="99"/>
      <c r="J143" s="99" t="str">
        <f>IFERROR(CORNYIELDPERF84[[#This Row],[TOT BU]]/CORNYIELDPERF84[[#This Row],[Acres]],"")</f>
        <v/>
      </c>
      <c r="K143" s="100">
        <f>SUMIF(corntbl85[Field],CORNYIELDPERF84[[#This Row],[Field]],corntbl85[Net])</f>
        <v>0</v>
      </c>
      <c r="L143" s="100">
        <f>SUMIF(corntbl85[Field],CORNYIELDPERF84[[#This Row],[Field]],corntbl85[Net Units])</f>
        <v>0</v>
      </c>
      <c r="M143" s="99">
        <f>CORNYIELDPERF84[[#This Row],[TOT BU]]*0.65</f>
        <v>0</v>
      </c>
      <c r="N143" s="99">
        <f>CORNYIELDPERF84[[#This Row],[TOT BU]]*0.35</f>
        <v>0</v>
      </c>
      <c r="O143" s="198">
        <f>SUMIF(EXPENSETBL4583[FIELD],CORNYIELDPERF84[[#This Row],[Field]],EXPENSETBL4583[TOTAL])</f>
        <v>0</v>
      </c>
      <c r="P143" s="99" t="e">
        <f>CORNYIELDPERF84[[#This Row],[TOTAL EXP]]/CORNYIELDPERF84[[#This Row],[TOT BU]]</f>
        <v>#DIV/0!</v>
      </c>
      <c r="Q143" s="99">
        <f>SUMIF(EXPENSETBL4583[FIELD],CORNYIELDPERF84[[#This Row],[Field]],EXPENSETBL4583[MCC.ENT])</f>
        <v>0</v>
      </c>
      <c r="R143" s="99" t="e">
        <f>CORNYIELDPERF84[[#This Row],[TOTME]]/CORNYIELDPERF84[[#This Row],[TOT. ME]]</f>
        <v>#DIV/0!</v>
      </c>
      <c r="S143" s="99">
        <f>SUMIF(EXPENSETBL4583[FIELD],CORNYIELDPERF84[[#This Row],[Field]],EXPENSETBL4583[L.L.])</f>
        <v>0</v>
      </c>
      <c r="T143" s="99" t="e">
        <f>CORNYIELDPERF84[[#This Row],[TOT LL2]]/CORNYIELDPERF84[[#This Row],[TOT LL]]</f>
        <v>#DIV/0!</v>
      </c>
      <c r="U143" s="101"/>
      <c r="V143" s="759" t="s">
        <v>606</v>
      </c>
      <c r="W143" s="760"/>
      <c r="X143" s="760"/>
      <c r="Y143" s="761" t="s">
        <v>607</v>
      </c>
      <c r="Z143" s="762"/>
      <c r="AA143" s="285" t="s">
        <v>608</v>
      </c>
      <c r="AB143" s="285" t="s">
        <v>609</v>
      </c>
    </row>
    <row r="144" spans="1:28" s="96" customFormat="1" hidden="1" x14ac:dyDescent="0.25">
      <c r="A144" s="99"/>
      <c r="B144" s="99"/>
      <c r="C144" s="99"/>
      <c r="D144" s="99"/>
      <c r="E144" s="99"/>
      <c r="F144" s="94"/>
      <c r="G144" s="94"/>
      <c r="H144" s="99"/>
      <c r="I144" s="99"/>
      <c r="J144" s="99" t="str">
        <f>IFERROR(CORNYIELDPERF84[[#This Row],[TOT BU]]/CORNYIELDPERF84[[#This Row],[Acres]],"")</f>
        <v/>
      </c>
      <c r="K144" s="100">
        <f>SUMIF(corntbl85[Field],CORNYIELDPERF84[[#This Row],[Field]],corntbl85[Net])</f>
        <v>0</v>
      </c>
      <c r="L144" s="100">
        <f>SUMIF(corntbl85[Field],CORNYIELDPERF84[[#This Row],[Field]],corntbl85[Net Units])</f>
        <v>0</v>
      </c>
      <c r="M144" s="99">
        <f>CORNYIELDPERF84[[#This Row],[TOT BU]]*0.65</f>
        <v>0</v>
      </c>
      <c r="N144" s="99">
        <f>CORNYIELDPERF84[[#This Row],[TOT BU]]*0.35</f>
        <v>0</v>
      </c>
      <c r="O144" s="198">
        <f>SUMIF(EXPENSETBL4583[FIELD],CORNYIELDPERF84[[#This Row],[Field]],EXPENSETBL4583[TOTAL])</f>
        <v>0</v>
      </c>
      <c r="P144" s="99" t="e">
        <f>CORNYIELDPERF84[[#This Row],[TOTAL EXP]]/CORNYIELDPERF84[[#This Row],[TOT BU]]</f>
        <v>#DIV/0!</v>
      </c>
      <c r="Q144" s="99">
        <f>SUMIF(EXPENSETBL4583[FIELD],CORNYIELDPERF84[[#This Row],[Field]],EXPENSETBL4583[MCC.ENT])</f>
        <v>0</v>
      </c>
      <c r="R144" s="99" t="e">
        <f>CORNYIELDPERF84[[#This Row],[TOTME]]/CORNYIELDPERF84[[#This Row],[TOT. ME]]</f>
        <v>#DIV/0!</v>
      </c>
      <c r="S144" s="99">
        <f>SUMIF(EXPENSETBL4583[FIELD],CORNYIELDPERF84[[#This Row],[Field]],EXPENSETBL4583[L.L.])</f>
        <v>0</v>
      </c>
      <c r="T144" s="99" t="e">
        <f>CORNYIELDPERF84[[#This Row],[TOT LL2]]/CORNYIELDPERF84[[#This Row],[TOT LL]]</f>
        <v>#DIV/0!</v>
      </c>
      <c r="U144" s="101"/>
      <c r="V144" s="752" t="s">
        <v>32</v>
      </c>
      <c r="W144" s="753"/>
      <c r="X144" s="754"/>
      <c r="Y144" s="752">
        <v>3679.59</v>
      </c>
      <c r="Z144" s="754"/>
      <c r="AA144" s="288">
        <v>705.99</v>
      </c>
      <c r="AB144" s="288">
        <f>Y144-AA144</f>
        <v>2973.6000000000004</v>
      </c>
    </row>
    <row r="145" spans="1:28" s="96" customFormat="1" hidden="1" x14ac:dyDescent="0.25">
      <c r="A145" s="99"/>
      <c r="B145" s="99"/>
      <c r="C145" s="99"/>
      <c r="D145" s="99"/>
      <c r="E145" s="99"/>
      <c r="F145" s="94"/>
      <c r="G145" s="94"/>
      <c r="H145" s="100"/>
      <c r="I145" s="100"/>
      <c r="J145" s="100" t="str">
        <f>IFERROR(CORNYIELDPERF84[[#This Row],[TOT BU]]/CORNYIELDPERF84[[#This Row],[Acres]],"")</f>
        <v/>
      </c>
      <c r="K145" s="100">
        <f>SUMIF(corntbl85[Field],CORNYIELDPERF84[[#This Row],[Field]],corntbl85[Net])</f>
        <v>0</v>
      </c>
      <c r="L145" s="100">
        <f>SUMIF(corntbl85[Field],CORNYIELDPERF84[[#This Row],[Field]],corntbl85[Net Units])</f>
        <v>0</v>
      </c>
      <c r="M145" s="100">
        <f>CORNYIELDPERF84[[#This Row],[TOT BU]]*0.65</f>
        <v>0</v>
      </c>
      <c r="N145" s="100">
        <f>CORNYIELDPERF84[[#This Row],[TOT BU]]*0.35</f>
        <v>0</v>
      </c>
      <c r="O145" s="198">
        <f>SUMIF(EXPENSETBL4583[FIELD],CORNYIELDPERF84[[#This Row],[Field]],EXPENSETBL4583[TOTAL])</f>
        <v>0</v>
      </c>
      <c r="P145" s="99" t="e">
        <f>CORNYIELDPERF84[[#This Row],[TOTAL EXP]]/CORNYIELDPERF84[[#This Row],[TOT BU]]</f>
        <v>#DIV/0!</v>
      </c>
      <c r="Q145" s="99">
        <f>SUMIF(EXPENSETBL4583[FIELD],CORNYIELDPERF84[[#This Row],[Field]],EXPENSETBL4583[MCC.ENT])</f>
        <v>0</v>
      </c>
      <c r="R145" s="99" t="e">
        <f>CORNYIELDPERF84[[#This Row],[TOTME]]/CORNYIELDPERF84[[#This Row],[TOT. ME]]</f>
        <v>#DIV/0!</v>
      </c>
      <c r="S145" s="99">
        <f>SUMIF(EXPENSETBL4583[FIELD],CORNYIELDPERF84[[#This Row],[Field]],EXPENSETBL4583[L.L.])</f>
        <v>0</v>
      </c>
      <c r="T145" s="99" t="e">
        <f>CORNYIELDPERF84[[#This Row],[TOT LL2]]/CORNYIELDPERF84[[#This Row],[TOT LL]]</f>
        <v>#DIV/0!</v>
      </c>
      <c r="U145" s="101"/>
      <c r="V145" s="752" t="s">
        <v>80</v>
      </c>
      <c r="W145" s="753"/>
      <c r="X145" s="754"/>
      <c r="Y145" s="286"/>
      <c r="Z145" s="287"/>
      <c r="AA145" s="288"/>
      <c r="AB145" s="288">
        <f t="shared" ref="AB145:AB146" si="17">Y145-AA145</f>
        <v>0</v>
      </c>
    </row>
    <row r="146" spans="1:28" s="96" customFormat="1" hidden="1" x14ac:dyDescent="0.25">
      <c r="A146" s="99"/>
      <c r="B146" s="99"/>
      <c r="C146" s="99"/>
      <c r="D146" s="99"/>
      <c r="E146" s="99"/>
      <c r="F146" s="94"/>
      <c r="G146" s="94"/>
      <c r="H146" s="99"/>
      <c r="I146" s="99"/>
      <c r="J146" s="99" t="str">
        <f>IFERROR(CORNYIELDPERF84[[#This Row],[TOT BU]]/CORNYIELDPERF84[[#This Row],[Acres]],"")</f>
        <v/>
      </c>
      <c r="K146" s="99">
        <f>SUMIF(corntbl85[Field],CORNYIELDPERF84[[#This Row],[Field]],corntbl85[Net])</f>
        <v>0</v>
      </c>
      <c r="L146" s="99">
        <f>SUMIF(corntbl85[Field],CORNYIELDPERF84[[#This Row],[Field]],corntbl85[Net Units])</f>
        <v>0</v>
      </c>
      <c r="M146" s="99">
        <f>CORNYIELDPERF84[[#This Row],[TOT BU]]*0.65</f>
        <v>0</v>
      </c>
      <c r="N146" s="99">
        <f>CORNYIELDPERF84[[#This Row],[TOT BU]]*0.35</f>
        <v>0</v>
      </c>
      <c r="O146" s="198">
        <f>SUMIF(EXPENSETBL4583[FIELD],CORNYIELDPERF84[[#This Row],[Field]],EXPENSETBL4583[TOTAL])</f>
        <v>0</v>
      </c>
      <c r="P146" s="99" t="e">
        <f>CORNYIELDPERF84[[#This Row],[TOTAL EXP]]/CORNYIELDPERF84[[#This Row],[TOT BU]]</f>
        <v>#DIV/0!</v>
      </c>
      <c r="Q146" s="99">
        <f>SUMIF(EXPENSETBL4583[FIELD],CORNYIELDPERF84[[#This Row],[Field]],EXPENSETBL4583[MCC.ENT])</f>
        <v>0</v>
      </c>
      <c r="R146" s="99" t="e">
        <f>CORNYIELDPERF84[[#This Row],[TOTME]]/CORNYIELDPERF84[[#This Row],[TOT. ME]]</f>
        <v>#DIV/0!</v>
      </c>
      <c r="S146" s="99">
        <f>SUMIF(EXPENSETBL4583[FIELD],CORNYIELDPERF84[[#This Row],[Field]],EXPENSETBL4583[L.L.])</f>
        <v>0</v>
      </c>
      <c r="T146" s="99" t="e">
        <f>CORNYIELDPERF84[[#This Row],[TOT LL2]]/CORNYIELDPERF84[[#This Row],[TOT LL]]</f>
        <v>#DIV/0!</v>
      </c>
      <c r="U146" s="101"/>
      <c r="V146" s="752" t="s">
        <v>21</v>
      </c>
      <c r="W146" s="753"/>
      <c r="X146" s="754"/>
      <c r="Y146" s="752">
        <v>3337.31</v>
      </c>
      <c r="Z146" s="754"/>
      <c r="AA146" s="288">
        <v>1050.96</v>
      </c>
      <c r="AB146" s="288">
        <f t="shared" si="17"/>
        <v>2286.35</v>
      </c>
    </row>
    <row r="147" spans="1:28" s="96" customFormat="1" hidden="1" x14ac:dyDescent="0.25">
      <c r="A147" s="99" t="s">
        <v>74</v>
      </c>
      <c r="B147" s="99" t="s">
        <v>75</v>
      </c>
      <c r="C147" s="99" t="s">
        <v>215</v>
      </c>
      <c r="D147" s="99">
        <f>IFERROR((VLOOKUP(CORNYIELDPERF84[[#This Row],[Field]],FIELDACRE,2,FALSE)),"")</f>
        <v>158.71</v>
      </c>
      <c r="E147" s="99" t="str">
        <f>IFERROR(VLOOKUP(CORNYIELDPERF84[[#This Row],[Field]],FIELDACRE,3,FALSE),"")</f>
        <v>NE4 6-6-46</v>
      </c>
      <c r="F147" s="94">
        <f>IFERROR(VLOOKUP(CORNYIELDPERF84[[#This Row],[Field]],FIELDACRE,4,FALSE),"")</f>
        <v>50</v>
      </c>
      <c r="G147" s="94">
        <f>IFERROR(VLOOKUP(CORNYIELDPERF84[[#This Row],[Field]],FIELDACRE,5,FALSE),"")</f>
        <v>1339</v>
      </c>
      <c r="H147" s="99" t="s">
        <v>283</v>
      </c>
      <c r="I147" s="99"/>
      <c r="J147" s="99">
        <f>IFERROR(CORNYIELDPERF84[[#This Row],[TOT BU]]/CORNYIELDPERF84[[#This Row],[Acres]],"")</f>
        <v>0</v>
      </c>
      <c r="K147" s="99">
        <f>SUMIF(corntbl85[Field],CORNYIELDPERF84[[#This Row],[Field]],corntbl85[Net])</f>
        <v>0</v>
      </c>
      <c r="L147" s="99">
        <f>SUMIF(corntbl85[Field],CORNYIELDPERF84[[#This Row],[Field]],corntbl85[Net Units])</f>
        <v>0</v>
      </c>
      <c r="M147" s="99">
        <f>CORNYIELDPERF84[[#This Row],[TOT BU]]*0.65</f>
        <v>0</v>
      </c>
      <c r="N147" s="99">
        <f>CORNYIELDPERF84[[#This Row],[TOT BU]]*0.35</f>
        <v>0</v>
      </c>
      <c r="O147" s="198">
        <f>SUMIF(EXPENSETBL4583[FIELD],CORNYIELDPERF84[[#This Row],[Field]],EXPENSETBL4583[TOTAL])</f>
        <v>0</v>
      </c>
      <c r="P147" s="99" t="e">
        <f>CORNYIELDPERF84[[#This Row],[TOTAL EXP]]/CORNYIELDPERF84[[#This Row],[TOT BU]]</f>
        <v>#DIV/0!</v>
      </c>
      <c r="Q147" s="99">
        <f>SUMIF(EXPENSETBL4583[FIELD],CORNYIELDPERF84[[#This Row],[Field]],EXPENSETBL4583[MCC.ENT])</f>
        <v>0</v>
      </c>
      <c r="R147" s="99" t="e">
        <f>CORNYIELDPERF84[[#This Row],[TOTME]]/CORNYIELDPERF84[[#This Row],[TOT. ME]]</f>
        <v>#DIV/0!</v>
      </c>
      <c r="S147" s="99">
        <f>SUMIF(EXPENSETBL4583[FIELD],CORNYIELDPERF84[[#This Row],[Field]],EXPENSETBL4583[L.L.])</f>
        <v>0</v>
      </c>
      <c r="T147" s="99" t="e">
        <f>CORNYIELDPERF84[[#This Row],[TOT LL2]]/CORNYIELDPERF84[[#This Row],[TOT LL]]</f>
        <v>#DIV/0!</v>
      </c>
      <c r="U147" s="101"/>
      <c r="V147" s="101"/>
      <c r="W147" s="101"/>
      <c r="X147" s="101"/>
      <c r="Y147" s="101"/>
      <c r="Z147" s="101"/>
    </row>
    <row r="148" spans="1:28" s="96" customFormat="1" hidden="1" x14ac:dyDescent="0.25">
      <c r="A148" s="99"/>
      <c r="B148" s="99"/>
      <c r="C148" s="99"/>
      <c r="D148" s="99"/>
      <c r="E148" s="99"/>
      <c r="F148" s="94"/>
      <c r="G148" s="94"/>
      <c r="H148" s="99"/>
      <c r="I148" s="99"/>
      <c r="J148" s="99" t="str">
        <f>IFERROR(CORNYIELDPERF84[[#This Row],[TOT BU]]/CORNYIELDPERF84[[#This Row],[Acres]],"")</f>
        <v/>
      </c>
      <c r="K148" s="99">
        <f>SUMIF(corntbl85[Field],CORNYIELDPERF84[[#This Row],[Field]],corntbl85[Net])</f>
        <v>0</v>
      </c>
      <c r="L148" s="99">
        <f>SUMIF(corntbl85[Field],CORNYIELDPERF84[[#This Row],[Field]],corntbl85[Net Units])</f>
        <v>0</v>
      </c>
      <c r="M148" s="99">
        <f>CORNYIELDPERF84[[#This Row],[TOT BU]]*0.65</f>
        <v>0</v>
      </c>
      <c r="N148" s="99">
        <f>CORNYIELDPERF84[[#This Row],[TOT BU]]*0.35</f>
        <v>0</v>
      </c>
      <c r="O148" s="198">
        <f>SUMIF(EXPENSETBL4583[FIELD],CORNYIELDPERF84[[#This Row],[Field]],EXPENSETBL4583[TOTAL])</f>
        <v>0</v>
      </c>
      <c r="P148" s="99" t="e">
        <f>CORNYIELDPERF84[[#This Row],[TOTAL EXP]]/CORNYIELDPERF84[[#This Row],[TOT BU]]</f>
        <v>#DIV/0!</v>
      </c>
      <c r="Q148" s="99">
        <f>SUMIF(EXPENSETBL4583[FIELD],CORNYIELDPERF84[[#This Row],[Field]],EXPENSETBL4583[MCC.ENT])</f>
        <v>0</v>
      </c>
      <c r="R148" s="99" t="e">
        <f>CORNYIELDPERF84[[#This Row],[TOTME]]/CORNYIELDPERF84[[#This Row],[TOT. ME]]</f>
        <v>#DIV/0!</v>
      </c>
      <c r="S148" s="99">
        <f>SUMIF(EXPENSETBL4583[FIELD],CORNYIELDPERF84[[#This Row],[Field]],EXPENSETBL4583[L.L.])</f>
        <v>0</v>
      </c>
      <c r="T148" s="99" t="e">
        <f>CORNYIELDPERF84[[#This Row],[TOT LL2]]/CORNYIELDPERF84[[#This Row],[TOT LL]]</f>
        <v>#DIV/0!</v>
      </c>
      <c r="U148" s="101"/>
      <c r="V148" s="752" t="s">
        <v>75</v>
      </c>
      <c r="W148" s="753"/>
      <c r="X148" s="754"/>
      <c r="Y148" s="752"/>
      <c r="Z148" s="754"/>
      <c r="AA148" s="288"/>
      <c r="AB148" s="288">
        <f>Y148-AA148</f>
        <v>0</v>
      </c>
    </row>
    <row r="149" spans="1:28" s="96" customFormat="1" hidden="1" x14ac:dyDescent="0.25">
      <c r="A149" s="99" t="s">
        <v>74</v>
      </c>
      <c r="B149" s="99" t="s">
        <v>32</v>
      </c>
      <c r="C149" s="99" t="s">
        <v>252</v>
      </c>
      <c r="D149" s="99">
        <f>IFERROR((VLOOKUP(CORNYIELDPERF84[[#This Row],[Field]],FIELDACRE,2,FALSE)),"")</f>
        <v>98.77</v>
      </c>
      <c r="E149" s="99" t="str">
        <f>IFERROR(VLOOKUP(CORNYIELDPERF84[[#This Row],[Field]],FIELDACRE,3,FALSE),"")</f>
        <v>NE4 8-8-47</v>
      </c>
      <c r="F149" s="94">
        <f>IFERROR(VLOOKUP(CORNYIELDPERF84[[#This Row],[Field]],FIELDACRE,4,FALSE),"")</f>
        <v>2522</v>
      </c>
      <c r="G149" s="94">
        <f>IFERROR(VLOOKUP(CORNYIELDPERF84[[#This Row],[Field]],FIELDACRE,5,FALSE),"")</f>
        <v>1534</v>
      </c>
      <c r="H149" s="100" t="s">
        <v>283</v>
      </c>
      <c r="I149" s="100"/>
      <c r="J149" s="100">
        <f>IFERROR(CORNYIELDPERF84[[#This Row],[TOT BU]]/CORNYIELDPERF84[[#This Row],[Acres]],"")</f>
        <v>0</v>
      </c>
      <c r="K149" s="100">
        <f>SUMIF(corntbl85[Field],CORNYIELDPERF84[[#This Row],[Field]],corntbl85[Net])</f>
        <v>0</v>
      </c>
      <c r="L149" s="100">
        <f>SUMIF(corntbl85[Field],CORNYIELDPERF84[[#This Row],[Field]],corntbl85[Net Units])</f>
        <v>0</v>
      </c>
      <c r="M149" s="100">
        <f>CORNYIELDPERF84[[#This Row],[TOT BU]]*0.65</f>
        <v>0</v>
      </c>
      <c r="N149" s="100">
        <f>CORNYIELDPERF84[[#This Row],[TOT BU]]*0.35</f>
        <v>0</v>
      </c>
      <c r="O149" s="199">
        <f>SUMIF(EXPENSETBL4583[FIELD],CORNYIELDPERF84[[#This Row],[Field]],EXPENSETBL4583[TOTAL])</f>
        <v>-3580.4124999999999</v>
      </c>
      <c r="P149" s="197" t="e">
        <f>CORNYIELDPERF84[[#This Row],[TOTAL EXP]]/CORNYIELDPERF84[[#This Row],[TOT BU]]</f>
        <v>#DIV/0!</v>
      </c>
      <c r="Q149" s="197">
        <f>SUMIF(EXPENSETBL4583[FIELD],CORNYIELDPERF84[[#This Row],[Field]],EXPENSETBL4583[MCC.ENT])</f>
        <v>3</v>
      </c>
      <c r="R149" s="197" t="e">
        <f>CORNYIELDPERF84[[#This Row],[TOTME]]/CORNYIELDPERF84[[#This Row],[TOT. ME]]</f>
        <v>#DIV/0!</v>
      </c>
      <c r="S149" s="197">
        <f>SUMIF(EXPENSETBL4583[FIELD],CORNYIELDPERF84[[#This Row],[Field]],EXPENSETBL4583[L.L.])</f>
        <v>0</v>
      </c>
      <c r="T149" s="197" t="e">
        <f>CORNYIELDPERF84[[#This Row],[TOT LL2]]/CORNYIELDPERF84[[#This Row],[TOT LL]]</f>
        <v>#DIV/0!</v>
      </c>
      <c r="U149" s="101"/>
      <c r="V149" s="101"/>
      <c r="W149" s="101"/>
      <c r="X149" s="101"/>
      <c r="Y149" s="101"/>
      <c r="Z149" s="101"/>
    </row>
    <row r="150" spans="1:28" s="96" customFormat="1" ht="18.75" hidden="1" x14ac:dyDescent="0.3">
      <c r="A150" s="103" t="s">
        <v>38</v>
      </c>
      <c r="B150" s="103"/>
      <c r="C150" s="103"/>
      <c r="D150" s="103">
        <f>SUBTOTAL(109,CORNYIELDPERF84[Acres])</f>
        <v>0</v>
      </c>
      <c r="E150" s="103"/>
      <c r="F150" s="103"/>
      <c r="G150" s="103"/>
      <c r="H150" s="104"/>
      <c r="I150" s="103"/>
      <c r="J150" s="103" t="e">
        <f>SUBTOTAL(101,CORNYIELDPERF84[Yield/ Acre])</f>
        <v>#DIV/0!</v>
      </c>
      <c r="K150" s="103"/>
      <c r="L150" s="103">
        <f>SUBTOTAL(109,CORNYIELDPERF84[TOT BU])</f>
        <v>0</v>
      </c>
      <c r="M150" s="103">
        <f>SUBTOTAL(109,CORNYIELDPERF84[TOT. ME])</f>
        <v>0</v>
      </c>
      <c r="N150" s="103">
        <f>SUBTOTAL(109,N136:N149)</f>
        <v>0</v>
      </c>
      <c r="O150" s="145"/>
      <c r="P150" s="145"/>
      <c r="Q150" s="145"/>
      <c r="R150" s="145"/>
      <c r="S150" s="145"/>
      <c r="T150" s="145"/>
      <c r="U150" s="101"/>
      <c r="V150" s="752" t="s">
        <v>26</v>
      </c>
      <c r="W150" s="753"/>
      <c r="X150" s="754"/>
      <c r="Y150" s="752"/>
      <c r="Z150" s="754"/>
      <c r="AA150" s="288"/>
      <c r="AB150" s="288">
        <f>Y150-AA150</f>
        <v>0</v>
      </c>
    </row>
    <row r="151" spans="1:28" s="96" customFormat="1" ht="18.75" hidden="1" x14ac:dyDescent="0.3">
      <c r="A151" s="277"/>
      <c r="B151" s="277"/>
      <c r="C151" s="277"/>
      <c r="D151" s="277"/>
      <c r="E151" s="277"/>
      <c r="F151" s="277"/>
      <c r="G151" s="277"/>
      <c r="H151" s="278"/>
      <c r="I151" s="277"/>
      <c r="J151" s="277"/>
      <c r="K151" s="277"/>
      <c r="L151" s="277"/>
      <c r="M151" s="277"/>
      <c r="N151" s="277"/>
      <c r="O151" s="279"/>
      <c r="P151" s="279"/>
      <c r="Q151" s="279"/>
      <c r="R151" s="279"/>
      <c r="S151" s="279"/>
      <c r="T151" s="279"/>
      <c r="U151" s="101"/>
      <c r="V151" s="101"/>
      <c r="W151" s="101"/>
      <c r="X151" s="101"/>
      <c r="Y151" s="101"/>
      <c r="Z151" s="101"/>
      <c r="AA151" s="282"/>
      <c r="AB151" s="282"/>
    </row>
    <row r="152" spans="1:28" s="96" customFormat="1" ht="18.75" hidden="1" x14ac:dyDescent="0.3">
      <c r="A152" s="114"/>
      <c r="B152" s="114"/>
      <c r="C152" s="114"/>
      <c r="D152" s="114"/>
      <c r="E152" s="114"/>
      <c r="F152" s="114"/>
      <c r="G152" s="114"/>
      <c r="H152" s="104"/>
      <c r="I152" s="101"/>
      <c r="J152" s="114" t="s">
        <v>560</v>
      </c>
      <c r="K152" s="132" t="e">
        <f>CORNSOLDTBL4482[[#Totals],[Price]]</f>
        <v>#DIV/0!</v>
      </c>
      <c r="L152" s="132" t="e">
        <f>CORNYIELDPERF84[[#Totals],[TOT BU]]*K152</f>
        <v>#DIV/0!</v>
      </c>
      <c r="M152" s="132" t="e">
        <f>CORNYIELDPERF84[[#Totals],[TOT. ME]]*K152</f>
        <v>#DIV/0!</v>
      </c>
      <c r="N152" s="132" t="e">
        <f>CORNYIELDPERF84[[#Totals],[TOT LL]]*K152</f>
        <v>#DIV/0!</v>
      </c>
      <c r="O152" s="114"/>
      <c r="P152" s="112"/>
      <c r="Q152" s="102"/>
      <c r="R152" s="112"/>
      <c r="S152" s="112"/>
      <c r="T152" s="112"/>
      <c r="U152" s="101"/>
      <c r="V152" s="101"/>
      <c r="W152" s="101"/>
      <c r="X152" s="101"/>
      <c r="Y152" s="101"/>
      <c r="Z152" s="101"/>
      <c r="AA152" s="282"/>
      <c r="AB152" s="282"/>
    </row>
    <row r="153" spans="1:28" s="96" customFormat="1" ht="22.5" hidden="1" x14ac:dyDescent="0.25">
      <c r="A153" s="204" t="s">
        <v>561</v>
      </c>
      <c r="B153" s="204" t="s">
        <v>562</v>
      </c>
      <c r="C153" s="204" t="s">
        <v>601</v>
      </c>
      <c r="D153" s="204" t="s">
        <v>611</v>
      </c>
      <c r="E153" s="205" t="s">
        <v>612</v>
      </c>
      <c r="F153" s="206" t="s">
        <v>613</v>
      </c>
      <c r="G153" s="207" t="s">
        <v>476</v>
      </c>
      <c r="H153" s="208" t="s">
        <v>614</v>
      </c>
      <c r="I153" s="208" t="s">
        <v>615</v>
      </c>
      <c r="J153" s="114"/>
      <c r="K153" s="132">
        <v>5.35</v>
      </c>
      <c r="L153" s="132">
        <f>CORNYIELDPERF84[[#Totals],[TOT BU]]*K153</f>
        <v>0</v>
      </c>
      <c r="M153" s="132">
        <f>CORNYIELDPERF84[[#Totals],[TOT. ME]]*K153</f>
        <v>0</v>
      </c>
      <c r="N153" s="132">
        <f>CORNYIELDPERF84[[#Totals],[TOT LL]]*K153</f>
        <v>0</v>
      </c>
      <c r="O153" s="114"/>
      <c r="P153" s="112"/>
      <c r="Q153" s="194" t="s">
        <v>488</v>
      </c>
      <c r="R153" s="194">
        <f>CORNYIELDPERF84[[#Totals],[TOT. ME]]</f>
        <v>0</v>
      </c>
      <c r="S153" s="112"/>
      <c r="T153" s="112"/>
      <c r="U153" s="101"/>
      <c r="V153" s="101"/>
      <c r="W153" s="101"/>
      <c r="X153" s="101"/>
      <c r="Y153" s="101"/>
      <c r="Z153" s="101"/>
      <c r="AA153" s="282"/>
      <c r="AB153" s="282"/>
    </row>
    <row r="154" spans="1:28" s="96" customFormat="1" ht="22.5" hidden="1" x14ac:dyDescent="0.45">
      <c r="A154" s="200"/>
      <c r="B154" s="201"/>
      <c r="C154" s="201"/>
      <c r="D154" s="201"/>
      <c r="E154" s="201"/>
      <c r="F154" s="210"/>
      <c r="G154" s="202"/>
      <c r="H154" s="215"/>
      <c r="I154" s="211"/>
      <c r="J154" s="114"/>
      <c r="K154" s="132">
        <v>5</v>
      </c>
      <c r="L154" s="132">
        <f>CORNYIELDPERF84[[#Totals],[TOT BU]]*K154</f>
        <v>0</v>
      </c>
      <c r="M154" s="132">
        <f>CORNYIELDPERF84[[#Totals],[TOT. ME]]*K154</f>
        <v>0</v>
      </c>
      <c r="N154" s="132">
        <f>CORNYIELDPERF84[[#Totals],[TOT LL]]*K154</f>
        <v>0</v>
      </c>
      <c r="O154" s="114"/>
      <c r="P154" s="112"/>
      <c r="Q154" s="195" t="s">
        <v>824</v>
      </c>
      <c r="R154" s="195">
        <f>CORNSOLDTBL4482[[#Totals],[SOLD BU]]</f>
        <v>0</v>
      </c>
      <c r="S154" s="112"/>
      <c r="T154" s="112"/>
      <c r="U154" s="101"/>
      <c r="V154" s="101"/>
      <c r="W154" s="101"/>
      <c r="X154" s="101"/>
      <c r="Y154" s="101"/>
      <c r="Z154" s="101"/>
      <c r="AA154" s="282"/>
      <c r="AB154" s="282"/>
    </row>
    <row r="155" spans="1:28" s="96" customFormat="1" ht="22.5" hidden="1" x14ac:dyDescent="0.45">
      <c r="A155" s="200"/>
      <c r="B155" s="201"/>
      <c r="C155" s="201"/>
      <c r="D155" s="201"/>
      <c r="E155" s="201"/>
      <c r="F155" s="210"/>
      <c r="G155" s="202"/>
      <c r="H155" s="216"/>
      <c r="I155" s="212"/>
      <c r="J155" s="114"/>
      <c r="K155" s="132">
        <v>2.5299999999999998</v>
      </c>
      <c r="L155" s="132">
        <f>CORNYIELDPERF84[[#Totals],[TOT BU]]*K155</f>
        <v>0</v>
      </c>
      <c r="M155" s="132">
        <f>CORNYIELDPERF84[[#Totals],[TOT. ME]]*K155</f>
        <v>0</v>
      </c>
      <c r="N155" s="132">
        <f>CORNYIELDPERF84[[#Totals],[TOT LL]]*K155</f>
        <v>0</v>
      </c>
      <c r="O155" s="114"/>
      <c r="P155" s="112"/>
      <c r="Q155" s="195" t="s">
        <v>825</v>
      </c>
      <c r="R155" s="195">
        <f>R153-R154</f>
        <v>0</v>
      </c>
      <c r="S155" s="112"/>
      <c r="T155" s="112"/>
      <c r="U155" s="101"/>
      <c r="V155" s="101"/>
      <c r="W155" s="101"/>
      <c r="X155" s="101"/>
      <c r="Y155" s="101"/>
      <c r="Z155" s="101"/>
      <c r="AA155" s="282"/>
      <c r="AB155" s="282"/>
    </row>
    <row r="156" spans="1:28" s="96" customFormat="1" ht="18.75" hidden="1" x14ac:dyDescent="0.25">
      <c r="A156" s="200"/>
      <c r="B156" s="201"/>
      <c r="C156" s="201"/>
      <c r="D156" s="201"/>
      <c r="E156" s="201"/>
      <c r="F156" s="210"/>
      <c r="G156" s="202"/>
      <c r="H156" s="216"/>
      <c r="I156" s="212"/>
      <c r="J156" s="114"/>
      <c r="K156" s="114"/>
      <c r="L156" s="114"/>
      <c r="M156" s="114"/>
      <c r="N156" s="114"/>
      <c r="O156" s="114"/>
      <c r="P156" s="112"/>
      <c r="Q156" s="102"/>
      <c r="R156" s="112"/>
      <c r="S156" s="112"/>
      <c r="T156" s="112"/>
      <c r="U156" s="101"/>
      <c r="V156" s="101"/>
      <c r="W156" s="101"/>
      <c r="X156" s="101"/>
      <c r="Y156" s="101"/>
      <c r="Z156" s="101"/>
      <c r="AA156" s="282"/>
      <c r="AB156" s="282"/>
    </row>
    <row r="157" spans="1:28" s="96" customFormat="1" ht="18.75" hidden="1" x14ac:dyDescent="0.25">
      <c r="A157" s="200"/>
      <c r="B157" s="201"/>
      <c r="C157" s="201"/>
      <c r="D157" s="201"/>
      <c r="E157" s="201"/>
      <c r="F157" s="210"/>
      <c r="G157" s="202"/>
      <c r="H157" s="216"/>
      <c r="I157" s="212"/>
      <c r="J157" s="142" t="s">
        <v>574</v>
      </c>
      <c r="K157" s="143" t="e">
        <f>K152</f>
        <v>#DIV/0!</v>
      </c>
      <c r="L157" s="141">
        <f>K153</f>
        <v>5.35</v>
      </c>
      <c r="M157" s="141">
        <f>K154</f>
        <v>5</v>
      </c>
      <c r="N157" s="141">
        <f>K155</f>
        <v>2.5299999999999998</v>
      </c>
      <c r="O157" s="114"/>
      <c r="P157" s="112"/>
      <c r="Q157" s="102"/>
      <c r="R157" s="112"/>
      <c r="S157" s="112"/>
      <c r="T157" s="112"/>
      <c r="U157" s="101"/>
      <c r="V157" s="101"/>
      <c r="W157" s="101"/>
      <c r="X157" s="101"/>
      <c r="Y157" s="101"/>
      <c r="Z157" s="101"/>
      <c r="AA157" s="282"/>
      <c r="AB157" s="282"/>
    </row>
    <row r="158" spans="1:28" s="96" customFormat="1" ht="18.75" hidden="1" x14ac:dyDescent="0.25">
      <c r="A158" s="200"/>
      <c r="B158" s="201"/>
      <c r="C158" s="201"/>
      <c r="D158" s="201"/>
      <c r="E158" s="201"/>
      <c r="F158" s="210"/>
      <c r="G158" s="202"/>
      <c r="H158" s="216"/>
      <c r="I158" s="212"/>
      <c r="J158" s="142" t="s">
        <v>618</v>
      </c>
      <c r="K158" s="143" t="e">
        <f>L152/CORNYIELDPERF84[[#Totals],[Acres]]</f>
        <v>#DIV/0!</v>
      </c>
      <c r="L158" s="141" t="e">
        <f>L153/CORNYIELDPERF84[[#Totals],[Acres]]</f>
        <v>#DIV/0!</v>
      </c>
      <c r="M158" s="141" t="e">
        <f>L154/CORNYIELDPERF84[[#Totals],[Acres]]</f>
        <v>#DIV/0!</v>
      </c>
      <c r="N158" s="141" t="e">
        <f>L155/CORNYIELDPERF84[[#Totals],[Acres]]</f>
        <v>#DIV/0!</v>
      </c>
      <c r="O158" s="114"/>
      <c r="P158" s="112"/>
      <c r="Q158" s="102"/>
      <c r="R158" s="112"/>
      <c r="S158" s="112"/>
      <c r="T158" s="112"/>
      <c r="U158" s="101"/>
      <c r="V158" s="101"/>
      <c r="W158" s="101"/>
      <c r="X158" s="101"/>
      <c r="Y158" s="101"/>
      <c r="Z158" s="101"/>
      <c r="AA158" s="282"/>
      <c r="AB158" s="282"/>
    </row>
    <row r="159" spans="1:28" s="96" customFormat="1" ht="18.75" hidden="1" x14ac:dyDescent="0.25">
      <c r="A159" s="200"/>
      <c r="B159" s="201"/>
      <c r="C159" s="201"/>
      <c r="D159" s="201"/>
      <c r="E159" s="201"/>
      <c r="F159" s="210"/>
      <c r="G159" s="202"/>
      <c r="H159" s="216"/>
      <c r="I159" s="212"/>
      <c r="J159" s="142" t="s">
        <v>619</v>
      </c>
      <c r="K159" s="142" t="e">
        <f>M152/CORNYIELDPERF84[[#Totals],[Acres]]</f>
        <v>#DIV/0!</v>
      </c>
      <c r="L159" s="114" t="e">
        <f>M153/CORNYIELDPERF84[[#Totals],[Acres]]</f>
        <v>#DIV/0!</v>
      </c>
      <c r="M159" s="114" t="e">
        <f>M154/CORNYIELDPERF84[[#Totals],[Acres]]</f>
        <v>#DIV/0!</v>
      </c>
      <c r="N159" s="114" t="e">
        <f>M155/CORNYIELDPERF84[[#Totals],[Acres]]</f>
        <v>#DIV/0!</v>
      </c>
      <c r="O159" s="114"/>
      <c r="P159" s="112"/>
      <c r="Q159" s="102"/>
      <c r="R159" s="112"/>
      <c r="S159" s="112"/>
      <c r="T159" s="112"/>
      <c r="U159" s="101"/>
      <c r="V159" s="101"/>
      <c r="W159" s="101"/>
      <c r="X159" s="101"/>
      <c r="Y159" s="101"/>
      <c r="Z159" s="101"/>
      <c r="AA159" s="282"/>
      <c r="AB159" s="282"/>
    </row>
    <row r="160" spans="1:28" s="96" customFormat="1" ht="18.75" hidden="1" x14ac:dyDescent="0.25">
      <c r="A160" s="200"/>
      <c r="B160" s="201"/>
      <c r="C160" s="201"/>
      <c r="D160" s="201"/>
      <c r="E160" s="201"/>
      <c r="F160" s="210"/>
      <c r="G160" s="202"/>
      <c r="H160" s="216"/>
      <c r="I160" s="212"/>
      <c r="J160" s="142" t="s">
        <v>620</v>
      </c>
      <c r="K160" s="142" t="e">
        <f>N152/CORNYIELDPERF84[[#Totals],[Acres]]</f>
        <v>#DIV/0!</v>
      </c>
      <c r="L160" s="114" t="e">
        <f>N153/CORNYIELDPERF84[[#Totals],[Acres]]</f>
        <v>#DIV/0!</v>
      </c>
      <c r="M160" s="114" t="e">
        <f>N154/CORNYIELDPERF84[[#Totals],[Acres]]</f>
        <v>#DIV/0!</v>
      </c>
      <c r="N160" s="114" t="e">
        <f>N155/CORNYIELDPERF84[[#Totals],[Acres]]</f>
        <v>#DIV/0!</v>
      </c>
      <c r="O160" s="114"/>
      <c r="P160" s="112"/>
      <c r="Q160" s="102"/>
      <c r="R160" s="112"/>
      <c r="S160" s="112"/>
      <c r="T160" s="112"/>
      <c r="U160" s="101"/>
      <c r="V160" s="101"/>
      <c r="W160" s="101"/>
      <c r="X160" s="101"/>
      <c r="Y160" s="101"/>
      <c r="Z160" s="101"/>
      <c r="AA160" s="282"/>
      <c r="AB160" s="282"/>
    </row>
    <row r="161" spans="1:28" s="96" customFormat="1" ht="18.75" hidden="1" x14ac:dyDescent="0.25">
      <c r="A161" s="218"/>
      <c r="B161" s="201"/>
      <c r="C161" s="201"/>
      <c r="D161" s="201"/>
      <c r="E161" s="201"/>
      <c r="F161" s="219"/>
      <c r="G161" s="203"/>
      <c r="H161" s="216"/>
      <c r="I161" s="212"/>
      <c r="J161" s="142"/>
      <c r="K161" s="142"/>
      <c r="L161" s="114"/>
      <c r="M161" s="114"/>
      <c r="N161" s="114"/>
      <c r="O161" s="114"/>
      <c r="P161" s="112"/>
      <c r="Q161" s="102"/>
      <c r="R161" s="112"/>
      <c r="S161" s="112"/>
      <c r="T161" s="112"/>
      <c r="U161" s="101"/>
      <c r="V161" s="101"/>
      <c r="W161" s="101"/>
      <c r="X161" s="101"/>
      <c r="Y161" s="101"/>
      <c r="Z161" s="101"/>
      <c r="AA161" s="282"/>
      <c r="AB161" s="282"/>
    </row>
    <row r="162" spans="1:28" s="96" customFormat="1" ht="18.75" hidden="1" x14ac:dyDescent="0.25">
      <c r="A162" s="218"/>
      <c r="B162" s="201"/>
      <c r="C162" s="201"/>
      <c r="D162" s="201"/>
      <c r="E162" s="201"/>
      <c r="F162" s="219"/>
      <c r="G162" s="203"/>
      <c r="H162" s="216"/>
      <c r="I162" s="212"/>
      <c r="J162" s="142"/>
      <c r="K162" s="142"/>
      <c r="L162" s="114"/>
      <c r="M162" s="114"/>
      <c r="N162" s="114"/>
      <c r="O162" s="114"/>
      <c r="P162" s="112"/>
      <c r="Q162" s="102"/>
      <c r="R162" s="112"/>
      <c r="S162" s="112"/>
      <c r="T162" s="112"/>
      <c r="U162" s="101"/>
      <c r="V162" s="101"/>
      <c r="W162" s="101"/>
      <c r="X162" s="101"/>
      <c r="Y162" s="101"/>
      <c r="Z162" s="101"/>
      <c r="AA162" s="282"/>
      <c r="AB162" s="282"/>
    </row>
    <row r="163" spans="1:28" s="96" customFormat="1" ht="18.75" hidden="1" x14ac:dyDescent="0.25">
      <c r="A163" s="218"/>
      <c r="B163" s="201"/>
      <c r="C163" s="201"/>
      <c r="D163" s="201"/>
      <c r="E163" s="201"/>
      <c r="F163" s="219"/>
      <c r="G163" s="203"/>
      <c r="H163" s="216"/>
      <c r="I163" s="212"/>
      <c r="J163" s="142"/>
      <c r="K163" s="142"/>
      <c r="L163" s="114"/>
      <c r="M163" s="114"/>
      <c r="N163" s="114"/>
      <c r="O163" s="114"/>
      <c r="P163" s="112"/>
      <c r="Q163" s="102"/>
      <c r="R163" s="112"/>
      <c r="S163" s="112"/>
      <c r="T163" s="112"/>
      <c r="U163" s="101"/>
      <c r="V163" s="101"/>
      <c r="W163" s="101"/>
      <c r="X163" s="101"/>
      <c r="Y163" s="101"/>
      <c r="Z163" s="101"/>
      <c r="AA163" s="282"/>
      <c r="AB163" s="282"/>
    </row>
    <row r="164" spans="1:28" s="96" customFormat="1" ht="18.75" hidden="1" x14ac:dyDescent="0.25">
      <c r="A164" s="200"/>
      <c r="B164" s="201"/>
      <c r="C164" s="201"/>
      <c r="D164" s="201"/>
      <c r="E164" s="201"/>
      <c r="F164" s="210">
        <f>CORNSOLDTBL4482[[#This Row],[SOLD BU]]*CORNSOLDTBL4482[[#This Row],[Price]]</f>
        <v>0</v>
      </c>
      <c r="G164" s="202"/>
      <c r="H164" s="217"/>
      <c r="I164" s="213">
        <f>CORNSOLDTBL4482[[#This Row],[TOT $]]+CORNSOLDTBL4482[[#This Row],[DEDUCTIONS]]</f>
        <v>0</v>
      </c>
      <c r="J164" s="114"/>
      <c r="K164" s="114"/>
      <c r="L164" s="114"/>
      <c r="M164" s="114"/>
      <c r="N164" s="114"/>
      <c r="O164" s="114"/>
      <c r="P164" s="112"/>
      <c r="Q164" s="102"/>
      <c r="R164" s="112"/>
      <c r="S164" s="112"/>
      <c r="T164" s="112"/>
      <c r="U164" s="101"/>
      <c r="V164" s="101"/>
      <c r="W164" s="101"/>
      <c r="X164" s="101"/>
      <c r="Y164" s="101"/>
      <c r="Z164" s="101"/>
      <c r="AA164" s="282"/>
      <c r="AB164" s="282"/>
    </row>
    <row r="165" spans="1:28" s="96" customFormat="1" ht="18.75" hidden="1" x14ac:dyDescent="0.25">
      <c r="A165" s="200" t="s">
        <v>38</v>
      </c>
      <c r="B165" s="201" t="e">
        <f>SUBTOTAL(101,CORNSOLDTBL4482[Price])</f>
        <v>#DIV/0!</v>
      </c>
      <c r="C165" s="201">
        <f>SUBTOTAL(109,CORNSOLDTBL4482[TOT BU])</f>
        <v>0</v>
      </c>
      <c r="D165" s="200"/>
      <c r="E165" s="201">
        <f>SUBTOTAL(109,CORNSOLDTBL4482[SOLD BU])</f>
        <v>0</v>
      </c>
      <c r="F165" s="210">
        <f>SUBTOTAL(109,CORNSOLDTBL4482[TOT $])</f>
        <v>0</v>
      </c>
      <c r="G165" s="209"/>
      <c r="H165" s="214"/>
      <c r="I165" s="214">
        <f>SUBTOTAL(109,CORNSOLDTBL4482[PAID BUSHELS])</f>
        <v>0</v>
      </c>
      <c r="J165" s="114"/>
      <c r="K165" s="114"/>
      <c r="L165" s="114"/>
      <c r="M165" s="114"/>
      <c r="N165" s="114"/>
      <c r="O165" s="114"/>
      <c r="P165" s="112"/>
      <c r="Q165" s="102"/>
      <c r="R165" s="112"/>
      <c r="S165" s="112"/>
      <c r="T165" s="112"/>
      <c r="U165" s="101"/>
      <c r="V165" s="101"/>
      <c r="W165" s="101"/>
      <c r="X165" s="101"/>
      <c r="Y165" s="101"/>
      <c r="Z165" s="101"/>
      <c r="AA165" s="282"/>
      <c r="AB165" s="282"/>
    </row>
    <row r="166" spans="1:28" ht="18.75" hidden="1" x14ac:dyDescent="0.3">
      <c r="A166" s="54"/>
      <c r="B166" s="54"/>
      <c r="C166" s="54"/>
      <c r="D166" s="54"/>
      <c r="E166" s="54"/>
      <c r="F166" s="114"/>
      <c r="G166" s="114"/>
      <c r="H166" s="104"/>
      <c r="I166" s="114"/>
      <c r="J166" s="114"/>
      <c r="K166" s="114"/>
      <c r="L166" s="114"/>
      <c r="M166" s="114"/>
      <c r="N166" s="114"/>
      <c r="O166" s="114"/>
      <c r="P166" s="112"/>
      <c r="Q166" s="102"/>
      <c r="R166" s="112"/>
      <c r="S166" s="112"/>
      <c r="T166" s="112"/>
      <c r="U166" s="101"/>
      <c r="V166" s="101"/>
      <c r="W166" s="101"/>
      <c r="X166" s="101"/>
      <c r="Y166" s="101"/>
      <c r="Z166" s="101"/>
      <c r="AA166" s="282"/>
      <c r="AB166" s="282"/>
    </row>
    <row r="167" spans="1:28" ht="18.75" hidden="1" x14ac:dyDescent="0.3">
      <c r="A167" s="54"/>
      <c r="B167" s="54"/>
      <c r="C167" s="54"/>
      <c r="D167" s="54"/>
      <c r="E167" s="54"/>
      <c r="F167" s="114"/>
      <c r="G167" s="114"/>
      <c r="H167" s="104"/>
      <c r="I167" s="114"/>
      <c r="J167" s="114"/>
      <c r="K167" s="114"/>
      <c r="L167" s="114"/>
      <c r="M167" s="114"/>
      <c r="N167" s="114"/>
      <c r="O167" s="114"/>
      <c r="P167" s="112"/>
      <c r="Q167" s="102"/>
      <c r="R167" s="112"/>
      <c r="S167" s="112"/>
      <c r="T167" s="112"/>
      <c r="U167" s="101"/>
      <c r="V167" s="101"/>
      <c r="W167" s="101"/>
      <c r="X167" s="101"/>
      <c r="Y167" s="101"/>
      <c r="Z167" s="101"/>
      <c r="AA167" s="282"/>
      <c r="AB167" s="282"/>
    </row>
    <row r="168" spans="1:28" s="108" customFormat="1" hidden="1" x14ac:dyDescent="0.25">
      <c r="A168" s="765" t="s">
        <v>621</v>
      </c>
      <c r="B168" s="765"/>
      <c r="C168" s="765"/>
      <c r="D168" s="765"/>
      <c r="E168" s="765"/>
      <c r="F168" s="765"/>
      <c r="G168" s="765"/>
      <c r="H168" s="105"/>
      <c r="I168" s="105"/>
      <c r="J168" s="105"/>
      <c r="K168" s="105"/>
      <c r="L168" s="105"/>
      <c r="M168" s="105"/>
      <c r="N168" s="105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283"/>
      <c r="AB168" s="283"/>
    </row>
    <row r="169" spans="1:28" s="96" customFormat="1" hidden="1" x14ac:dyDescent="0.25">
      <c r="A169" s="765"/>
      <c r="B169" s="765"/>
      <c r="C169" s="765"/>
      <c r="D169" s="765"/>
      <c r="E169" s="765"/>
      <c r="F169" s="765"/>
      <c r="G169" s="765"/>
      <c r="H169" s="105"/>
      <c r="I169" s="105"/>
      <c r="J169" s="105"/>
      <c r="K169" s="105"/>
      <c r="L169" s="105"/>
      <c r="M169" s="105"/>
      <c r="N169" s="105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283"/>
      <c r="AB169" s="283"/>
    </row>
    <row r="170" spans="1:28" s="96" customFormat="1" hidden="1" x14ac:dyDescent="0.25">
      <c r="A170" s="106" t="s">
        <v>481</v>
      </c>
      <c r="B170" s="106" t="s">
        <v>482</v>
      </c>
      <c r="C170" s="106" t="s">
        <v>118</v>
      </c>
      <c r="D170" s="106" t="s">
        <v>119</v>
      </c>
      <c r="E170" s="106" t="s">
        <v>483</v>
      </c>
      <c r="F170" s="106" t="s">
        <v>484</v>
      </c>
      <c r="G170" s="106" t="s">
        <v>485</v>
      </c>
      <c r="H170" s="106" t="s">
        <v>477</v>
      </c>
      <c r="I170" s="106" t="s">
        <v>478</v>
      </c>
      <c r="J170" s="106" t="s">
        <v>486</v>
      </c>
      <c r="K170" s="106" t="s">
        <v>600</v>
      </c>
      <c r="L170" s="106" t="s">
        <v>622</v>
      </c>
      <c r="M170" s="106" t="s">
        <v>623</v>
      </c>
      <c r="N170" s="106" t="s">
        <v>556</v>
      </c>
      <c r="O170" s="106" t="s">
        <v>624</v>
      </c>
      <c r="P170" s="106" t="s">
        <v>553</v>
      </c>
      <c r="Q170" s="107"/>
      <c r="R170" s="107"/>
      <c r="S170" s="107"/>
      <c r="T170" s="107"/>
      <c r="U170" s="107"/>
      <c r="V170" s="107"/>
      <c r="W170" s="107"/>
      <c r="X170" s="107"/>
      <c r="Y170" s="107"/>
      <c r="Z170" s="107"/>
      <c r="AA170" s="281"/>
      <c r="AB170" s="281"/>
    </row>
    <row r="171" spans="1:28" s="96" customFormat="1" hidden="1" x14ac:dyDescent="0.25">
      <c r="A171" s="99" t="s">
        <v>74</v>
      </c>
      <c r="B171" s="99" t="s">
        <v>32</v>
      </c>
      <c r="C171" s="99" t="s">
        <v>250</v>
      </c>
      <c r="D171" s="99">
        <f>IFERROR((VLOOKUP(Table1117254179[[#This Row],[Field]],FIELDACRE,2,FALSE)),"")</f>
        <v>68.260000000000005</v>
      </c>
      <c r="E171" s="99" t="str">
        <f>IFERROR(VLOOKUP(Table1117254179[[#This Row],[Field]],FIELDACRE,3,FALSE),"")</f>
        <v>NW 4 8-8-47</v>
      </c>
      <c r="F171" s="99">
        <f>IFERROR(VLOOKUP(Table1117254179[[#This Row],[Field]],FIELDACRE,4,FALSE),"")</f>
        <v>2522</v>
      </c>
      <c r="G171" s="99">
        <f>IFERROR(VLOOKUP(Table1117254179[[#This Row],[Field]],FIELDACRE,5,FALSE),"")</f>
        <v>1534</v>
      </c>
      <c r="H171" s="100"/>
      <c r="I171" s="100"/>
      <c r="J171" s="100">
        <f>(Table1117254179[[#This Row],[TOT '#]]/2000)/Table1117254179[[#This Row],[Acres]]</f>
        <v>0</v>
      </c>
      <c r="K171" s="100">
        <f>Table1117254179[[#This Row],[TOT BALES]]*1300</f>
        <v>0</v>
      </c>
      <c r="L171" s="100"/>
      <c r="M171" s="100">
        <f>Table1117254179[[#This Row],[TOT BALES]]*0.65</f>
        <v>0</v>
      </c>
      <c r="N171" s="100">
        <f>Table1117254179[[#This Row],[TOT BALES]]*0.35</f>
        <v>0</v>
      </c>
      <c r="O171" s="146">
        <f>SUMIF(EXPENSETBL4583[FIELD],Table1117254179[[#This Row],[Field]],EXPENSETBL4583[TOTAL])</f>
        <v>-2474.4250000000002</v>
      </c>
      <c r="P171" s="146" t="e">
        <f>((Table1117254179[[#This Row],[TOT EXP$]]/Table1117254179[[#This Row],[Yield/ Acre]])/Table1117254179[[#This Row],[Acres]])/0.75</f>
        <v>#DIV/0!</v>
      </c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  <c r="AA171" s="282"/>
      <c r="AB171" s="282"/>
    </row>
    <row r="172" spans="1:28" s="96" customFormat="1" hidden="1" x14ac:dyDescent="0.25">
      <c r="A172" s="99" t="s">
        <v>74</v>
      </c>
      <c r="B172" s="99" t="s">
        <v>32</v>
      </c>
      <c r="C172" s="99" t="s">
        <v>252</v>
      </c>
      <c r="D172" s="99">
        <f>IFERROR((VLOOKUP(Table1117254179[[#This Row],[Field]],FIELDACRE,2,FALSE)),"")</f>
        <v>98.77</v>
      </c>
      <c r="E172" s="99" t="str">
        <f>IFERROR(VLOOKUP(Table1117254179[[#This Row],[Field]],FIELDACRE,3,FALSE),"")</f>
        <v>NE4 8-8-47</v>
      </c>
      <c r="F172" s="99">
        <f>IFERROR(VLOOKUP(Table1117254179[[#This Row],[Field]],FIELDACRE,4,FALSE),"")</f>
        <v>2522</v>
      </c>
      <c r="G172" s="99">
        <f>IFERROR(VLOOKUP(Table1117254179[[#This Row],[Field]],FIELDACRE,5,FALSE),"")</f>
        <v>1534</v>
      </c>
      <c r="H172" s="99"/>
      <c r="I172" s="99"/>
      <c r="J172" s="99" t="e">
        <f>(Table1117254179[[#This Row],[TOT '#]]/2000)/Table1117254179[[#This Row],[Acres]]</f>
        <v>#REF!</v>
      </c>
      <c r="K172" s="99" t="e">
        <f>SUMIF(#REF!,Table1117254179[[#This Row],[Field]],#REF!)</f>
        <v>#REF!</v>
      </c>
      <c r="L172" s="99" t="e">
        <f>SUMIF(#REF!,Table1117254179[[#This Row],[Field]],#REF!)</f>
        <v>#REF!</v>
      </c>
      <c r="M172" s="99" t="e">
        <f>Table1117254179[[#This Row],[TOT BALES]]*0.65</f>
        <v>#REF!</v>
      </c>
      <c r="N172" s="99" t="e">
        <f>Table1117254179[[#This Row],[TOT BALES]]*0.35</f>
        <v>#REF!</v>
      </c>
      <c r="O172" s="198">
        <f>SUMIF(EXPENSETBL4583[FIELD],Table1117254179[[#This Row],[Field]],EXPENSETBL4583[TOTAL])</f>
        <v>-3580.4124999999999</v>
      </c>
      <c r="P172" s="198" t="e">
        <f>((Table1117254179[[#This Row],[TOT EXP$]]/Table1117254179[[#This Row],[Yield/ Acre]])/Table1117254179[[#This Row],[Acres]])/0.75</f>
        <v>#REF!</v>
      </c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  <c r="AA172" s="282"/>
      <c r="AB172" s="282"/>
    </row>
    <row r="173" spans="1:28" s="96" customFormat="1" hidden="1" x14ac:dyDescent="0.25">
      <c r="A173" s="99" t="s">
        <v>74</v>
      </c>
      <c r="B173" s="99" t="s">
        <v>26</v>
      </c>
      <c r="C173" s="99" t="s">
        <v>171</v>
      </c>
      <c r="D173" s="99">
        <f>IFERROR((VLOOKUP(Table1117254179[[#This Row],[Field]],FIELDACRE,2,FALSE)),"")</f>
        <v>64.8</v>
      </c>
      <c r="E173" s="99" t="str">
        <f>IFERROR(VLOOKUP(Table1117254179[[#This Row],[Field]],FIELDACRE,3,FALSE),"")</f>
        <v>N/2 17-6-47</v>
      </c>
      <c r="F173" s="99">
        <f>IFERROR(VLOOKUP(Table1117254179[[#This Row],[Field]],FIELDACRE,4,FALSE),"")</f>
        <v>3720</v>
      </c>
      <c r="G173" s="99">
        <f>IFERROR(VLOOKUP(Table1117254179[[#This Row],[Field]],FIELDACRE,5,FALSE),"")</f>
        <v>3815</v>
      </c>
      <c r="H173" s="99"/>
      <c r="I173" s="99"/>
      <c r="J173" s="99" t="e">
        <f>(Table1117254179[[#This Row],[TOT '#]]/2000)/Table1117254179[[#This Row],[Acres]]</f>
        <v>#REF!</v>
      </c>
      <c r="K173" s="99" t="e">
        <f>SUMIF(#REF!,Table1117254179[[#This Row],[Field]],#REF!)</f>
        <v>#REF!</v>
      </c>
      <c r="L173" s="99" t="e">
        <f>SUMIF(#REF!,Table1117254179[[#This Row],[Field]],#REF!)</f>
        <v>#REF!</v>
      </c>
      <c r="M173" s="99" t="e">
        <f>Table1117254179[[#This Row],[TOT BALES]]*0.65</f>
        <v>#REF!</v>
      </c>
      <c r="N173" s="99" t="e">
        <f>Table1117254179[[#This Row],[TOT BALES]]*0.35</f>
        <v>#REF!</v>
      </c>
      <c r="O173" s="198">
        <f>SUMIF(EXPENSETBL4583[FIELD],Table1117254179[[#This Row],[Field]],EXPENSETBL4583[TOTAL])</f>
        <v>-5005.7999999999993</v>
      </c>
      <c r="P173" s="198" t="e">
        <f>((Table1117254179[[#This Row],[TOT EXP$]]/Table1117254179[[#This Row],[Yield/ Acre]])/Table1117254179[[#This Row],[Acres]])/0.75</f>
        <v>#REF!</v>
      </c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282"/>
      <c r="AB173" s="282"/>
    </row>
    <row r="174" spans="1:28" s="96" customFormat="1" hidden="1" x14ac:dyDescent="0.25">
      <c r="A174" s="99" t="s">
        <v>74</v>
      </c>
      <c r="B174" s="99" t="s">
        <v>26</v>
      </c>
      <c r="C174" s="99" t="s">
        <v>180</v>
      </c>
      <c r="D174" s="99">
        <f>IFERROR((VLOOKUP(Table1117254179[[#This Row],[Field]],FIELDACRE,2,FALSE)),"")</f>
        <v>44.69</v>
      </c>
      <c r="E174" s="99" t="str">
        <f>IFERROR(VLOOKUP(Table1117254179[[#This Row],[Field]],FIELDACRE,3,FALSE),"")</f>
        <v>NE 17-6-47</v>
      </c>
      <c r="F174" s="99">
        <f>IFERROR(VLOOKUP(Table1117254179[[#This Row],[Field]],FIELDACRE,4,FALSE),"")</f>
        <v>3720</v>
      </c>
      <c r="G174" s="99">
        <f>IFERROR(VLOOKUP(Table1117254179[[#This Row],[Field]],FIELDACRE,5,FALSE),"")</f>
        <v>3815</v>
      </c>
      <c r="H174" s="99"/>
      <c r="I174" s="99"/>
      <c r="J174" s="99" t="e">
        <f>(Table1117254179[[#This Row],[TOT '#]]/2000)/Table1117254179[[#This Row],[Acres]]</f>
        <v>#REF!</v>
      </c>
      <c r="K174" s="99" t="e">
        <f>SUMIF(#REF!,Table1117254179[[#This Row],[Field]],#REF!)</f>
        <v>#REF!</v>
      </c>
      <c r="L174" s="99" t="e">
        <f>SUMIF(#REF!,Table1117254179[[#This Row],[Field]],#REF!)</f>
        <v>#REF!</v>
      </c>
      <c r="M174" s="99" t="e">
        <f>Table1117254179[[#This Row],[TOT BALES]]*0.65</f>
        <v>#REF!</v>
      </c>
      <c r="N174" s="99" t="e">
        <f>Table1117254179[[#This Row],[TOT BALES]]*0.35</f>
        <v>#REF!</v>
      </c>
      <c r="O174" s="198">
        <f>SUMIF(EXPENSETBL4583[FIELD],Table1117254179[[#This Row],[Field]],EXPENSETBL4583[TOTAL])</f>
        <v>-2781.9524999999999</v>
      </c>
      <c r="P174" s="198" t="e">
        <f>((Table1117254179[[#This Row],[TOT EXP$]]/Table1117254179[[#This Row],[Yield/ Acre]])/Table1117254179[[#This Row],[Acres]])/0.75</f>
        <v>#REF!</v>
      </c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  <c r="AA174" s="282"/>
      <c r="AB174" s="282"/>
    </row>
    <row r="175" spans="1:28" s="96" customFormat="1" hidden="1" x14ac:dyDescent="0.25">
      <c r="A175" s="99" t="s">
        <v>74</v>
      </c>
      <c r="B175" s="99" t="s">
        <v>26</v>
      </c>
      <c r="C175" s="99" t="s">
        <v>182</v>
      </c>
      <c r="D175" s="99">
        <f>IFERROR((VLOOKUP(Table1117254179[[#This Row],[Field]],FIELDACRE,2,FALSE)),"")</f>
        <v>160</v>
      </c>
      <c r="E175" s="99" t="str">
        <f>IFERROR(VLOOKUP(Table1117254179[[#This Row],[Field]],FIELDACRE,3,FALSE),"")</f>
        <v>N2 17-6-47</v>
      </c>
      <c r="F175" s="99">
        <f>IFERROR(VLOOKUP(Table1117254179[[#This Row],[Field]],FIELDACRE,4,FALSE),"")</f>
        <v>3720</v>
      </c>
      <c r="G175" s="99">
        <f>IFERROR(VLOOKUP(Table1117254179[[#This Row],[Field]],FIELDACRE,5,FALSE),"")</f>
        <v>3815</v>
      </c>
      <c r="H175" s="99"/>
      <c r="I175" s="99"/>
      <c r="J175" s="99" t="e">
        <f>(Table1117254179[[#This Row],[TOT '#]]/2000)/Table1117254179[[#This Row],[Acres]]</f>
        <v>#REF!</v>
      </c>
      <c r="K175" s="99" t="e">
        <f>SUMIF(#REF!,Table1117254179[[#This Row],[Field]],#REF!)</f>
        <v>#REF!</v>
      </c>
      <c r="L175" s="99" t="e">
        <f>SUMIF(#REF!,Table1117254179[[#This Row],[Field]],#REF!)</f>
        <v>#REF!</v>
      </c>
      <c r="M175" s="99" t="e">
        <f>Table1117254179[[#This Row],[TOT BALES]]*0.65</f>
        <v>#REF!</v>
      </c>
      <c r="N175" s="99" t="e">
        <f>Table1117254179[[#This Row],[TOT BALES]]*0.35</f>
        <v>#REF!</v>
      </c>
      <c r="O175" s="198">
        <f>SUMIF(EXPENSETBL4583[FIELD],Table1117254179[[#This Row],[Field]],EXPENSETBL4583[TOTAL])</f>
        <v>-12360</v>
      </c>
      <c r="P175" s="198" t="e">
        <f>((Table1117254179[[#This Row],[TOT EXP$]]/Table1117254179[[#This Row],[Yield/ Acre]])/Table1117254179[[#This Row],[Acres]])/0.75</f>
        <v>#REF!</v>
      </c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  <c r="AA175" s="282"/>
      <c r="AB175" s="282"/>
    </row>
    <row r="176" spans="1:28" s="96" customFormat="1" hidden="1" x14ac:dyDescent="0.25">
      <c r="A176" s="99" t="s">
        <v>74</v>
      </c>
      <c r="B176" s="99" t="s">
        <v>26</v>
      </c>
      <c r="C176" s="99" t="s">
        <v>826</v>
      </c>
      <c r="D176" s="99" t="str">
        <f>IFERROR((VLOOKUP(Table1117254179[[#This Row],[Field]],FIELDACRE,2,FALSE)),"")</f>
        <v/>
      </c>
      <c r="E176" s="99" t="str">
        <f>IFERROR(VLOOKUP(Table1117254179[[#This Row],[Field]],FIELDACRE,3,FALSE),"")</f>
        <v/>
      </c>
      <c r="F176" s="99" t="str">
        <f>IFERROR(VLOOKUP(Table1117254179[[#This Row],[Field]],FIELDACRE,4,FALSE),"")</f>
        <v/>
      </c>
      <c r="G176" s="99" t="str">
        <f>IFERROR(VLOOKUP(Table1117254179[[#This Row],[Field]],FIELDACRE,5,FALSE),"")</f>
        <v/>
      </c>
      <c r="H176" s="99"/>
      <c r="I176" s="99"/>
      <c r="J176" s="99" t="e">
        <f>(Table1117254179[[#This Row],[TOT '#]]/2000)/Table1117254179[[#This Row],[Acres]]</f>
        <v>#REF!</v>
      </c>
      <c r="K176" s="99" t="e">
        <f>SUMIF(#REF!,Table1117254179[[#This Row],[Field]],#REF!)</f>
        <v>#REF!</v>
      </c>
      <c r="L176" s="99" t="e">
        <f>SUMIF(#REF!,Table1117254179[[#This Row],[Field]],#REF!)</f>
        <v>#REF!</v>
      </c>
      <c r="M176" s="99" t="e">
        <f>Table1117254179[[#This Row],[TOT BALES]]*0.65</f>
        <v>#REF!</v>
      </c>
      <c r="N176" s="99" t="e">
        <f>Table1117254179[[#This Row],[TOT BALES]]*0.35</f>
        <v>#REF!</v>
      </c>
      <c r="O176" s="198">
        <f>SUMIF(EXPENSETBL4583[FIELD],Table1117254179[[#This Row],[Field]],EXPENSETBL4583[TOTAL])</f>
        <v>0</v>
      </c>
      <c r="P176" s="198" t="e">
        <f>((Table1117254179[[#This Row],[TOT EXP$]]/Table1117254179[[#This Row],[Yield/ Acre]])/Table1117254179[[#This Row],[Acres]])/0.75</f>
        <v>#REF!</v>
      </c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  <c r="AA176" s="282"/>
      <c r="AB176" s="282"/>
    </row>
    <row r="177" spans="1:28" s="96" customFormat="1" hidden="1" x14ac:dyDescent="0.25">
      <c r="A177" s="99" t="s">
        <v>74</v>
      </c>
      <c r="B177" s="99" t="s">
        <v>26</v>
      </c>
      <c r="C177" s="99" t="s">
        <v>827</v>
      </c>
      <c r="D177" s="99" t="str">
        <f>IFERROR((VLOOKUP(Table1117254179[[#This Row],[Field]],FIELDACRE,2,FALSE)),"")</f>
        <v/>
      </c>
      <c r="E177" s="99" t="str">
        <f>IFERROR(VLOOKUP(Table1117254179[[#This Row],[Field]],FIELDACRE,3,FALSE),"")</f>
        <v/>
      </c>
      <c r="F177" s="99" t="str">
        <f>IFERROR(VLOOKUP(Table1117254179[[#This Row],[Field]],FIELDACRE,4,FALSE),"")</f>
        <v/>
      </c>
      <c r="G177" s="99" t="str">
        <f>IFERROR(VLOOKUP(Table1117254179[[#This Row],[Field]],FIELDACRE,5,FALSE),"")</f>
        <v/>
      </c>
      <c r="H177" s="99"/>
      <c r="I177" s="99"/>
      <c r="J177" s="99" t="e">
        <f>(Table1117254179[[#This Row],[TOT '#]]/2000)/Table1117254179[[#This Row],[Acres]]</f>
        <v>#REF!</v>
      </c>
      <c r="K177" s="99" t="e">
        <f>SUMIF(#REF!,Table1117254179[[#This Row],[Field]],#REF!)</f>
        <v>#REF!</v>
      </c>
      <c r="L177" s="99" t="e">
        <f>SUMIF(#REF!,Table1117254179[[#This Row],[Field]],#REF!)</f>
        <v>#REF!</v>
      </c>
      <c r="M177" s="99" t="e">
        <f>Table1117254179[[#This Row],[TOT BALES]]*0.65</f>
        <v>#REF!</v>
      </c>
      <c r="N177" s="99" t="e">
        <f>Table1117254179[[#This Row],[TOT BALES]]*0.35</f>
        <v>#REF!</v>
      </c>
      <c r="O177" s="198">
        <f>SUMIF(EXPENSETBL4583[FIELD],Table1117254179[[#This Row],[Field]],EXPENSETBL4583[TOTAL])</f>
        <v>0</v>
      </c>
      <c r="P177" s="198" t="e">
        <f>((Table1117254179[[#This Row],[TOT EXP$]]/Table1117254179[[#This Row],[Yield/ Acre]])/Table1117254179[[#This Row],[Acres]])/0.75</f>
        <v>#REF!</v>
      </c>
      <c r="Q177" s="101"/>
      <c r="R177" s="101"/>
      <c r="S177" s="101"/>
      <c r="T177" s="101"/>
      <c r="U177" s="101"/>
      <c r="V177" s="101"/>
      <c r="W177" s="101"/>
      <c r="X177" s="101"/>
      <c r="Y177" s="101"/>
      <c r="Z177" s="101"/>
      <c r="AA177" s="282"/>
      <c r="AB177" s="282"/>
    </row>
    <row r="178" spans="1:28" hidden="1" x14ac:dyDescent="0.25">
      <c r="A178" s="99" t="s">
        <v>74</v>
      </c>
      <c r="B178" s="99" t="s">
        <v>35</v>
      </c>
      <c r="C178" s="99" t="s">
        <v>828</v>
      </c>
      <c r="D178" s="99">
        <v>50</v>
      </c>
      <c r="E178" s="99" t="str">
        <f>IFERROR(VLOOKUP(Table1117254179[[#This Row],[Field]],FIELDACRE,3,FALSE),"")</f>
        <v>SE4 8-9-47</v>
      </c>
      <c r="F178" s="99">
        <f>IFERROR(VLOOKUP(Table1117254179[[#This Row],[Field]],FIELDACRE,4,FALSE),"")</f>
        <v>4071</v>
      </c>
      <c r="G178" s="99">
        <f>IFERROR(VLOOKUP(Table1117254179[[#This Row],[Field]],FIELDACRE,5,FALSE),"")</f>
        <v>4021</v>
      </c>
      <c r="H178" s="100"/>
      <c r="I178" s="100"/>
      <c r="J178" s="100">
        <f>(Table1117254179[[#This Row],[TOT '#]]/2000)/Table1117254179[[#This Row],[Acres]]</f>
        <v>0</v>
      </c>
      <c r="K178" s="100">
        <f>Table1117254179[[#This Row],[TOT BALES]]*1420</f>
        <v>0</v>
      </c>
      <c r="L178" s="100"/>
      <c r="M178" s="100">
        <f>Table1117254179[[#This Row],[TOT BALES]]*0.65</f>
        <v>0</v>
      </c>
      <c r="N178" s="100">
        <f>Table1117254179[[#This Row],[TOT BALES]]*0.35</f>
        <v>0</v>
      </c>
      <c r="O178" s="146">
        <f>SUMIF(EXPENSETBL4583[FIELD],Table1117254179[[#This Row],[Field]],EXPENSETBL4583[TOTAL])</f>
        <v>-1280.1000000000001</v>
      </c>
      <c r="P178" s="146" t="e">
        <f>((Table1117254179[[#This Row],[TOT EXP$]]/Table1117254179[[#This Row],[Yield/ Acre]])/Table1117254179[[#This Row],[Acres]])/0.75</f>
        <v>#DIV/0!</v>
      </c>
      <c r="Q178" s="101"/>
      <c r="R178" s="101"/>
      <c r="S178" s="101"/>
      <c r="T178" s="101"/>
      <c r="U178" s="101"/>
      <c r="V178" s="101"/>
      <c r="W178" s="101"/>
      <c r="X178" s="101"/>
      <c r="Y178" s="101"/>
      <c r="Z178" s="101"/>
      <c r="AA178" s="282"/>
      <c r="AB178" s="282"/>
    </row>
    <row r="179" spans="1:28" ht="18.75" hidden="1" x14ac:dyDescent="0.3">
      <c r="A179" s="103" t="s">
        <v>38</v>
      </c>
      <c r="B179" s="103"/>
      <c r="C179" s="103"/>
      <c r="D179" s="103">
        <f>SUBTOTAL(109,Table1117254179[Acres])</f>
        <v>0</v>
      </c>
      <c r="E179" s="103"/>
      <c r="F179" s="103"/>
      <c r="G179" s="103"/>
      <c r="H179" s="104"/>
      <c r="I179" s="103"/>
      <c r="J179" s="103" t="e">
        <f>SUBTOTAL(101,Table1117254179[Yield/ Acre])</f>
        <v>#DIV/0!</v>
      </c>
      <c r="K179" s="103"/>
      <c r="L179" s="103"/>
      <c r="M179" s="103"/>
      <c r="N179" s="103"/>
      <c r="O179" s="145"/>
      <c r="P179" s="145"/>
      <c r="Q179" s="101"/>
      <c r="R179" s="101"/>
      <c r="S179" s="101"/>
      <c r="T179" s="101"/>
      <c r="U179" s="101"/>
      <c r="V179" s="101"/>
      <c r="W179" s="101"/>
      <c r="X179" s="101"/>
      <c r="Y179" s="101"/>
      <c r="Z179" s="101"/>
      <c r="AA179" s="282"/>
      <c r="AB179" s="282"/>
    </row>
    <row r="180" spans="1:28" ht="15.75" hidden="1" thickBot="1" x14ac:dyDescent="0.3">
      <c r="A180" s="54"/>
      <c r="B180" s="54"/>
      <c r="C180" s="54" t="s">
        <v>627</v>
      </c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283"/>
      <c r="AB180" s="283"/>
    </row>
    <row r="181" spans="1:28" hidden="1" x14ac:dyDescent="0.25">
      <c r="A181" s="115" t="s">
        <v>628</v>
      </c>
      <c r="B181" s="116"/>
      <c r="C181" s="116"/>
      <c r="D181" s="116"/>
      <c r="E181" s="116"/>
      <c r="F181" s="117"/>
      <c r="G181" s="117"/>
      <c r="H181" s="117"/>
      <c r="I181" s="118"/>
      <c r="J181" s="54"/>
      <c r="K181" s="54"/>
      <c r="L181" s="54"/>
      <c r="M181" s="54"/>
      <c r="N181" s="54"/>
      <c r="O181" s="54"/>
      <c r="P181" s="101"/>
      <c r="Q181" s="101"/>
      <c r="R181" s="101"/>
      <c r="S181" s="101"/>
      <c r="T181" s="101"/>
      <c r="U181" s="54"/>
      <c r="V181" s="54"/>
      <c r="W181" s="54"/>
      <c r="X181" s="54"/>
      <c r="Y181" s="54"/>
      <c r="Z181" s="54"/>
      <c r="AA181" s="283"/>
      <c r="AB181" s="283"/>
    </row>
    <row r="182" spans="1:28" hidden="1" x14ac:dyDescent="0.25">
      <c r="A182" s="119" t="s">
        <v>629</v>
      </c>
      <c r="B182" s="120" t="s">
        <v>630</v>
      </c>
      <c r="C182" s="120" t="s">
        <v>631</v>
      </c>
      <c r="D182" s="120" t="s">
        <v>632</v>
      </c>
      <c r="E182" s="120" t="s">
        <v>633</v>
      </c>
      <c r="F182" s="120" t="s">
        <v>634</v>
      </c>
      <c r="G182" s="120" t="s">
        <v>635</v>
      </c>
      <c r="H182" s="120" t="s">
        <v>829</v>
      </c>
      <c r="I182" s="121" t="s">
        <v>637</v>
      </c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283"/>
      <c r="AB182" s="283"/>
    </row>
    <row r="183" spans="1:28" hidden="1" x14ac:dyDescent="0.25">
      <c r="A183" s="122"/>
      <c r="B183" s="123"/>
      <c r="C183" s="124"/>
      <c r="D183" s="124"/>
      <c r="E183" s="124"/>
      <c r="F183" s="123">
        <f>Table324381[[#This Row],[TONS]]*Table324381[[#This Row],[$/TON]]</f>
        <v>0</v>
      </c>
      <c r="G183" s="123">
        <f>Table324381[[#This Row],[Bale $]]+Table324381[[#This Row],[TRANS $]]</f>
        <v>0</v>
      </c>
      <c r="H183" s="123">
        <f>J178*Table324381[[#This Row],[$/TON]]</f>
        <v>0</v>
      </c>
      <c r="I183" s="125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283"/>
      <c r="AB183" s="283"/>
    </row>
    <row r="184" spans="1:28" hidden="1" x14ac:dyDescent="0.25">
      <c r="A184" s="122"/>
      <c r="B184" s="123"/>
      <c r="C184" s="124"/>
      <c r="D184" s="124"/>
      <c r="E184" s="124"/>
      <c r="F184" s="123">
        <f>Table324381[[#This Row],[TONS]]*Table324381[[#This Row],[$/TON]]</f>
        <v>0</v>
      </c>
      <c r="G184" s="123">
        <f>Table324381[[#This Row],[Bale $]]+Table324381[[#This Row],[TRANS $]]</f>
        <v>0</v>
      </c>
      <c r="H184" s="123">
        <f>Table324381[[#This Row],[$/TON]]*J178</f>
        <v>0</v>
      </c>
      <c r="I184" s="125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283"/>
      <c r="AB184" s="283"/>
    </row>
    <row r="185" spans="1:28" hidden="1" x14ac:dyDescent="0.25">
      <c r="A185" s="126"/>
      <c r="B185" s="123"/>
      <c r="C185" s="127"/>
      <c r="D185" s="127"/>
      <c r="E185" s="127"/>
      <c r="F185" s="123">
        <f>Table324381[[#This Row],[TONS]]*Table324381[[#This Row],[$/TON]]</f>
        <v>0</v>
      </c>
      <c r="G185" s="123">
        <f>Table324381[[#This Row],[Bale $]]+Table324381[[#This Row],[TRANS $]]</f>
        <v>0</v>
      </c>
      <c r="H185" s="123">
        <f>Table324381[[#This Row],[$/TON]]*J171</f>
        <v>0</v>
      </c>
      <c r="I185" s="125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283"/>
      <c r="AB185" s="283"/>
    </row>
    <row r="186" spans="1:28" hidden="1" x14ac:dyDescent="0.25">
      <c r="A186" s="126"/>
      <c r="B186" s="123"/>
      <c r="C186" s="127"/>
      <c r="D186" s="127"/>
      <c r="E186" s="127"/>
      <c r="F186" s="123">
        <f>Table324381[[#This Row],[TONS]]*Table324381[[#This Row],[$/TON]]</f>
        <v>0</v>
      </c>
      <c r="G186" s="123">
        <f>Table324381[[#This Row],[Bale $]]+Table324381[[#This Row],[TRANS $]]</f>
        <v>0</v>
      </c>
      <c r="H186" s="123">
        <f>Table324381[[#This Row],[$/TON]]*$J$178</f>
        <v>0</v>
      </c>
      <c r="I186" s="125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283"/>
      <c r="AB186" s="283"/>
    </row>
    <row r="187" spans="1:28" ht="15.75" hidden="1" thickBot="1" x14ac:dyDescent="0.3">
      <c r="A187" s="128" t="s">
        <v>38</v>
      </c>
      <c r="B187" s="129"/>
      <c r="C187" s="129"/>
      <c r="D187" s="129"/>
      <c r="E187" s="130">
        <f>SUBTOTAL(109,Table324381[TRANS $])</f>
        <v>0</v>
      </c>
      <c r="F187" s="129"/>
      <c r="G187" s="129"/>
      <c r="H187" s="129"/>
      <c r="I187" s="131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283"/>
      <c r="AB187" s="283"/>
    </row>
    <row r="188" spans="1:28" hidden="1" x14ac:dyDescent="0.25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283"/>
      <c r="AB188" s="283"/>
    </row>
    <row r="189" spans="1:28" hidden="1" x14ac:dyDescent="0.25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283"/>
      <c r="AB189" s="283"/>
    </row>
    <row r="190" spans="1:28" hidden="1" x14ac:dyDescent="0.25">
      <c r="A190" t="s">
        <v>470</v>
      </c>
      <c r="B190" t="s">
        <v>1</v>
      </c>
      <c r="C190" t="s">
        <v>2</v>
      </c>
      <c r="D190" t="s">
        <v>3</v>
      </c>
      <c r="E190" t="s">
        <v>42</v>
      </c>
      <c r="F190" t="s">
        <v>318</v>
      </c>
      <c r="G190" t="s">
        <v>117</v>
      </c>
      <c r="H190" t="s">
        <v>337</v>
      </c>
      <c r="I190" t="s">
        <v>304</v>
      </c>
      <c r="J190" t="s">
        <v>305</v>
      </c>
      <c r="K190" t="s">
        <v>353</v>
      </c>
      <c r="L190" t="s">
        <v>297</v>
      </c>
      <c r="M190" t="s">
        <v>458</v>
      </c>
      <c r="N190" t="s">
        <v>473</v>
      </c>
      <c r="O190" t="s">
        <v>474</v>
      </c>
      <c r="P190" t="s">
        <v>400</v>
      </c>
      <c r="Q190" t="s">
        <v>282</v>
      </c>
      <c r="R190" t="s">
        <v>335</v>
      </c>
    </row>
    <row r="191" spans="1:28" hidden="1" x14ac:dyDescent="0.25">
      <c r="B191" t="s">
        <v>74</v>
      </c>
      <c r="C191" t="s">
        <v>80</v>
      </c>
      <c r="D191" t="s">
        <v>273</v>
      </c>
      <c r="E191">
        <f>VLOOKUP(EXPENSETBL4583[[#This Row],[FIELD]],FFTBL[[Field]:[Acres]],2,FALSE)</f>
        <v>157.56</v>
      </c>
      <c r="F191" t="s">
        <v>319</v>
      </c>
      <c r="G191" t="s">
        <v>297</v>
      </c>
      <c r="H191" t="s">
        <v>354</v>
      </c>
      <c r="I191" t="str">
        <f>IFERROR(VLOOKUP(EXPENSETBL4583[[#This Row],[OPERATION]],OPERATIONCOST,2,FALSE)," ")</f>
        <v>QTY</v>
      </c>
      <c r="J191" s="1">
        <f>IFERROR(VLOOKUP(EXPENSETBL4583[[#This Row],[OPERATION]],OPERATIONCOST,3,FALSE)," ")</f>
        <v>-0.27</v>
      </c>
      <c r="K191">
        <v>10270</v>
      </c>
      <c r="L191" s="17">
        <f>IF(G191="SPLIT",0.65,1)</f>
        <v>1</v>
      </c>
      <c r="M191" s="17">
        <f>IF(G191="SPLIT",0.35,0)</f>
        <v>0</v>
      </c>
      <c r="N191" s="1">
        <f>IFERROR((EXPENSETBL4583[[#This Row],[MCC.ENT]]*EXPENSETBL4583[[#This Row],[TOTAL]])," ")</f>
        <v>-2772.9</v>
      </c>
      <c r="O191" s="1">
        <f>IFERROR((EXPENSETBL4583[[#This Row],[L.L.]]*EXPENSETBL4583[[#This Row],[TOTAL]])," ")</f>
        <v>0</v>
      </c>
      <c r="P191" s="1">
        <f>IFERROR((EXPENSETBL4583[[#This Row],[QTY]]*EXPENSETBL4583[[#This Row],[$/UOM]])," ")</f>
        <v>-2772.9</v>
      </c>
      <c r="Q191" s="1" t="s">
        <v>295</v>
      </c>
      <c r="R191">
        <v>2022</v>
      </c>
    </row>
    <row r="192" spans="1:28" hidden="1" x14ac:dyDescent="0.25">
      <c r="B192" t="s">
        <v>74</v>
      </c>
      <c r="C192" t="s">
        <v>32</v>
      </c>
      <c r="D192" t="s">
        <v>231</v>
      </c>
      <c r="E192">
        <f>VLOOKUP(EXPENSETBL4583[[#This Row],[FIELD]],FFTBL[[Field]:[Acres]],2,FALSE)</f>
        <v>156.78</v>
      </c>
      <c r="F192" t="s">
        <v>319</v>
      </c>
      <c r="G192" t="s">
        <v>117</v>
      </c>
      <c r="H192" t="s">
        <v>354</v>
      </c>
      <c r="I192" t="str">
        <f>IFERROR(VLOOKUP(EXPENSETBL4583[[#This Row],[OPERATION]],OPERATIONCOST,2,FALSE)," ")</f>
        <v>QTY</v>
      </c>
      <c r="J192" s="1">
        <f>IFERROR(VLOOKUP(EXPENSETBL4583[[#This Row],[OPERATION]],OPERATIONCOST,3,FALSE)," ")</f>
        <v>-0.27</v>
      </c>
      <c r="K192">
        <v>12246</v>
      </c>
      <c r="L192" s="17">
        <f>IF(G192="SPLIT",0.65,1)</f>
        <v>0.65</v>
      </c>
      <c r="M192" s="17">
        <f>IF(G192="SPLIT",0.35,0)</f>
        <v>0.35</v>
      </c>
      <c r="N192" s="1">
        <f>IFERROR((EXPENSETBL4583[[#This Row],[MCC.ENT]]*EXPENSETBL4583[[#This Row],[TOTAL]])," ")</f>
        <v>-2149.1730000000002</v>
      </c>
      <c r="O192" s="1">
        <f>IFERROR((EXPENSETBL4583[[#This Row],[L.L.]]*EXPENSETBL4583[[#This Row],[TOTAL]])," ")</f>
        <v>-1157.2469999999998</v>
      </c>
      <c r="P192" s="1">
        <f>IFERROR((EXPENSETBL4583[[#This Row],[QTY]]*EXPENSETBL4583[[#This Row],[$/UOM]])," ")</f>
        <v>-3306.42</v>
      </c>
      <c r="Q192" s="1" t="s">
        <v>295</v>
      </c>
      <c r="R192">
        <v>2022</v>
      </c>
    </row>
    <row r="193" spans="2:18" hidden="1" x14ac:dyDescent="0.25">
      <c r="B193" t="s">
        <v>74</v>
      </c>
      <c r="C193" t="s">
        <v>26</v>
      </c>
      <c r="D193" t="s">
        <v>171</v>
      </c>
      <c r="E193">
        <f>VLOOKUP(EXPENSETBL4583[[#This Row],[FIELD]],FFTBL[[Field]:[Acres]],2,FALSE)</f>
        <v>64.8</v>
      </c>
      <c r="F193" t="s">
        <v>321</v>
      </c>
      <c r="G193" t="s">
        <v>297</v>
      </c>
      <c r="H193" t="s">
        <v>830</v>
      </c>
      <c r="I193" t="str">
        <f>IFERROR(VLOOKUP(EXPENSETBL4583[[#This Row],[OPERATION]],OPERATIONCOST,2,FALSE)," ")</f>
        <v xml:space="preserve"> </v>
      </c>
      <c r="J193" s="1" t="str">
        <f>IFERROR(VLOOKUP(EXPENSETBL4583[[#This Row],[OPERATION]],OPERATIONCOST,3,FALSE)," ")</f>
        <v xml:space="preserve"> </v>
      </c>
      <c r="K193">
        <v>6409</v>
      </c>
      <c r="L193" s="17">
        <f t="shared" ref="L193:L256" si="18">IF(G193="SPLIT",0.65,1)</f>
        <v>1</v>
      </c>
      <c r="M193" s="17">
        <f t="shared" ref="M193:M256" si="19">IF(G193="SPLIT",0.35,0)</f>
        <v>0</v>
      </c>
      <c r="N193" s="1" t="str">
        <f>IFERROR((EXPENSETBL4583[[#This Row],[MCC.ENT]]*EXPENSETBL4583[[#This Row],[TOTAL]])," ")</f>
        <v xml:space="preserve"> </v>
      </c>
      <c r="O193" s="1" t="str">
        <f>IFERROR((EXPENSETBL4583[[#This Row],[L.L.]]*EXPENSETBL4583[[#This Row],[TOTAL]])," ")</f>
        <v xml:space="preserve"> </v>
      </c>
      <c r="P193" s="1" t="str">
        <f>IFERROR((EXPENSETBL4583[[#This Row],[QTY]]*EXPENSETBL4583[[#This Row],[$/UOM]])," ")</f>
        <v xml:space="preserve"> </v>
      </c>
      <c r="Q193" s="1" t="s">
        <v>293</v>
      </c>
      <c r="R193">
        <v>2022</v>
      </c>
    </row>
    <row r="194" spans="2:18" hidden="1" x14ac:dyDescent="0.25">
      <c r="B194" t="s">
        <v>74</v>
      </c>
      <c r="C194" t="s">
        <v>26</v>
      </c>
      <c r="D194" t="s">
        <v>180</v>
      </c>
      <c r="E194">
        <f>VLOOKUP(EXPENSETBL4583[[#This Row],[FIELD]],FFTBL[[Field]:[Acres]],2,FALSE)</f>
        <v>44.69</v>
      </c>
      <c r="F194" t="s">
        <v>321</v>
      </c>
      <c r="G194" t="s">
        <v>297</v>
      </c>
      <c r="H194" t="s">
        <v>830</v>
      </c>
      <c r="I194" t="str">
        <f>IFERROR(VLOOKUP(EXPENSETBL4583[[#This Row],[OPERATION]],OPERATIONCOST,2,FALSE)," ")</f>
        <v xml:space="preserve"> </v>
      </c>
      <c r="J194" s="1" t="str">
        <f>IFERROR(VLOOKUP(EXPENSETBL4583[[#This Row],[OPERATION]],OPERATIONCOST,3,FALSE)," ")</f>
        <v xml:space="preserve"> </v>
      </c>
      <c r="K194">
        <v>4420</v>
      </c>
      <c r="L194" s="17">
        <f t="shared" si="18"/>
        <v>1</v>
      </c>
      <c r="M194" s="17">
        <f t="shared" si="19"/>
        <v>0</v>
      </c>
      <c r="N194" s="1" t="str">
        <f>IFERROR((EXPENSETBL4583[[#This Row],[MCC.ENT]]*EXPENSETBL4583[[#This Row],[TOTAL]])," ")</f>
        <v xml:space="preserve"> </v>
      </c>
      <c r="O194" s="1" t="str">
        <f>IFERROR((EXPENSETBL4583[[#This Row],[L.L.]]*EXPENSETBL4583[[#This Row],[TOTAL]])," ")</f>
        <v xml:space="preserve"> </v>
      </c>
      <c r="P194" s="1" t="str">
        <f>IFERROR((EXPENSETBL4583[[#This Row],[QTY]]*EXPENSETBL4583[[#This Row],[$/UOM]])," ")</f>
        <v xml:space="preserve"> </v>
      </c>
      <c r="Q194" s="1" t="s">
        <v>293</v>
      </c>
      <c r="R194">
        <v>2022</v>
      </c>
    </row>
    <row r="195" spans="2:18" hidden="1" x14ac:dyDescent="0.25">
      <c r="B195" t="s">
        <v>74</v>
      </c>
      <c r="C195" t="s">
        <v>26</v>
      </c>
      <c r="D195" t="s">
        <v>182</v>
      </c>
      <c r="E195">
        <f>VLOOKUP(EXPENSETBL4583[[#This Row],[FIELD]],FFTBL[[Field]:[Acres]],2,FALSE)</f>
        <v>160</v>
      </c>
      <c r="F195" t="s">
        <v>321</v>
      </c>
      <c r="G195" t="s">
        <v>297</v>
      </c>
      <c r="H195" t="s">
        <v>830</v>
      </c>
      <c r="I195" t="str">
        <f>IFERROR(VLOOKUP(EXPENSETBL4583[[#This Row],[OPERATION]],OPERATIONCOST,2,FALSE)," ")</f>
        <v xml:space="preserve"> </v>
      </c>
      <c r="J195" s="1" t="str">
        <f>IFERROR(VLOOKUP(EXPENSETBL4583[[#This Row],[OPERATION]],OPERATIONCOST,3,FALSE)," ")</f>
        <v xml:space="preserve"> </v>
      </c>
      <c r="K195">
        <v>15824</v>
      </c>
      <c r="L195" s="17">
        <f t="shared" si="18"/>
        <v>1</v>
      </c>
      <c r="M195" s="17">
        <f t="shared" si="19"/>
        <v>0</v>
      </c>
      <c r="N195" s="1" t="str">
        <f>IFERROR((EXPENSETBL4583[[#This Row],[MCC.ENT]]*EXPENSETBL4583[[#This Row],[TOTAL]])," ")</f>
        <v xml:space="preserve"> </v>
      </c>
      <c r="O195" s="1" t="str">
        <f>IFERROR((EXPENSETBL4583[[#This Row],[L.L.]]*EXPENSETBL4583[[#This Row],[TOTAL]])," ")</f>
        <v xml:space="preserve"> </v>
      </c>
      <c r="P195" s="1" t="str">
        <f>IFERROR((EXPENSETBL4583[[#This Row],[QTY]]*EXPENSETBL4583[[#This Row],[$/UOM]])," ")</f>
        <v xml:space="preserve"> </v>
      </c>
      <c r="Q195" s="1" t="s">
        <v>293</v>
      </c>
      <c r="R195">
        <v>2022</v>
      </c>
    </row>
    <row r="196" spans="2:18" hidden="1" x14ac:dyDescent="0.25">
      <c r="B196" t="s">
        <v>74</v>
      </c>
      <c r="C196" t="s">
        <v>26</v>
      </c>
      <c r="D196" t="s">
        <v>826</v>
      </c>
      <c r="E196" t="e">
        <f>VLOOKUP(EXPENSETBL4583[[#This Row],[FIELD]],FFTBL[[Field]:[Acres]],2,FALSE)</f>
        <v>#N/A</v>
      </c>
      <c r="F196" t="s">
        <v>321</v>
      </c>
      <c r="G196" t="s">
        <v>297</v>
      </c>
      <c r="H196" t="s">
        <v>830</v>
      </c>
      <c r="I196" t="str">
        <f>IFERROR(VLOOKUP(EXPENSETBL4583[[#This Row],[OPERATION]],OPERATIONCOST,2,FALSE)," ")</f>
        <v xml:space="preserve"> </v>
      </c>
      <c r="J196" s="1" t="str">
        <f>IFERROR(VLOOKUP(EXPENSETBL4583[[#This Row],[OPERATION]],OPERATIONCOST,3,FALSE)," ")</f>
        <v xml:space="preserve"> </v>
      </c>
      <c r="K196">
        <v>7642</v>
      </c>
      <c r="L196" s="17">
        <f t="shared" si="18"/>
        <v>1</v>
      </c>
      <c r="M196" s="17">
        <f t="shared" si="19"/>
        <v>0</v>
      </c>
      <c r="N196" s="1" t="str">
        <f>IFERROR((EXPENSETBL4583[[#This Row],[MCC.ENT]]*EXPENSETBL4583[[#This Row],[TOTAL]])," ")</f>
        <v xml:space="preserve"> </v>
      </c>
      <c r="O196" s="1" t="str">
        <f>IFERROR((EXPENSETBL4583[[#This Row],[L.L.]]*EXPENSETBL4583[[#This Row],[TOTAL]])," ")</f>
        <v xml:space="preserve"> </v>
      </c>
      <c r="P196" s="1" t="str">
        <f>IFERROR((EXPENSETBL4583[[#This Row],[QTY]]*EXPENSETBL4583[[#This Row],[$/UOM]])," ")</f>
        <v xml:space="preserve"> </v>
      </c>
      <c r="Q196" s="1" t="s">
        <v>294</v>
      </c>
      <c r="R196">
        <v>2022</v>
      </c>
    </row>
    <row r="197" spans="2:18" hidden="1" x14ac:dyDescent="0.25">
      <c r="B197" t="s">
        <v>74</v>
      </c>
      <c r="C197" t="s">
        <v>26</v>
      </c>
      <c r="D197" t="s">
        <v>827</v>
      </c>
      <c r="E197" t="e">
        <f>VLOOKUP(EXPENSETBL4583[[#This Row],[FIELD]],FFTBL[[Field]:[Acres]],2,FALSE)</f>
        <v>#N/A</v>
      </c>
      <c r="F197" t="s">
        <v>321</v>
      </c>
      <c r="G197" t="s">
        <v>297</v>
      </c>
      <c r="H197" t="s">
        <v>830</v>
      </c>
      <c r="I197" t="str">
        <f>IFERROR(VLOOKUP(EXPENSETBL4583[[#This Row],[OPERATION]],OPERATIONCOST,2,FALSE)," ")</f>
        <v xml:space="preserve"> </v>
      </c>
      <c r="J197" s="1" t="str">
        <f>IFERROR(VLOOKUP(EXPENSETBL4583[[#This Row],[OPERATION]],OPERATIONCOST,3,FALSE)," ")</f>
        <v xml:space="preserve"> </v>
      </c>
      <c r="K197">
        <v>12699</v>
      </c>
      <c r="L197" s="17">
        <f t="shared" si="18"/>
        <v>1</v>
      </c>
      <c r="M197" s="17">
        <f t="shared" si="19"/>
        <v>0</v>
      </c>
      <c r="N197" s="1" t="str">
        <f>IFERROR((EXPENSETBL4583[[#This Row],[MCC.ENT]]*EXPENSETBL4583[[#This Row],[TOTAL]])," ")</f>
        <v xml:space="preserve"> </v>
      </c>
      <c r="O197" s="1" t="str">
        <f>IFERROR((EXPENSETBL4583[[#This Row],[L.L.]]*EXPENSETBL4583[[#This Row],[TOTAL]])," ")</f>
        <v xml:space="preserve"> </v>
      </c>
      <c r="P197" s="1" t="str">
        <f>IFERROR((EXPENSETBL4583[[#This Row],[QTY]]*EXPENSETBL4583[[#This Row],[$/UOM]])," ")</f>
        <v xml:space="preserve"> </v>
      </c>
      <c r="Q197" s="1" t="s">
        <v>293</v>
      </c>
      <c r="R197">
        <v>2022</v>
      </c>
    </row>
    <row r="198" spans="2:18" hidden="1" x14ac:dyDescent="0.25">
      <c r="B198" t="s">
        <v>74</v>
      </c>
      <c r="C198" t="s">
        <v>32</v>
      </c>
      <c r="D198" t="s">
        <v>250</v>
      </c>
      <c r="E198">
        <f>VLOOKUP(EXPENSETBL4583[[#This Row],[FIELD]],FFTBL[[Field]:[Acres]],2,FALSE)</f>
        <v>68.260000000000005</v>
      </c>
      <c r="F198" t="s">
        <v>321</v>
      </c>
      <c r="G198" t="s">
        <v>297</v>
      </c>
      <c r="H198" t="s">
        <v>830</v>
      </c>
      <c r="I198" t="str">
        <f>IFERROR(VLOOKUP(EXPENSETBL4583[[#This Row],[OPERATION]],OPERATIONCOST,2,FALSE)," ")</f>
        <v xml:space="preserve"> </v>
      </c>
      <c r="J198" s="1" t="str">
        <f>IFERROR(VLOOKUP(EXPENSETBL4583[[#This Row],[OPERATION]],OPERATIONCOST,3,FALSE)," ")</f>
        <v xml:space="preserve"> </v>
      </c>
      <c r="K198">
        <v>6725</v>
      </c>
      <c r="L198" s="17">
        <f t="shared" si="18"/>
        <v>1</v>
      </c>
      <c r="M198" s="17">
        <f t="shared" si="19"/>
        <v>0</v>
      </c>
      <c r="N198" s="1" t="str">
        <f>IFERROR((EXPENSETBL4583[[#This Row],[MCC.ENT]]*EXPENSETBL4583[[#This Row],[TOTAL]])," ")</f>
        <v xml:space="preserve"> </v>
      </c>
      <c r="O198" s="1" t="str">
        <f>IFERROR((EXPENSETBL4583[[#This Row],[L.L.]]*EXPENSETBL4583[[#This Row],[TOTAL]])," ")</f>
        <v xml:space="preserve"> </v>
      </c>
      <c r="P198" s="1" t="str">
        <f>IFERROR((EXPENSETBL4583[[#This Row],[QTY]]*EXPENSETBL4583[[#This Row],[$/UOM]])," ")</f>
        <v xml:space="preserve"> </v>
      </c>
      <c r="Q198" s="1" t="s">
        <v>293</v>
      </c>
      <c r="R198">
        <v>2022</v>
      </c>
    </row>
    <row r="199" spans="2:18" hidden="1" x14ac:dyDescent="0.25">
      <c r="B199" t="s">
        <v>74</v>
      </c>
      <c r="C199" t="s">
        <v>32</v>
      </c>
      <c r="D199" t="s">
        <v>252</v>
      </c>
      <c r="E199">
        <f>VLOOKUP(EXPENSETBL4583[[#This Row],[FIELD]],FFTBL[[Field]:[Acres]],2,FALSE)</f>
        <v>98.77</v>
      </c>
      <c r="F199" t="s">
        <v>321</v>
      </c>
      <c r="G199" t="s">
        <v>297</v>
      </c>
      <c r="H199" t="s">
        <v>830</v>
      </c>
      <c r="I199" t="str">
        <f>IFERROR(VLOOKUP(EXPENSETBL4583[[#This Row],[OPERATION]],OPERATIONCOST,2,FALSE)," ")</f>
        <v xml:space="preserve"> </v>
      </c>
      <c r="J199" s="1" t="str">
        <f>IFERROR(VLOOKUP(EXPENSETBL4583[[#This Row],[OPERATION]],OPERATIONCOST,3,FALSE)," ")</f>
        <v xml:space="preserve"> </v>
      </c>
      <c r="K199">
        <v>9494</v>
      </c>
      <c r="L199" s="17">
        <f t="shared" si="18"/>
        <v>1</v>
      </c>
      <c r="M199" s="17">
        <f t="shared" si="19"/>
        <v>0</v>
      </c>
      <c r="N199" s="1" t="str">
        <f>IFERROR((EXPENSETBL4583[[#This Row],[MCC.ENT]]*EXPENSETBL4583[[#This Row],[TOTAL]])," ")</f>
        <v xml:space="preserve"> </v>
      </c>
      <c r="O199" s="1" t="str">
        <f>IFERROR((EXPENSETBL4583[[#This Row],[L.L.]]*EXPENSETBL4583[[#This Row],[TOTAL]])," ")</f>
        <v xml:space="preserve"> </v>
      </c>
      <c r="P199" s="1" t="str">
        <f>IFERROR((EXPENSETBL4583[[#This Row],[QTY]]*EXPENSETBL4583[[#This Row],[$/UOM]])," ")</f>
        <v xml:space="preserve"> </v>
      </c>
      <c r="Q199" s="1" t="s">
        <v>293</v>
      </c>
      <c r="R199">
        <v>2022</v>
      </c>
    </row>
    <row r="200" spans="2:18" hidden="1" x14ac:dyDescent="0.25">
      <c r="B200" t="s">
        <v>74</v>
      </c>
      <c r="C200" t="s">
        <v>35</v>
      </c>
      <c r="D200" t="s">
        <v>828</v>
      </c>
      <c r="E200">
        <f>VLOOKUP(EXPENSETBL4583[[#This Row],[FIELD]],FFTBL[[Field]:[Acres]],2,FALSE)</f>
        <v>75.300000000000011</v>
      </c>
      <c r="F200" t="s">
        <v>321</v>
      </c>
      <c r="G200" t="s">
        <v>297</v>
      </c>
      <c r="H200" t="s">
        <v>830</v>
      </c>
      <c r="I200" t="str">
        <f>IFERROR(VLOOKUP(EXPENSETBL4583[[#This Row],[OPERATION]],OPERATIONCOST,2,FALSE)," ")</f>
        <v xml:space="preserve"> </v>
      </c>
      <c r="J200" s="1" t="str">
        <f>IFERROR(VLOOKUP(EXPENSETBL4583[[#This Row],[OPERATION]],OPERATIONCOST,3,FALSE)," ")</f>
        <v xml:space="preserve"> </v>
      </c>
      <c r="K200">
        <v>4945</v>
      </c>
      <c r="L200" s="17">
        <f t="shared" si="18"/>
        <v>1</v>
      </c>
      <c r="M200" s="17">
        <f t="shared" si="19"/>
        <v>0</v>
      </c>
      <c r="N200" s="1" t="str">
        <f>IFERROR((EXPENSETBL4583[[#This Row],[MCC.ENT]]*EXPENSETBL4583[[#This Row],[TOTAL]])," ")</f>
        <v xml:space="preserve"> </v>
      </c>
      <c r="O200" s="1" t="str">
        <f>IFERROR((EXPENSETBL4583[[#This Row],[L.L.]]*EXPENSETBL4583[[#This Row],[TOTAL]])," ")</f>
        <v xml:space="preserve"> </v>
      </c>
      <c r="P200" s="1" t="str">
        <f>IFERROR((EXPENSETBL4583[[#This Row],[QTY]]*EXPENSETBL4583[[#This Row],[$/UOM]])," ")</f>
        <v xml:space="preserve"> </v>
      </c>
      <c r="Q200" s="1" t="s">
        <v>294</v>
      </c>
      <c r="R200">
        <v>2022</v>
      </c>
    </row>
    <row r="201" spans="2:18" hidden="1" x14ac:dyDescent="0.25">
      <c r="B201" t="s">
        <v>74</v>
      </c>
      <c r="C201" t="s">
        <v>80</v>
      </c>
      <c r="D201" t="s">
        <v>273</v>
      </c>
      <c r="E201">
        <f>VLOOKUP(EXPENSETBL4583[[#This Row],[FIELD]],FFTBL[[Field]:[Acres]],2,FALSE)</f>
        <v>157.56</v>
      </c>
      <c r="F201" t="s">
        <v>323</v>
      </c>
      <c r="G201" t="s">
        <v>297</v>
      </c>
      <c r="H201" t="s">
        <v>406</v>
      </c>
      <c r="I201" t="str">
        <f>IFERROR(VLOOKUP(EXPENSETBL4583[[#This Row],[OPERATION]],OPERATIONCOST,2,FALSE)," ")</f>
        <v>ACRE</v>
      </c>
      <c r="J201" s="1">
        <f>IFERROR(VLOOKUP(EXPENSETBL4583[[#This Row],[OPERATION]],OPERATIONCOST,3,FALSE)," ")</f>
        <v>-17</v>
      </c>
      <c r="K201">
        <f>IF(EXPENSETBL4583[[#This Row],[UOM]]="acre",EXPENSETBL4583[[#This Row],[ACRES]]," ")</f>
        <v>157.56</v>
      </c>
      <c r="L201" s="17">
        <f t="shared" si="18"/>
        <v>1</v>
      </c>
      <c r="M201" s="17">
        <f t="shared" si="19"/>
        <v>0</v>
      </c>
      <c r="N201" s="1">
        <f>IFERROR((EXPENSETBL4583[[#This Row],[MCC.ENT]]*EXPENSETBL4583[[#This Row],[TOTAL]])," ")</f>
        <v>-2678.52</v>
      </c>
      <c r="O201" s="1">
        <f>IFERROR((EXPENSETBL4583[[#This Row],[L.L.]]*EXPENSETBL4583[[#This Row],[TOTAL]])," ")</f>
        <v>0</v>
      </c>
      <c r="P201" s="1">
        <f>IFERROR((EXPENSETBL4583[[#This Row],[QTY]]*EXPENSETBL4583[[#This Row],[$/UOM]])," ")</f>
        <v>-2678.52</v>
      </c>
      <c r="Q201" s="1" t="s">
        <v>295</v>
      </c>
      <c r="R201">
        <v>2022</v>
      </c>
    </row>
    <row r="202" spans="2:18" hidden="1" x14ac:dyDescent="0.25">
      <c r="B202" t="s">
        <v>74</v>
      </c>
      <c r="C202" t="s">
        <v>32</v>
      </c>
      <c r="D202" t="s">
        <v>231</v>
      </c>
      <c r="E202">
        <f>VLOOKUP(EXPENSETBL4583[[#This Row],[FIELD]],FFTBL[[Field]:[Acres]],2,FALSE)</f>
        <v>156.78</v>
      </c>
      <c r="F202" t="s">
        <v>323</v>
      </c>
      <c r="G202" t="s">
        <v>297</v>
      </c>
      <c r="H202" t="s">
        <v>406</v>
      </c>
      <c r="I202" t="str">
        <f>IFERROR(VLOOKUP(EXPENSETBL4583[[#This Row],[OPERATION]],OPERATIONCOST,2,FALSE)," ")</f>
        <v>ACRE</v>
      </c>
      <c r="J202" s="1">
        <f>IFERROR(VLOOKUP(EXPENSETBL4583[[#This Row],[OPERATION]],OPERATIONCOST,3,FALSE)," ")</f>
        <v>-17</v>
      </c>
      <c r="K202">
        <f>IF(EXPENSETBL4583[[#This Row],[UOM]]="acre",EXPENSETBL4583[[#This Row],[ACRES]]," ")</f>
        <v>156.78</v>
      </c>
      <c r="L202" s="17">
        <f t="shared" si="18"/>
        <v>1</v>
      </c>
      <c r="M202" s="17">
        <f t="shared" si="19"/>
        <v>0</v>
      </c>
      <c r="N202" s="1">
        <f>IFERROR((EXPENSETBL4583[[#This Row],[MCC.ENT]]*EXPENSETBL4583[[#This Row],[TOTAL]])," ")</f>
        <v>-2665.26</v>
      </c>
      <c r="O202" s="1">
        <f>IFERROR((EXPENSETBL4583[[#This Row],[L.L.]]*EXPENSETBL4583[[#This Row],[TOTAL]])," ")</f>
        <v>0</v>
      </c>
      <c r="P202" s="1">
        <f>IFERROR((EXPENSETBL4583[[#This Row],[QTY]]*EXPENSETBL4583[[#This Row],[$/UOM]])," ")</f>
        <v>-2665.26</v>
      </c>
      <c r="Q202" s="1" t="s">
        <v>295</v>
      </c>
      <c r="R202">
        <v>2022</v>
      </c>
    </row>
    <row r="203" spans="2:18" hidden="1" x14ac:dyDescent="0.25">
      <c r="B203" t="s">
        <v>74</v>
      </c>
      <c r="C203" t="s">
        <v>26</v>
      </c>
      <c r="D203" t="s">
        <v>171</v>
      </c>
      <c r="E203">
        <f>VLOOKUP(EXPENSETBL4583[[#This Row],[FIELD]],FFTBL[[Field]:[Acres]],2,FALSE)</f>
        <v>64.8</v>
      </c>
      <c r="F203" t="s">
        <v>323</v>
      </c>
      <c r="G203" t="s">
        <v>297</v>
      </c>
      <c r="H203" t="s">
        <v>406</v>
      </c>
      <c r="I203" t="str">
        <f>IFERROR(VLOOKUP(EXPENSETBL4583[[#This Row],[OPERATION]],OPERATIONCOST,2,FALSE)," ")</f>
        <v>ACRE</v>
      </c>
      <c r="J203" s="1">
        <f>IFERROR(VLOOKUP(EXPENSETBL4583[[#This Row],[OPERATION]],OPERATIONCOST,3,FALSE)," ")</f>
        <v>-17</v>
      </c>
      <c r="K203">
        <f>IF(EXPENSETBL4583[[#This Row],[UOM]]="acre",EXPENSETBL4583[[#This Row],[ACRES]]," ")</f>
        <v>64.8</v>
      </c>
      <c r="L203" s="17">
        <f t="shared" si="18"/>
        <v>1</v>
      </c>
      <c r="M203" s="17">
        <f t="shared" si="19"/>
        <v>0</v>
      </c>
      <c r="N203" s="1">
        <f>IFERROR((EXPENSETBL4583[[#This Row],[MCC.ENT]]*EXPENSETBL4583[[#This Row],[TOTAL]])," ")</f>
        <v>-1101.5999999999999</v>
      </c>
      <c r="O203" s="1">
        <f>IFERROR((EXPENSETBL4583[[#This Row],[L.L.]]*EXPENSETBL4583[[#This Row],[TOTAL]])," ")</f>
        <v>0</v>
      </c>
      <c r="P203" s="1">
        <f>IFERROR((EXPENSETBL4583[[#This Row],[QTY]]*EXPENSETBL4583[[#This Row],[$/UOM]])," ")</f>
        <v>-1101.5999999999999</v>
      </c>
      <c r="Q203" s="1" t="s">
        <v>293</v>
      </c>
      <c r="R203">
        <v>2022</v>
      </c>
    </row>
    <row r="204" spans="2:18" hidden="1" x14ac:dyDescent="0.25">
      <c r="B204" t="s">
        <v>74</v>
      </c>
      <c r="C204" t="s">
        <v>26</v>
      </c>
      <c r="D204" t="s">
        <v>180</v>
      </c>
      <c r="E204">
        <f>VLOOKUP(EXPENSETBL4583[[#This Row],[FIELD]],FFTBL[[Field]:[Acres]],2,FALSE)</f>
        <v>44.69</v>
      </c>
      <c r="F204" t="s">
        <v>323</v>
      </c>
      <c r="G204" t="s">
        <v>297</v>
      </c>
      <c r="H204" t="s">
        <v>406</v>
      </c>
      <c r="I204" t="str">
        <f>IFERROR(VLOOKUP(EXPENSETBL4583[[#This Row],[OPERATION]],OPERATIONCOST,2,FALSE)," ")</f>
        <v>ACRE</v>
      </c>
      <c r="J204" s="1">
        <f>IFERROR(VLOOKUP(EXPENSETBL4583[[#This Row],[OPERATION]],OPERATIONCOST,3,FALSE)," ")</f>
        <v>-17</v>
      </c>
      <c r="K204">
        <f>IF(EXPENSETBL4583[[#This Row],[UOM]]="acre",EXPENSETBL4583[[#This Row],[ACRES]]," ")</f>
        <v>44.69</v>
      </c>
      <c r="L204" s="17">
        <f t="shared" si="18"/>
        <v>1</v>
      </c>
      <c r="M204" s="17">
        <f t="shared" si="19"/>
        <v>0</v>
      </c>
      <c r="N204" s="1">
        <f>IFERROR((EXPENSETBL4583[[#This Row],[MCC.ENT]]*EXPENSETBL4583[[#This Row],[TOTAL]])," ")</f>
        <v>-759.73</v>
      </c>
      <c r="O204" s="1">
        <f>IFERROR((EXPENSETBL4583[[#This Row],[L.L.]]*EXPENSETBL4583[[#This Row],[TOTAL]])," ")</f>
        <v>0</v>
      </c>
      <c r="P204" s="1">
        <f>IFERROR((EXPENSETBL4583[[#This Row],[QTY]]*EXPENSETBL4583[[#This Row],[$/UOM]])," ")</f>
        <v>-759.73</v>
      </c>
      <c r="Q204" s="1" t="s">
        <v>293</v>
      </c>
      <c r="R204">
        <v>2022</v>
      </c>
    </row>
    <row r="205" spans="2:18" hidden="1" x14ac:dyDescent="0.25">
      <c r="B205" t="s">
        <v>74</v>
      </c>
      <c r="C205" t="s">
        <v>26</v>
      </c>
      <c r="D205" t="s">
        <v>182</v>
      </c>
      <c r="E205">
        <f>VLOOKUP(EXPENSETBL4583[[#This Row],[FIELD]],FFTBL[[Field]:[Acres]],2,FALSE)</f>
        <v>160</v>
      </c>
      <c r="F205" t="s">
        <v>323</v>
      </c>
      <c r="G205" t="s">
        <v>297</v>
      </c>
      <c r="H205" t="s">
        <v>406</v>
      </c>
      <c r="I205" t="str">
        <f>IFERROR(VLOOKUP(EXPENSETBL4583[[#This Row],[OPERATION]],OPERATIONCOST,2,FALSE)," ")</f>
        <v>ACRE</v>
      </c>
      <c r="J205" s="1">
        <f>IFERROR(VLOOKUP(EXPENSETBL4583[[#This Row],[OPERATION]],OPERATIONCOST,3,FALSE)," ")</f>
        <v>-17</v>
      </c>
      <c r="K205">
        <f>IF(EXPENSETBL4583[[#This Row],[UOM]]="acre",EXPENSETBL4583[[#This Row],[ACRES]]," ")</f>
        <v>160</v>
      </c>
      <c r="L205" s="17">
        <f t="shared" si="18"/>
        <v>1</v>
      </c>
      <c r="M205" s="17">
        <f t="shared" si="19"/>
        <v>0</v>
      </c>
      <c r="N205" s="1">
        <f>IFERROR((EXPENSETBL4583[[#This Row],[MCC.ENT]]*EXPENSETBL4583[[#This Row],[TOTAL]])," ")</f>
        <v>-2720</v>
      </c>
      <c r="O205" s="1">
        <f>IFERROR((EXPENSETBL4583[[#This Row],[L.L.]]*EXPENSETBL4583[[#This Row],[TOTAL]])," ")</f>
        <v>0</v>
      </c>
      <c r="P205" s="1">
        <f>IFERROR((EXPENSETBL4583[[#This Row],[QTY]]*EXPENSETBL4583[[#This Row],[$/UOM]])," ")</f>
        <v>-2720</v>
      </c>
      <c r="Q205" s="1" t="s">
        <v>293</v>
      </c>
      <c r="R205">
        <v>2022</v>
      </c>
    </row>
    <row r="206" spans="2:18" hidden="1" x14ac:dyDescent="0.25">
      <c r="B206" t="s">
        <v>74</v>
      </c>
      <c r="C206" t="s">
        <v>26</v>
      </c>
      <c r="D206" t="s">
        <v>826</v>
      </c>
      <c r="E206" t="e">
        <f>VLOOKUP(EXPENSETBL4583[[#This Row],[FIELD]],FFTBL[[Field]:[Acres]],2,FALSE)</f>
        <v>#N/A</v>
      </c>
      <c r="F206" t="s">
        <v>323</v>
      </c>
      <c r="G206" t="s">
        <v>297</v>
      </c>
      <c r="H206" t="s">
        <v>406</v>
      </c>
      <c r="I206" t="str">
        <f>IFERROR(VLOOKUP(EXPENSETBL4583[[#This Row],[OPERATION]],OPERATIONCOST,2,FALSE)," ")</f>
        <v>ACRE</v>
      </c>
      <c r="J206" s="1">
        <f>IFERROR(VLOOKUP(EXPENSETBL4583[[#This Row],[OPERATION]],OPERATIONCOST,3,FALSE)," ")</f>
        <v>-17</v>
      </c>
      <c r="K206" t="e">
        <f>IF(EXPENSETBL4583[[#This Row],[UOM]]="acre",EXPENSETBL4583[[#This Row],[ACRES]]," ")</f>
        <v>#N/A</v>
      </c>
      <c r="L206" s="17">
        <f t="shared" si="18"/>
        <v>1</v>
      </c>
      <c r="M206" s="17">
        <f t="shared" si="19"/>
        <v>0</v>
      </c>
      <c r="N206" s="1" t="str">
        <f>IFERROR((EXPENSETBL4583[[#This Row],[MCC.ENT]]*EXPENSETBL4583[[#This Row],[TOTAL]])," ")</f>
        <v xml:space="preserve"> </v>
      </c>
      <c r="O206" s="1" t="str">
        <f>IFERROR((EXPENSETBL4583[[#This Row],[L.L.]]*EXPENSETBL4583[[#This Row],[TOTAL]])," ")</f>
        <v xml:space="preserve"> </v>
      </c>
      <c r="P206" s="1" t="str">
        <f>IFERROR((EXPENSETBL4583[[#This Row],[QTY]]*EXPENSETBL4583[[#This Row],[$/UOM]])," ")</f>
        <v xml:space="preserve"> </v>
      </c>
      <c r="Q206" s="1" t="s">
        <v>294</v>
      </c>
      <c r="R206">
        <v>2022</v>
      </c>
    </row>
    <row r="207" spans="2:18" hidden="1" x14ac:dyDescent="0.25">
      <c r="B207" t="s">
        <v>74</v>
      </c>
      <c r="C207" t="s">
        <v>26</v>
      </c>
      <c r="D207" t="s">
        <v>827</v>
      </c>
      <c r="E207" t="e">
        <f>VLOOKUP(EXPENSETBL4583[[#This Row],[FIELD]],FFTBL[[Field]:[Acres]],2,FALSE)</f>
        <v>#N/A</v>
      </c>
      <c r="F207" t="s">
        <v>323</v>
      </c>
      <c r="G207" t="s">
        <v>297</v>
      </c>
      <c r="H207" t="s">
        <v>406</v>
      </c>
      <c r="I207" t="str">
        <f>IFERROR(VLOOKUP(EXPENSETBL4583[[#This Row],[OPERATION]],OPERATIONCOST,2,FALSE)," ")</f>
        <v>ACRE</v>
      </c>
      <c r="J207" s="1">
        <f>IFERROR(VLOOKUP(EXPENSETBL4583[[#This Row],[OPERATION]],OPERATIONCOST,3,FALSE)," ")</f>
        <v>-17</v>
      </c>
      <c r="K207" t="e">
        <f>IF(EXPENSETBL4583[[#This Row],[UOM]]="acre",EXPENSETBL4583[[#This Row],[ACRES]]," ")</f>
        <v>#N/A</v>
      </c>
      <c r="L207" s="17">
        <f t="shared" si="18"/>
        <v>1</v>
      </c>
      <c r="M207" s="17">
        <f t="shared" si="19"/>
        <v>0</v>
      </c>
      <c r="N207" s="1" t="str">
        <f>IFERROR((EXPENSETBL4583[[#This Row],[MCC.ENT]]*EXPENSETBL4583[[#This Row],[TOTAL]])," ")</f>
        <v xml:space="preserve"> </v>
      </c>
      <c r="O207" s="1" t="str">
        <f>IFERROR((EXPENSETBL4583[[#This Row],[L.L.]]*EXPENSETBL4583[[#This Row],[TOTAL]])," ")</f>
        <v xml:space="preserve"> </v>
      </c>
      <c r="P207" s="1" t="str">
        <f>IFERROR((EXPENSETBL4583[[#This Row],[QTY]]*EXPENSETBL4583[[#This Row],[$/UOM]])," ")</f>
        <v xml:space="preserve"> </v>
      </c>
      <c r="Q207" s="1" t="s">
        <v>293</v>
      </c>
      <c r="R207">
        <v>2022</v>
      </c>
    </row>
    <row r="208" spans="2:18" hidden="1" x14ac:dyDescent="0.25">
      <c r="B208" t="s">
        <v>74</v>
      </c>
      <c r="C208" t="s">
        <v>32</v>
      </c>
      <c r="D208" t="s">
        <v>250</v>
      </c>
      <c r="E208">
        <f>VLOOKUP(EXPENSETBL4583[[#This Row],[FIELD]],FFTBL[[Field]:[Acres]],2,FALSE)</f>
        <v>68.260000000000005</v>
      </c>
      <c r="F208" t="s">
        <v>323</v>
      </c>
      <c r="G208" t="s">
        <v>297</v>
      </c>
      <c r="H208" t="s">
        <v>406</v>
      </c>
      <c r="I208" t="str">
        <f>IFERROR(VLOOKUP(EXPENSETBL4583[[#This Row],[OPERATION]],OPERATIONCOST,2,FALSE)," ")</f>
        <v>ACRE</v>
      </c>
      <c r="J208" s="1">
        <f>IFERROR(VLOOKUP(EXPENSETBL4583[[#This Row],[OPERATION]],OPERATIONCOST,3,FALSE)," ")</f>
        <v>-17</v>
      </c>
      <c r="K208">
        <f>IF(EXPENSETBL4583[[#This Row],[UOM]]="acre",EXPENSETBL4583[[#This Row],[ACRES]]," ")</f>
        <v>68.260000000000005</v>
      </c>
      <c r="L208" s="17">
        <f t="shared" si="18"/>
        <v>1</v>
      </c>
      <c r="M208" s="17">
        <f t="shared" si="19"/>
        <v>0</v>
      </c>
      <c r="N208" s="1">
        <f>IFERROR((EXPENSETBL4583[[#This Row],[MCC.ENT]]*EXPENSETBL4583[[#This Row],[TOTAL]])," ")</f>
        <v>-1160.42</v>
      </c>
      <c r="O208" s="1">
        <f>IFERROR((EXPENSETBL4583[[#This Row],[L.L.]]*EXPENSETBL4583[[#This Row],[TOTAL]])," ")</f>
        <v>0</v>
      </c>
      <c r="P208" s="1">
        <f>IFERROR((EXPENSETBL4583[[#This Row],[QTY]]*EXPENSETBL4583[[#This Row],[$/UOM]])," ")</f>
        <v>-1160.42</v>
      </c>
      <c r="Q208" s="1" t="s">
        <v>293</v>
      </c>
      <c r="R208">
        <v>2022</v>
      </c>
    </row>
    <row r="209" spans="2:18" hidden="1" x14ac:dyDescent="0.25">
      <c r="B209" t="s">
        <v>74</v>
      </c>
      <c r="C209" t="s">
        <v>32</v>
      </c>
      <c r="D209" t="s">
        <v>252</v>
      </c>
      <c r="E209">
        <f>VLOOKUP(EXPENSETBL4583[[#This Row],[FIELD]],FFTBL[[Field]:[Acres]],2,FALSE)</f>
        <v>98.77</v>
      </c>
      <c r="F209" t="s">
        <v>323</v>
      </c>
      <c r="G209" t="s">
        <v>297</v>
      </c>
      <c r="H209" t="s">
        <v>406</v>
      </c>
      <c r="I209" t="str">
        <f>IFERROR(VLOOKUP(EXPENSETBL4583[[#This Row],[OPERATION]],OPERATIONCOST,2,FALSE)," ")</f>
        <v>ACRE</v>
      </c>
      <c r="J209" s="1">
        <f>IFERROR(VLOOKUP(EXPENSETBL4583[[#This Row],[OPERATION]],OPERATIONCOST,3,FALSE)," ")</f>
        <v>-17</v>
      </c>
      <c r="K209">
        <f>IF(EXPENSETBL4583[[#This Row],[UOM]]="acre",EXPENSETBL4583[[#This Row],[ACRES]]," ")</f>
        <v>98.77</v>
      </c>
      <c r="L209" s="17">
        <f t="shared" si="18"/>
        <v>1</v>
      </c>
      <c r="M209" s="17">
        <f t="shared" si="19"/>
        <v>0</v>
      </c>
      <c r="N209" s="1">
        <f>IFERROR((EXPENSETBL4583[[#This Row],[MCC.ENT]]*EXPENSETBL4583[[#This Row],[TOTAL]])," ")</f>
        <v>-1679.09</v>
      </c>
      <c r="O209" s="1">
        <f>IFERROR((EXPENSETBL4583[[#This Row],[L.L.]]*EXPENSETBL4583[[#This Row],[TOTAL]])," ")</f>
        <v>0</v>
      </c>
      <c r="P209" s="1">
        <f>IFERROR((EXPENSETBL4583[[#This Row],[QTY]]*EXPENSETBL4583[[#This Row],[$/UOM]])," ")</f>
        <v>-1679.09</v>
      </c>
      <c r="Q209" s="1" t="s">
        <v>293</v>
      </c>
      <c r="R209">
        <v>2022</v>
      </c>
    </row>
    <row r="210" spans="2:18" hidden="1" x14ac:dyDescent="0.25">
      <c r="B210" t="s">
        <v>74</v>
      </c>
      <c r="C210" t="s">
        <v>35</v>
      </c>
      <c r="D210" t="s">
        <v>828</v>
      </c>
      <c r="E210">
        <f>VLOOKUP(EXPENSETBL4583[[#This Row],[FIELD]],FFTBL[[Field]:[Acres]],2,FALSE)</f>
        <v>75.300000000000011</v>
      </c>
      <c r="F210" t="s">
        <v>323</v>
      </c>
      <c r="G210" t="s">
        <v>297</v>
      </c>
      <c r="H210" t="s">
        <v>406</v>
      </c>
      <c r="I210" t="str">
        <f>IFERROR(VLOOKUP(EXPENSETBL4583[[#This Row],[OPERATION]],OPERATIONCOST,2,FALSE)," ")</f>
        <v>ACRE</v>
      </c>
      <c r="J210" s="1">
        <f>IFERROR(VLOOKUP(EXPENSETBL4583[[#This Row],[OPERATION]],OPERATIONCOST,3,FALSE)," ")</f>
        <v>-17</v>
      </c>
      <c r="K210">
        <f>IF(EXPENSETBL4583[[#This Row],[UOM]]="acre",EXPENSETBL4583[[#This Row],[ACRES]]," ")</f>
        <v>75.300000000000011</v>
      </c>
      <c r="L210" s="17">
        <f t="shared" si="18"/>
        <v>1</v>
      </c>
      <c r="M210" s="17">
        <f t="shared" si="19"/>
        <v>0</v>
      </c>
      <c r="N210" s="1">
        <f>IFERROR((EXPENSETBL4583[[#This Row],[MCC.ENT]]*EXPENSETBL4583[[#This Row],[TOTAL]])," ")</f>
        <v>-1280.1000000000001</v>
      </c>
      <c r="O210" s="1">
        <f>IFERROR((EXPENSETBL4583[[#This Row],[L.L.]]*EXPENSETBL4583[[#This Row],[TOTAL]])," ")</f>
        <v>0</v>
      </c>
      <c r="P210" s="1">
        <f>IFERROR((EXPENSETBL4583[[#This Row],[QTY]]*EXPENSETBL4583[[#This Row],[$/UOM]])," ")</f>
        <v>-1280.1000000000001</v>
      </c>
      <c r="Q210" s="1" t="s">
        <v>294</v>
      </c>
      <c r="R210">
        <v>2022</v>
      </c>
    </row>
    <row r="211" spans="2:18" hidden="1" x14ac:dyDescent="0.25">
      <c r="B211" t="s">
        <v>74</v>
      </c>
      <c r="C211" t="s">
        <v>80</v>
      </c>
      <c r="D211" t="s">
        <v>273</v>
      </c>
      <c r="E211">
        <f>VLOOKUP(EXPENSETBL4583[[#This Row],[FIELD]],FFTBL[[Field]:[Acres]],2,FALSE)</f>
        <v>157.56</v>
      </c>
      <c r="F211" t="s">
        <v>323</v>
      </c>
      <c r="G211" t="s">
        <v>297</v>
      </c>
      <c r="H211" t="s">
        <v>387</v>
      </c>
      <c r="I211" t="str">
        <f>IFERROR(VLOOKUP(EXPENSETBL4583[[#This Row],[OPERATION]],OPERATIONCOST,2,FALSE)," ")</f>
        <v>ACRE</v>
      </c>
      <c r="J211" s="1">
        <f>IFERROR(VLOOKUP(EXPENSETBL4583[[#This Row],[OPERATION]],OPERATIONCOST,3,FALSE)," ")</f>
        <v>-12</v>
      </c>
      <c r="K211">
        <f>IF(EXPENSETBL4583[[#This Row],[UOM]]="acre",EXPENSETBL4583[[#This Row],[ACRES]]," ")</f>
        <v>157.56</v>
      </c>
      <c r="L211" s="17">
        <f t="shared" si="18"/>
        <v>1</v>
      </c>
      <c r="M211" s="17">
        <f t="shared" si="19"/>
        <v>0</v>
      </c>
      <c r="N211" s="1">
        <f>IFERROR((EXPENSETBL4583[[#This Row],[MCC.ENT]]*EXPENSETBL4583[[#This Row],[TOTAL]])," ")</f>
        <v>-1890.72</v>
      </c>
      <c r="O211" s="1">
        <f>IFERROR((EXPENSETBL4583[[#This Row],[L.L.]]*EXPENSETBL4583[[#This Row],[TOTAL]])," ")</f>
        <v>0</v>
      </c>
      <c r="P211" s="1">
        <f>IFERROR((EXPENSETBL4583[[#This Row],[QTY]]*EXPENSETBL4583[[#This Row],[$/UOM]])," ")</f>
        <v>-1890.72</v>
      </c>
      <c r="Q211" s="1" t="s">
        <v>295</v>
      </c>
      <c r="R211">
        <v>2022</v>
      </c>
    </row>
    <row r="212" spans="2:18" hidden="1" x14ac:dyDescent="0.25">
      <c r="B212" t="s">
        <v>74</v>
      </c>
      <c r="C212" t="s">
        <v>32</v>
      </c>
      <c r="D212" t="s">
        <v>231</v>
      </c>
      <c r="E212">
        <f>VLOOKUP(EXPENSETBL4583[[#This Row],[FIELD]],FFTBL[[Field]:[Acres]],2,FALSE)</f>
        <v>156.78</v>
      </c>
      <c r="F212" t="s">
        <v>323</v>
      </c>
      <c r="G212" t="s">
        <v>297</v>
      </c>
      <c r="H212" t="s">
        <v>387</v>
      </c>
      <c r="I212" t="str">
        <f>IFERROR(VLOOKUP(EXPENSETBL4583[[#This Row],[OPERATION]],OPERATIONCOST,2,FALSE)," ")</f>
        <v>ACRE</v>
      </c>
      <c r="J212" s="1">
        <f>IFERROR(VLOOKUP(EXPENSETBL4583[[#This Row],[OPERATION]],OPERATIONCOST,3,FALSE)," ")</f>
        <v>-12</v>
      </c>
      <c r="K212">
        <f>IF(EXPENSETBL4583[[#This Row],[UOM]]="acre",EXPENSETBL4583[[#This Row],[ACRES]]," ")</f>
        <v>156.78</v>
      </c>
      <c r="L212" s="17">
        <f t="shared" si="18"/>
        <v>1</v>
      </c>
      <c r="M212" s="17">
        <f t="shared" si="19"/>
        <v>0</v>
      </c>
      <c r="N212" s="1">
        <f>IFERROR((EXPENSETBL4583[[#This Row],[MCC.ENT]]*EXPENSETBL4583[[#This Row],[TOTAL]])," ")</f>
        <v>-1881.3600000000001</v>
      </c>
      <c r="O212" s="1">
        <f>IFERROR((EXPENSETBL4583[[#This Row],[L.L.]]*EXPENSETBL4583[[#This Row],[TOTAL]])," ")</f>
        <v>0</v>
      </c>
      <c r="P212" s="1">
        <f>IFERROR((EXPENSETBL4583[[#This Row],[QTY]]*EXPENSETBL4583[[#This Row],[$/UOM]])," ")</f>
        <v>-1881.3600000000001</v>
      </c>
      <c r="Q212" s="1" t="s">
        <v>295</v>
      </c>
      <c r="R212">
        <v>2022</v>
      </c>
    </row>
    <row r="213" spans="2:18" hidden="1" x14ac:dyDescent="0.25">
      <c r="B213" t="s">
        <v>74</v>
      </c>
      <c r="C213" t="s">
        <v>26</v>
      </c>
      <c r="D213" t="s">
        <v>171</v>
      </c>
      <c r="E213">
        <f>VLOOKUP(EXPENSETBL4583[[#This Row],[FIELD]],FFTBL[[Field]:[Acres]],2,FALSE)</f>
        <v>64.8</v>
      </c>
      <c r="F213" t="s">
        <v>323</v>
      </c>
      <c r="G213" t="s">
        <v>297</v>
      </c>
      <c r="H213" t="s">
        <v>387</v>
      </c>
      <c r="I213" t="str">
        <f>IFERROR(VLOOKUP(EXPENSETBL4583[[#This Row],[OPERATION]],OPERATIONCOST,2,FALSE)," ")</f>
        <v>ACRE</v>
      </c>
      <c r="J213" s="1">
        <f>IFERROR(VLOOKUP(EXPENSETBL4583[[#This Row],[OPERATION]],OPERATIONCOST,3,FALSE)," ")</f>
        <v>-12</v>
      </c>
      <c r="K213">
        <f>IF(EXPENSETBL4583[[#This Row],[UOM]]="acre",EXPENSETBL4583[[#This Row],[ACRES]]," ")</f>
        <v>64.8</v>
      </c>
      <c r="L213" s="17">
        <f t="shared" si="18"/>
        <v>1</v>
      </c>
      <c r="M213" s="17">
        <f t="shared" si="19"/>
        <v>0</v>
      </c>
      <c r="N213" s="1">
        <f>IFERROR((EXPENSETBL4583[[#This Row],[MCC.ENT]]*EXPENSETBL4583[[#This Row],[TOTAL]])," ")</f>
        <v>-777.59999999999991</v>
      </c>
      <c r="O213" s="1">
        <f>IFERROR((EXPENSETBL4583[[#This Row],[L.L.]]*EXPENSETBL4583[[#This Row],[TOTAL]])," ")</f>
        <v>0</v>
      </c>
      <c r="P213" s="1">
        <f>IFERROR((EXPENSETBL4583[[#This Row],[QTY]]*EXPENSETBL4583[[#This Row],[$/UOM]])," ")</f>
        <v>-777.59999999999991</v>
      </c>
      <c r="Q213" s="1" t="s">
        <v>293</v>
      </c>
      <c r="R213">
        <v>2022</v>
      </c>
    </row>
    <row r="214" spans="2:18" hidden="1" x14ac:dyDescent="0.25">
      <c r="B214" t="s">
        <v>74</v>
      </c>
      <c r="C214" t="s">
        <v>26</v>
      </c>
      <c r="D214" t="s">
        <v>180</v>
      </c>
      <c r="E214">
        <f>VLOOKUP(EXPENSETBL4583[[#This Row],[FIELD]],FFTBL[[Field]:[Acres]],2,FALSE)</f>
        <v>44.69</v>
      </c>
      <c r="F214" t="s">
        <v>323</v>
      </c>
      <c r="G214" t="s">
        <v>297</v>
      </c>
      <c r="H214" t="s">
        <v>387</v>
      </c>
      <c r="I214" t="str">
        <f>IFERROR(VLOOKUP(EXPENSETBL4583[[#This Row],[OPERATION]],OPERATIONCOST,2,FALSE)," ")</f>
        <v>ACRE</v>
      </c>
      <c r="J214" s="1">
        <f>IFERROR(VLOOKUP(EXPENSETBL4583[[#This Row],[OPERATION]],OPERATIONCOST,3,FALSE)," ")</f>
        <v>-12</v>
      </c>
      <c r="K214">
        <f>IF(EXPENSETBL4583[[#This Row],[UOM]]="acre",EXPENSETBL4583[[#This Row],[ACRES]]," ")</f>
        <v>44.69</v>
      </c>
      <c r="L214" s="17">
        <f t="shared" si="18"/>
        <v>1</v>
      </c>
      <c r="M214" s="17">
        <f t="shared" si="19"/>
        <v>0</v>
      </c>
      <c r="N214" s="1">
        <f>IFERROR((EXPENSETBL4583[[#This Row],[MCC.ENT]]*EXPENSETBL4583[[#This Row],[TOTAL]])," ")</f>
        <v>-536.28</v>
      </c>
      <c r="O214" s="1">
        <f>IFERROR((EXPENSETBL4583[[#This Row],[L.L.]]*EXPENSETBL4583[[#This Row],[TOTAL]])," ")</f>
        <v>0</v>
      </c>
      <c r="P214" s="1">
        <f>IFERROR((EXPENSETBL4583[[#This Row],[QTY]]*EXPENSETBL4583[[#This Row],[$/UOM]])," ")</f>
        <v>-536.28</v>
      </c>
      <c r="Q214" s="1" t="s">
        <v>293</v>
      </c>
      <c r="R214">
        <v>2022</v>
      </c>
    </row>
    <row r="215" spans="2:18" hidden="1" x14ac:dyDescent="0.25">
      <c r="B215" t="s">
        <v>74</v>
      </c>
      <c r="C215" t="s">
        <v>26</v>
      </c>
      <c r="D215" t="s">
        <v>182</v>
      </c>
      <c r="E215">
        <f>VLOOKUP(EXPENSETBL4583[[#This Row],[FIELD]],FFTBL[[Field]:[Acres]],2,FALSE)</f>
        <v>160</v>
      </c>
      <c r="F215" t="s">
        <v>323</v>
      </c>
      <c r="G215" t="s">
        <v>297</v>
      </c>
      <c r="H215" t="s">
        <v>387</v>
      </c>
      <c r="I215" t="str">
        <f>IFERROR(VLOOKUP(EXPENSETBL4583[[#This Row],[OPERATION]],OPERATIONCOST,2,FALSE)," ")</f>
        <v>ACRE</v>
      </c>
      <c r="J215" s="1">
        <f>IFERROR(VLOOKUP(EXPENSETBL4583[[#This Row],[OPERATION]],OPERATIONCOST,3,FALSE)," ")</f>
        <v>-12</v>
      </c>
      <c r="K215">
        <f>IF(EXPENSETBL4583[[#This Row],[UOM]]="acre",EXPENSETBL4583[[#This Row],[ACRES]]," ")</f>
        <v>160</v>
      </c>
      <c r="L215" s="17">
        <f t="shared" si="18"/>
        <v>1</v>
      </c>
      <c r="M215" s="17">
        <f t="shared" si="19"/>
        <v>0</v>
      </c>
      <c r="N215" s="1">
        <f>IFERROR((EXPENSETBL4583[[#This Row],[MCC.ENT]]*EXPENSETBL4583[[#This Row],[TOTAL]])," ")</f>
        <v>-1920</v>
      </c>
      <c r="O215" s="1">
        <f>IFERROR((EXPENSETBL4583[[#This Row],[L.L.]]*EXPENSETBL4583[[#This Row],[TOTAL]])," ")</f>
        <v>0</v>
      </c>
      <c r="P215" s="1">
        <f>IFERROR((EXPENSETBL4583[[#This Row],[QTY]]*EXPENSETBL4583[[#This Row],[$/UOM]])," ")</f>
        <v>-1920</v>
      </c>
      <c r="Q215" s="1" t="s">
        <v>293</v>
      </c>
      <c r="R215">
        <v>2022</v>
      </c>
    </row>
    <row r="216" spans="2:18" hidden="1" x14ac:dyDescent="0.25">
      <c r="B216" t="s">
        <v>74</v>
      </c>
      <c r="C216" t="s">
        <v>26</v>
      </c>
      <c r="D216" t="s">
        <v>826</v>
      </c>
      <c r="E216" t="e">
        <f>VLOOKUP(EXPENSETBL4583[[#This Row],[FIELD]],FFTBL[[Field]:[Acres]],2,FALSE)</f>
        <v>#N/A</v>
      </c>
      <c r="F216" t="s">
        <v>323</v>
      </c>
      <c r="G216" t="s">
        <v>297</v>
      </c>
      <c r="H216" t="s">
        <v>387</v>
      </c>
      <c r="I216" t="str">
        <f>IFERROR(VLOOKUP(EXPENSETBL4583[[#This Row],[OPERATION]],OPERATIONCOST,2,FALSE)," ")</f>
        <v>ACRE</v>
      </c>
      <c r="J216" s="1">
        <f>IFERROR(VLOOKUP(EXPENSETBL4583[[#This Row],[OPERATION]],OPERATIONCOST,3,FALSE)," ")</f>
        <v>-12</v>
      </c>
      <c r="K216" t="e">
        <f>IF(EXPENSETBL4583[[#This Row],[UOM]]="acre",EXPENSETBL4583[[#This Row],[ACRES]]," ")</f>
        <v>#N/A</v>
      </c>
      <c r="L216" s="17">
        <f t="shared" si="18"/>
        <v>1</v>
      </c>
      <c r="M216" s="17">
        <f t="shared" si="19"/>
        <v>0</v>
      </c>
      <c r="N216" s="1" t="str">
        <f>IFERROR((EXPENSETBL4583[[#This Row],[MCC.ENT]]*EXPENSETBL4583[[#This Row],[TOTAL]])," ")</f>
        <v xml:space="preserve"> </v>
      </c>
      <c r="O216" s="1" t="str">
        <f>IFERROR((EXPENSETBL4583[[#This Row],[L.L.]]*EXPENSETBL4583[[#This Row],[TOTAL]])," ")</f>
        <v xml:space="preserve"> </v>
      </c>
      <c r="P216" s="1" t="str">
        <f>IFERROR((EXPENSETBL4583[[#This Row],[QTY]]*EXPENSETBL4583[[#This Row],[$/UOM]])," ")</f>
        <v xml:space="preserve"> </v>
      </c>
      <c r="Q216" s="1" t="s">
        <v>294</v>
      </c>
      <c r="R216">
        <v>2022</v>
      </c>
    </row>
    <row r="217" spans="2:18" hidden="1" x14ac:dyDescent="0.25">
      <c r="B217" t="s">
        <v>74</v>
      </c>
      <c r="C217" t="s">
        <v>26</v>
      </c>
      <c r="D217" t="s">
        <v>827</v>
      </c>
      <c r="E217" t="e">
        <f>VLOOKUP(EXPENSETBL4583[[#This Row],[FIELD]],FFTBL[[Field]:[Acres]],2,FALSE)</f>
        <v>#N/A</v>
      </c>
      <c r="F217" t="s">
        <v>323</v>
      </c>
      <c r="G217" t="s">
        <v>297</v>
      </c>
      <c r="H217" t="s">
        <v>387</v>
      </c>
      <c r="I217" t="str">
        <f>IFERROR(VLOOKUP(EXPENSETBL4583[[#This Row],[OPERATION]],OPERATIONCOST,2,FALSE)," ")</f>
        <v>ACRE</v>
      </c>
      <c r="J217" s="1">
        <f>IFERROR(VLOOKUP(EXPENSETBL4583[[#This Row],[OPERATION]],OPERATIONCOST,3,FALSE)," ")</f>
        <v>-12</v>
      </c>
      <c r="K217" t="e">
        <f>IF(EXPENSETBL4583[[#This Row],[UOM]]="acre",EXPENSETBL4583[[#This Row],[ACRES]]," ")</f>
        <v>#N/A</v>
      </c>
      <c r="L217" s="17">
        <f t="shared" si="18"/>
        <v>1</v>
      </c>
      <c r="M217" s="17">
        <f t="shared" si="19"/>
        <v>0</v>
      </c>
      <c r="N217" s="1" t="str">
        <f>IFERROR((EXPENSETBL4583[[#This Row],[MCC.ENT]]*EXPENSETBL4583[[#This Row],[TOTAL]])," ")</f>
        <v xml:space="preserve"> </v>
      </c>
      <c r="O217" s="1" t="str">
        <f>IFERROR((EXPENSETBL4583[[#This Row],[L.L.]]*EXPENSETBL4583[[#This Row],[TOTAL]])," ")</f>
        <v xml:space="preserve"> </v>
      </c>
      <c r="P217" s="1" t="str">
        <f>IFERROR((EXPENSETBL4583[[#This Row],[QTY]]*EXPENSETBL4583[[#This Row],[$/UOM]])," ")</f>
        <v xml:space="preserve"> </v>
      </c>
      <c r="Q217" s="1" t="s">
        <v>293</v>
      </c>
      <c r="R217">
        <v>2022</v>
      </c>
    </row>
    <row r="218" spans="2:18" hidden="1" x14ac:dyDescent="0.25">
      <c r="B218" t="s">
        <v>74</v>
      </c>
      <c r="C218" t="s">
        <v>80</v>
      </c>
      <c r="D218" t="s">
        <v>273</v>
      </c>
      <c r="E218">
        <f>VLOOKUP(EXPENSETBL4583[[#This Row],[FIELD]],FFTBL[[Field]:[Acres]],2,FALSE)</f>
        <v>157.56</v>
      </c>
      <c r="F218" t="s">
        <v>323</v>
      </c>
      <c r="G218" t="s">
        <v>297</v>
      </c>
      <c r="H218" t="s">
        <v>388</v>
      </c>
      <c r="I218" t="str">
        <f>IFERROR(VLOOKUP(EXPENSETBL4583[[#This Row],[OPERATION]],OPERATIONCOST,2,FALSE)," ")</f>
        <v>ACRE</v>
      </c>
      <c r="J218" s="1">
        <f>IFERROR(VLOOKUP(EXPENSETBL4583[[#This Row],[OPERATION]],OPERATIONCOST,3,FALSE)," ")</f>
        <v>-14</v>
      </c>
      <c r="K218">
        <f>IF(EXPENSETBL4583[[#This Row],[UOM]]="acre",EXPENSETBL4583[[#This Row],[ACRES]]," ")</f>
        <v>157.56</v>
      </c>
      <c r="L218" s="17">
        <f t="shared" si="18"/>
        <v>1</v>
      </c>
      <c r="M218" s="17">
        <f t="shared" si="19"/>
        <v>0</v>
      </c>
      <c r="N218" s="1">
        <f>IFERROR((EXPENSETBL4583[[#This Row],[MCC.ENT]]*EXPENSETBL4583[[#This Row],[TOTAL]])," ")</f>
        <v>-2205.84</v>
      </c>
      <c r="O218" s="1">
        <f>IFERROR((EXPENSETBL4583[[#This Row],[L.L.]]*EXPENSETBL4583[[#This Row],[TOTAL]])," ")</f>
        <v>0</v>
      </c>
      <c r="P218" s="1">
        <f>IFERROR((EXPENSETBL4583[[#This Row],[QTY]]*EXPENSETBL4583[[#This Row],[$/UOM]])," ")</f>
        <v>-2205.84</v>
      </c>
      <c r="Q218" s="1" t="s">
        <v>295</v>
      </c>
      <c r="R218">
        <v>2022</v>
      </c>
    </row>
    <row r="219" spans="2:18" hidden="1" x14ac:dyDescent="0.25">
      <c r="B219" t="s">
        <v>74</v>
      </c>
      <c r="C219" t="s">
        <v>32</v>
      </c>
      <c r="D219" t="s">
        <v>231</v>
      </c>
      <c r="E219">
        <f>VLOOKUP(EXPENSETBL4583[[#This Row],[FIELD]],FFTBL[[Field]:[Acres]],2,FALSE)</f>
        <v>156.78</v>
      </c>
      <c r="F219" t="s">
        <v>323</v>
      </c>
      <c r="G219" t="s">
        <v>297</v>
      </c>
      <c r="H219" t="s">
        <v>388</v>
      </c>
      <c r="I219" t="str">
        <f>IFERROR(VLOOKUP(EXPENSETBL4583[[#This Row],[OPERATION]],OPERATIONCOST,2,FALSE)," ")</f>
        <v>ACRE</v>
      </c>
      <c r="J219" s="1">
        <f>IFERROR(VLOOKUP(EXPENSETBL4583[[#This Row],[OPERATION]],OPERATIONCOST,3,FALSE)," ")</f>
        <v>-14</v>
      </c>
      <c r="K219">
        <f>IF(EXPENSETBL4583[[#This Row],[UOM]]="acre",EXPENSETBL4583[[#This Row],[ACRES]]," ")</f>
        <v>156.78</v>
      </c>
      <c r="L219" s="17">
        <f t="shared" si="18"/>
        <v>1</v>
      </c>
      <c r="M219" s="17">
        <f t="shared" si="19"/>
        <v>0</v>
      </c>
      <c r="N219" s="1">
        <f>IFERROR((EXPENSETBL4583[[#This Row],[MCC.ENT]]*EXPENSETBL4583[[#This Row],[TOTAL]])," ")</f>
        <v>-2194.92</v>
      </c>
      <c r="O219" s="1">
        <f>IFERROR((EXPENSETBL4583[[#This Row],[L.L.]]*EXPENSETBL4583[[#This Row],[TOTAL]])," ")</f>
        <v>0</v>
      </c>
      <c r="P219" s="1">
        <f>IFERROR((EXPENSETBL4583[[#This Row],[QTY]]*EXPENSETBL4583[[#This Row],[$/UOM]])," ")</f>
        <v>-2194.92</v>
      </c>
      <c r="Q219" s="1" t="s">
        <v>293</v>
      </c>
      <c r="R219">
        <v>2022</v>
      </c>
    </row>
    <row r="220" spans="2:18" hidden="1" x14ac:dyDescent="0.25">
      <c r="B220" t="s">
        <v>74</v>
      </c>
      <c r="C220" t="s">
        <v>26</v>
      </c>
      <c r="D220" t="s">
        <v>171</v>
      </c>
      <c r="E220">
        <f>VLOOKUP(EXPENSETBL4583[[#This Row],[FIELD]],FFTBL[[Field]:[Acres]],2,FALSE)</f>
        <v>64.8</v>
      </c>
      <c r="F220" t="s">
        <v>323</v>
      </c>
      <c r="G220" t="s">
        <v>297</v>
      </c>
      <c r="H220" t="s">
        <v>388</v>
      </c>
      <c r="I220" t="str">
        <f>IFERROR(VLOOKUP(EXPENSETBL4583[[#This Row],[OPERATION]],OPERATIONCOST,2,FALSE)," ")</f>
        <v>ACRE</v>
      </c>
      <c r="J220" s="1">
        <f>IFERROR(VLOOKUP(EXPENSETBL4583[[#This Row],[OPERATION]],OPERATIONCOST,3,FALSE)," ")</f>
        <v>-14</v>
      </c>
      <c r="K220">
        <f>IF(EXPENSETBL4583[[#This Row],[UOM]]="acre",EXPENSETBL4583[[#This Row],[ACRES]]," ")</f>
        <v>64.8</v>
      </c>
      <c r="L220" s="17">
        <f t="shared" si="18"/>
        <v>1</v>
      </c>
      <c r="M220" s="17">
        <f t="shared" si="19"/>
        <v>0</v>
      </c>
      <c r="N220" s="1">
        <f>IFERROR((EXPENSETBL4583[[#This Row],[MCC.ENT]]*EXPENSETBL4583[[#This Row],[TOTAL]])," ")</f>
        <v>-907.19999999999993</v>
      </c>
      <c r="O220" s="1">
        <f>IFERROR((EXPENSETBL4583[[#This Row],[L.L.]]*EXPENSETBL4583[[#This Row],[TOTAL]])," ")</f>
        <v>0</v>
      </c>
      <c r="P220" s="1">
        <f>IFERROR((EXPENSETBL4583[[#This Row],[QTY]]*EXPENSETBL4583[[#This Row],[$/UOM]])," ")</f>
        <v>-907.19999999999993</v>
      </c>
      <c r="Q220" s="1" t="s">
        <v>294</v>
      </c>
      <c r="R220">
        <v>2022</v>
      </c>
    </row>
    <row r="221" spans="2:18" hidden="1" x14ac:dyDescent="0.25">
      <c r="B221" t="s">
        <v>74</v>
      </c>
      <c r="C221" t="s">
        <v>26</v>
      </c>
      <c r="D221" t="s">
        <v>180</v>
      </c>
      <c r="E221">
        <f>VLOOKUP(EXPENSETBL4583[[#This Row],[FIELD]],FFTBL[[Field]:[Acres]],2,FALSE)</f>
        <v>44.69</v>
      </c>
      <c r="F221" t="s">
        <v>323</v>
      </c>
      <c r="G221" t="s">
        <v>297</v>
      </c>
      <c r="H221" t="s">
        <v>388</v>
      </c>
      <c r="I221" t="str">
        <f>IFERROR(VLOOKUP(EXPENSETBL4583[[#This Row],[OPERATION]],OPERATIONCOST,2,FALSE)," ")</f>
        <v>ACRE</v>
      </c>
      <c r="J221" s="1">
        <f>IFERROR(VLOOKUP(EXPENSETBL4583[[#This Row],[OPERATION]],OPERATIONCOST,3,FALSE)," ")</f>
        <v>-14</v>
      </c>
      <c r="K221">
        <f>IF(EXPENSETBL4583[[#This Row],[UOM]]="acre",EXPENSETBL4583[[#This Row],[ACRES]]," ")</f>
        <v>44.69</v>
      </c>
      <c r="L221" s="17">
        <f t="shared" si="18"/>
        <v>1</v>
      </c>
      <c r="M221" s="17">
        <f t="shared" si="19"/>
        <v>0</v>
      </c>
      <c r="N221" s="1">
        <f>IFERROR((EXPENSETBL4583[[#This Row],[MCC.ENT]]*EXPENSETBL4583[[#This Row],[TOTAL]])," ")</f>
        <v>-625.66</v>
      </c>
      <c r="O221" s="1">
        <f>IFERROR((EXPENSETBL4583[[#This Row],[L.L.]]*EXPENSETBL4583[[#This Row],[TOTAL]])," ")</f>
        <v>0</v>
      </c>
      <c r="P221" s="1">
        <f>IFERROR((EXPENSETBL4583[[#This Row],[QTY]]*EXPENSETBL4583[[#This Row],[$/UOM]])," ")</f>
        <v>-625.66</v>
      </c>
      <c r="Q221" s="1" t="s">
        <v>295</v>
      </c>
      <c r="R221">
        <v>2022</v>
      </c>
    </row>
    <row r="222" spans="2:18" hidden="1" x14ac:dyDescent="0.25">
      <c r="B222" t="s">
        <v>74</v>
      </c>
      <c r="C222" t="s">
        <v>26</v>
      </c>
      <c r="D222" t="s">
        <v>182</v>
      </c>
      <c r="E222">
        <f>VLOOKUP(EXPENSETBL4583[[#This Row],[FIELD]],FFTBL[[Field]:[Acres]],2,FALSE)</f>
        <v>160</v>
      </c>
      <c r="F222" t="s">
        <v>323</v>
      </c>
      <c r="G222" t="s">
        <v>297</v>
      </c>
      <c r="H222" t="s">
        <v>388</v>
      </c>
      <c r="I222" t="str">
        <f>IFERROR(VLOOKUP(EXPENSETBL4583[[#This Row],[OPERATION]],OPERATIONCOST,2,FALSE)," ")</f>
        <v>ACRE</v>
      </c>
      <c r="J222" s="1">
        <f>IFERROR(VLOOKUP(EXPENSETBL4583[[#This Row],[OPERATION]],OPERATIONCOST,3,FALSE)," ")</f>
        <v>-14</v>
      </c>
      <c r="K222">
        <f>IF(EXPENSETBL4583[[#This Row],[UOM]]="acre",EXPENSETBL4583[[#This Row],[ACRES]]," ")</f>
        <v>160</v>
      </c>
      <c r="L222" s="17">
        <f t="shared" si="18"/>
        <v>1</v>
      </c>
      <c r="M222" s="17">
        <f t="shared" si="19"/>
        <v>0</v>
      </c>
      <c r="N222" s="1">
        <f>IFERROR((EXPENSETBL4583[[#This Row],[MCC.ENT]]*EXPENSETBL4583[[#This Row],[TOTAL]])," ")</f>
        <v>-2240</v>
      </c>
      <c r="O222" s="1">
        <f>IFERROR((EXPENSETBL4583[[#This Row],[L.L.]]*EXPENSETBL4583[[#This Row],[TOTAL]])," ")</f>
        <v>0</v>
      </c>
      <c r="P222" s="1">
        <f>IFERROR((EXPENSETBL4583[[#This Row],[QTY]]*EXPENSETBL4583[[#This Row],[$/UOM]])," ")</f>
        <v>-2240</v>
      </c>
      <c r="Q222" s="1" t="s">
        <v>295</v>
      </c>
      <c r="R222">
        <v>2022</v>
      </c>
    </row>
    <row r="223" spans="2:18" hidden="1" x14ac:dyDescent="0.25">
      <c r="B223" t="s">
        <v>74</v>
      </c>
      <c r="C223" t="s">
        <v>26</v>
      </c>
      <c r="D223" t="s">
        <v>826</v>
      </c>
      <c r="E223" t="e">
        <f>VLOOKUP(EXPENSETBL4583[[#This Row],[FIELD]],FFTBL[[Field]:[Acres]],2,FALSE)</f>
        <v>#N/A</v>
      </c>
      <c r="F223" t="s">
        <v>323</v>
      </c>
      <c r="G223" t="s">
        <v>297</v>
      </c>
      <c r="H223" t="s">
        <v>388</v>
      </c>
      <c r="I223" t="str">
        <f>IFERROR(VLOOKUP(EXPENSETBL4583[[#This Row],[OPERATION]],OPERATIONCOST,2,FALSE)," ")</f>
        <v>ACRE</v>
      </c>
      <c r="J223" s="1">
        <f>IFERROR(VLOOKUP(EXPENSETBL4583[[#This Row],[OPERATION]],OPERATIONCOST,3,FALSE)," ")</f>
        <v>-14</v>
      </c>
      <c r="K223" t="e">
        <f>IF(EXPENSETBL4583[[#This Row],[UOM]]="acre",EXPENSETBL4583[[#This Row],[ACRES]]," ")</f>
        <v>#N/A</v>
      </c>
      <c r="L223" s="17">
        <f t="shared" si="18"/>
        <v>1</v>
      </c>
      <c r="M223" s="17">
        <f t="shared" si="19"/>
        <v>0</v>
      </c>
      <c r="N223" s="1" t="str">
        <f>IFERROR((EXPENSETBL4583[[#This Row],[MCC.ENT]]*EXPENSETBL4583[[#This Row],[TOTAL]])," ")</f>
        <v xml:space="preserve"> </v>
      </c>
      <c r="O223" s="1" t="str">
        <f>IFERROR((EXPENSETBL4583[[#This Row],[L.L.]]*EXPENSETBL4583[[#This Row],[TOTAL]])," ")</f>
        <v xml:space="preserve"> </v>
      </c>
      <c r="P223" s="1" t="str">
        <f>IFERROR((EXPENSETBL4583[[#This Row],[QTY]]*EXPENSETBL4583[[#This Row],[$/UOM]])," ")</f>
        <v xml:space="preserve"> </v>
      </c>
      <c r="Q223" s="1" t="s">
        <v>293</v>
      </c>
      <c r="R223">
        <v>2022</v>
      </c>
    </row>
    <row r="224" spans="2:18" hidden="1" x14ac:dyDescent="0.25">
      <c r="B224" t="s">
        <v>74</v>
      </c>
      <c r="C224" t="s">
        <v>26</v>
      </c>
      <c r="D224" t="s">
        <v>827</v>
      </c>
      <c r="E224" t="e">
        <f>VLOOKUP(EXPENSETBL4583[[#This Row],[FIELD]],FFTBL[[Field]:[Acres]],2,FALSE)</f>
        <v>#N/A</v>
      </c>
      <c r="F224" t="s">
        <v>323</v>
      </c>
      <c r="G224" t="s">
        <v>297</v>
      </c>
      <c r="H224" t="s">
        <v>388</v>
      </c>
      <c r="I224" t="str">
        <f>IFERROR(VLOOKUP(EXPENSETBL4583[[#This Row],[OPERATION]],OPERATIONCOST,2,FALSE)," ")</f>
        <v>ACRE</v>
      </c>
      <c r="J224" s="1">
        <f>IFERROR(VLOOKUP(EXPENSETBL4583[[#This Row],[OPERATION]],OPERATIONCOST,3,FALSE)," ")</f>
        <v>-14</v>
      </c>
      <c r="K224" t="e">
        <f>IF(EXPENSETBL4583[[#This Row],[UOM]]="acre",EXPENSETBL4583[[#This Row],[ACRES]]," ")</f>
        <v>#N/A</v>
      </c>
      <c r="L224" s="17">
        <f t="shared" si="18"/>
        <v>1</v>
      </c>
      <c r="M224" s="17">
        <f t="shared" si="19"/>
        <v>0</v>
      </c>
      <c r="N224" s="1" t="str">
        <f>IFERROR((EXPENSETBL4583[[#This Row],[MCC.ENT]]*EXPENSETBL4583[[#This Row],[TOTAL]])," ")</f>
        <v xml:space="preserve"> </v>
      </c>
      <c r="O224" s="1" t="str">
        <f>IFERROR((EXPENSETBL4583[[#This Row],[L.L.]]*EXPENSETBL4583[[#This Row],[TOTAL]])," ")</f>
        <v xml:space="preserve"> </v>
      </c>
      <c r="P224" s="1" t="str">
        <f>IFERROR((EXPENSETBL4583[[#This Row],[QTY]]*EXPENSETBL4583[[#This Row],[$/UOM]])," ")</f>
        <v xml:space="preserve"> </v>
      </c>
      <c r="Q224" s="1" t="s">
        <v>293</v>
      </c>
      <c r="R224">
        <v>2022</v>
      </c>
    </row>
    <row r="225" spans="2:18" hidden="1" x14ac:dyDescent="0.25">
      <c r="B225" t="s">
        <v>74</v>
      </c>
      <c r="C225" t="s">
        <v>80</v>
      </c>
      <c r="D225" t="s">
        <v>273</v>
      </c>
      <c r="E225">
        <f>VLOOKUP(EXPENSETBL4583[[#This Row],[FIELD]],FFTBL[[Field]:[Acres]],2,FALSE)</f>
        <v>157.56</v>
      </c>
      <c r="F225" t="s">
        <v>323</v>
      </c>
      <c r="G225" t="s">
        <v>297</v>
      </c>
      <c r="H225" t="s">
        <v>407</v>
      </c>
      <c r="I225" t="str">
        <f>IFERROR(VLOOKUP(EXPENSETBL4583[[#This Row],[OPERATION]],OPERATIONCOST,2,FALSE)," ")</f>
        <v>ACRE</v>
      </c>
      <c r="J225" s="1">
        <f>IFERROR(VLOOKUP(EXPENSETBL4583[[#This Row],[OPERATION]],OPERATIONCOST,3,FALSE)," ")</f>
        <v>-15</v>
      </c>
      <c r="K225">
        <f>IF(EXPENSETBL4583[[#This Row],[UOM]]="acre",EXPENSETBL4583[[#This Row],[ACRES]]," ")</f>
        <v>157.56</v>
      </c>
      <c r="L225" s="17">
        <f t="shared" si="18"/>
        <v>1</v>
      </c>
      <c r="M225" s="17">
        <f t="shared" si="19"/>
        <v>0</v>
      </c>
      <c r="N225" s="1">
        <f>IFERROR((EXPENSETBL4583[[#This Row],[MCC.ENT]]*EXPENSETBL4583[[#This Row],[TOTAL]])," ")</f>
        <v>-2363.4</v>
      </c>
      <c r="O225" s="1">
        <f>IFERROR((EXPENSETBL4583[[#This Row],[L.L.]]*EXPENSETBL4583[[#This Row],[TOTAL]])," ")</f>
        <v>0</v>
      </c>
      <c r="P225" s="1">
        <f>IFERROR((EXPENSETBL4583[[#This Row],[QTY]]*EXPENSETBL4583[[#This Row],[$/UOM]])," ")</f>
        <v>-2363.4</v>
      </c>
      <c r="Q225" s="1" t="s">
        <v>295</v>
      </c>
      <c r="R225">
        <v>2022</v>
      </c>
    </row>
    <row r="226" spans="2:18" hidden="1" x14ac:dyDescent="0.25">
      <c r="B226" t="s">
        <v>74</v>
      </c>
      <c r="C226" t="s">
        <v>32</v>
      </c>
      <c r="D226" t="s">
        <v>231</v>
      </c>
      <c r="E226">
        <f>VLOOKUP(EXPENSETBL4583[[#This Row],[FIELD]],FFTBL[[Field]:[Acres]],2,FALSE)</f>
        <v>156.78</v>
      </c>
      <c r="F226" t="s">
        <v>323</v>
      </c>
      <c r="G226" t="s">
        <v>297</v>
      </c>
      <c r="H226" t="s">
        <v>407</v>
      </c>
      <c r="I226" t="str">
        <f>IFERROR(VLOOKUP(EXPENSETBL4583[[#This Row],[OPERATION]],OPERATIONCOST,2,FALSE)," ")</f>
        <v>ACRE</v>
      </c>
      <c r="J226" s="1">
        <f>IFERROR(VLOOKUP(EXPENSETBL4583[[#This Row],[OPERATION]],OPERATIONCOST,3,FALSE)," ")</f>
        <v>-15</v>
      </c>
      <c r="K226">
        <f>IF(EXPENSETBL4583[[#This Row],[UOM]]="acre",EXPENSETBL4583[[#This Row],[ACRES]]," ")</f>
        <v>156.78</v>
      </c>
      <c r="L226" s="17">
        <f t="shared" si="18"/>
        <v>1</v>
      </c>
      <c r="M226" s="17">
        <f t="shared" si="19"/>
        <v>0</v>
      </c>
      <c r="N226" s="1">
        <f>IFERROR((EXPENSETBL4583[[#This Row],[MCC.ENT]]*EXPENSETBL4583[[#This Row],[TOTAL]])," ")</f>
        <v>-2351.6999999999998</v>
      </c>
      <c r="O226" s="1">
        <f>IFERROR((EXPENSETBL4583[[#This Row],[L.L.]]*EXPENSETBL4583[[#This Row],[TOTAL]])," ")</f>
        <v>0</v>
      </c>
      <c r="P226" s="1">
        <f>IFERROR((EXPENSETBL4583[[#This Row],[QTY]]*EXPENSETBL4583[[#This Row],[$/UOM]])," ")</f>
        <v>-2351.6999999999998</v>
      </c>
      <c r="Q226" s="1" t="s">
        <v>294</v>
      </c>
      <c r="R226">
        <v>2022</v>
      </c>
    </row>
    <row r="227" spans="2:18" hidden="1" x14ac:dyDescent="0.25">
      <c r="B227" t="s">
        <v>74</v>
      </c>
      <c r="C227" t="s">
        <v>26</v>
      </c>
      <c r="D227" t="s">
        <v>171</v>
      </c>
      <c r="E227">
        <f>VLOOKUP(EXPENSETBL4583[[#This Row],[FIELD]],FFTBL[[Field]:[Acres]],2,FALSE)</f>
        <v>64.8</v>
      </c>
      <c r="F227" t="s">
        <v>323</v>
      </c>
      <c r="G227" t="s">
        <v>297</v>
      </c>
      <c r="H227" t="s">
        <v>407</v>
      </c>
      <c r="I227" t="str">
        <f>IFERROR(VLOOKUP(EXPENSETBL4583[[#This Row],[OPERATION]],OPERATIONCOST,2,FALSE)," ")</f>
        <v>ACRE</v>
      </c>
      <c r="J227" s="1">
        <f>IFERROR(VLOOKUP(EXPENSETBL4583[[#This Row],[OPERATION]],OPERATIONCOST,3,FALSE)," ")</f>
        <v>-15</v>
      </c>
      <c r="K227">
        <f>IF(EXPENSETBL4583[[#This Row],[UOM]]="acre",EXPENSETBL4583[[#This Row],[ACRES]]," ")</f>
        <v>64.8</v>
      </c>
      <c r="L227" s="17">
        <f t="shared" si="18"/>
        <v>1</v>
      </c>
      <c r="M227" s="17">
        <f t="shared" si="19"/>
        <v>0</v>
      </c>
      <c r="N227" s="1">
        <f>IFERROR((EXPENSETBL4583[[#This Row],[MCC.ENT]]*EXPENSETBL4583[[#This Row],[TOTAL]])," ")</f>
        <v>-972</v>
      </c>
      <c r="O227" s="1">
        <f>IFERROR((EXPENSETBL4583[[#This Row],[L.L.]]*EXPENSETBL4583[[#This Row],[TOTAL]])," ")</f>
        <v>0</v>
      </c>
      <c r="P227" s="1">
        <f>IFERROR((EXPENSETBL4583[[#This Row],[QTY]]*EXPENSETBL4583[[#This Row],[$/UOM]])," ")</f>
        <v>-972</v>
      </c>
      <c r="Q227" s="1" t="s">
        <v>293</v>
      </c>
      <c r="R227">
        <v>2022</v>
      </c>
    </row>
    <row r="228" spans="2:18" hidden="1" x14ac:dyDescent="0.25">
      <c r="B228" t="s">
        <v>74</v>
      </c>
      <c r="C228" t="s">
        <v>26</v>
      </c>
      <c r="D228" t="s">
        <v>180</v>
      </c>
      <c r="E228">
        <f>VLOOKUP(EXPENSETBL4583[[#This Row],[FIELD]],FFTBL[[Field]:[Acres]],2,FALSE)</f>
        <v>44.69</v>
      </c>
      <c r="F228" t="s">
        <v>323</v>
      </c>
      <c r="G228" t="s">
        <v>297</v>
      </c>
      <c r="H228" t="s">
        <v>407</v>
      </c>
      <c r="I228" t="str">
        <f>IFERROR(VLOOKUP(EXPENSETBL4583[[#This Row],[OPERATION]],OPERATIONCOST,2,FALSE)," ")</f>
        <v>ACRE</v>
      </c>
      <c r="J228" s="1">
        <f>IFERROR(VLOOKUP(EXPENSETBL4583[[#This Row],[OPERATION]],OPERATIONCOST,3,FALSE)," ")</f>
        <v>-15</v>
      </c>
      <c r="L228" s="17">
        <f t="shared" si="18"/>
        <v>1</v>
      </c>
      <c r="M228" s="17">
        <f t="shared" si="19"/>
        <v>0</v>
      </c>
      <c r="N228" s="1">
        <f>IFERROR((EXPENSETBL4583[[#This Row],[MCC.ENT]]*EXPENSETBL4583[[#This Row],[TOTAL]])," ")</f>
        <v>0</v>
      </c>
      <c r="O228" s="1">
        <f>IFERROR((EXPENSETBL4583[[#This Row],[L.L.]]*EXPENSETBL4583[[#This Row],[TOTAL]])," ")</f>
        <v>0</v>
      </c>
      <c r="P228" s="1">
        <f>IFERROR((EXPENSETBL4583[[#This Row],[QTY]]*EXPENSETBL4583[[#This Row],[$/UOM]])," ")</f>
        <v>0</v>
      </c>
      <c r="Q228" s="1" t="s">
        <v>293</v>
      </c>
      <c r="R228">
        <v>2022</v>
      </c>
    </row>
    <row r="229" spans="2:18" hidden="1" x14ac:dyDescent="0.25">
      <c r="B229" t="s">
        <v>74</v>
      </c>
      <c r="C229" t="s">
        <v>26</v>
      </c>
      <c r="D229" t="s">
        <v>182</v>
      </c>
      <c r="E229">
        <f>VLOOKUP(EXPENSETBL4583[[#This Row],[FIELD]],FFTBL[[Field]:[Acres]],2,FALSE)</f>
        <v>160</v>
      </c>
      <c r="F229" t="s">
        <v>323</v>
      </c>
      <c r="G229" t="s">
        <v>297</v>
      </c>
      <c r="H229" t="s">
        <v>407</v>
      </c>
      <c r="I229" t="str">
        <f>IFERROR(VLOOKUP(EXPENSETBL4583[[#This Row],[OPERATION]],OPERATIONCOST,2,FALSE)," ")</f>
        <v>ACRE</v>
      </c>
      <c r="J229" s="1">
        <f>IFERROR(VLOOKUP(EXPENSETBL4583[[#This Row],[OPERATION]],OPERATIONCOST,3,FALSE)," ")</f>
        <v>-15</v>
      </c>
      <c r="K229">
        <f>IF(EXPENSETBL4583[[#This Row],[UOM]]="acre",EXPENSETBL4583[[#This Row],[ACRES]]," ")</f>
        <v>160</v>
      </c>
      <c r="L229" s="17">
        <f t="shared" si="18"/>
        <v>1</v>
      </c>
      <c r="M229" s="17">
        <f t="shared" si="19"/>
        <v>0</v>
      </c>
      <c r="N229" s="1">
        <f>IFERROR((EXPENSETBL4583[[#This Row],[MCC.ENT]]*EXPENSETBL4583[[#This Row],[TOTAL]])," ")</f>
        <v>-2400</v>
      </c>
      <c r="O229" s="1">
        <f>IFERROR((EXPENSETBL4583[[#This Row],[L.L.]]*EXPENSETBL4583[[#This Row],[TOTAL]])," ")</f>
        <v>0</v>
      </c>
      <c r="P229" s="1">
        <f>IFERROR((EXPENSETBL4583[[#This Row],[QTY]]*EXPENSETBL4583[[#This Row],[$/UOM]])," ")</f>
        <v>-2400</v>
      </c>
      <c r="Q229" s="1" t="s">
        <v>293</v>
      </c>
      <c r="R229">
        <v>2022</v>
      </c>
    </row>
    <row r="230" spans="2:18" hidden="1" x14ac:dyDescent="0.25">
      <c r="B230" t="s">
        <v>74</v>
      </c>
      <c r="C230" t="s">
        <v>26</v>
      </c>
      <c r="D230" t="s">
        <v>826</v>
      </c>
      <c r="E230" t="e">
        <f>VLOOKUP(EXPENSETBL4583[[#This Row],[FIELD]],FFTBL[[Field]:[Acres]],2,FALSE)</f>
        <v>#N/A</v>
      </c>
      <c r="F230" t="s">
        <v>323</v>
      </c>
      <c r="G230" t="s">
        <v>297</v>
      </c>
      <c r="H230" t="s">
        <v>407</v>
      </c>
      <c r="I230" t="str">
        <f>IFERROR(VLOOKUP(EXPENSETBL4583[[#This Row],[OPERATION]],OPERATIONCOST,2,FALSE)," ")</f>
        <v>ACRE</v>
      </c>
      <c r="J230" s="1">
        <f>IFERROR(VLOOKUP(EXPENSETBL4583[[#This Row],[OPERATION]],OPERATIONCOST,3,FALSE)," ")</f>
        <v>-15</v>
      </c>
      <c r="K230" t="e">
        <f>IF(EXPENSETBL4583[[#This Row],[UOM]]="acre",EXPENSETBL4583[[#This Row],[ACRES]]," ")</f>
        <v>#N/A</v>
      </c>
      <c r="L230" s="17">
        <f t="shared" si="18"/>
        <v>1</v>
      </c>
      <c r="M230" s="17">
        <f t="shared" si="19"/>
        <v>0</v>
      </c>
      <c r="N230" s="1" t="str">
        <f>IFERROR((EXPENSETBL4583[[#This Row],[MCC.ENT]]*EXPENSETBL4583[[#This Row],[TOTAL]])," ")</f>
        <v xml:space="preserve"> </v>
      </c>
      <c r="O230" s="1" t="str">
        <f>IFERROR((EXPENSETBL4583[[#This Row],[L.L.]]*EXPENSETBL4583[[#This Row],[TOTAL]])," ")</f>
        <v xml:space="preserve"> </v>
      </c>
      <c r="P230" s="1" t="str">
        <f>IFERROR((EXPENSETBL4583[[#This Row],[QTY]]*EXPENSETBL4583[[#This Row],[$/UOM]])," ")</f>
        <v xml:space="preserve"> </v>
      </c>
      <c r="Q230" s="1" t="s">
        <v>294</v>
      </c>
      <c r="R230">
        <v>2022</v>
      </c>
    </row>
    <row r="231" spans="2:18" hidden="1" x14ac:dyDescent="0.25">
      <c r="B231" t="s">
        <v>74</v>
      </c>
      <c r="C231" t="s">
        <v>26</v>
      </c>
      <c r="D231" t="s">
        <v>827</v>
      </c>
      <c r="E231" t="e">
        <f>VLOOKUP(EXPENSETBL4583[[#This Row],[FIELD]],FFTBL[[Field]:[Acres]],2,FALSE)</f>
        <v>#N/A</v>
      </c>
      <c r="F231" t="s">
        <v>323</v>
      </c>
      <c r="G231" t="s">
        <v>297</v>
      </c>
      <c r="H231" t="s">
        <v>407</v>
      </c>
      <c r="I231" t="str">
        <f>IFERROR(VLOOKUP(EXPENSETBL4583[[#This Row],[OPERATION]],OPERATIONCOST,2,FALSE)," ")</f>
        <v>ACRE</v>
      </c>
      <c r="J231" s="1">
        <f>IFERROR(VLOOKUP(EXPENSETBL4583[[#This Row],[OPERATION]],OPERATIONCOST,3,FALSE)," ")</f>
        <v>-15</v>
      </c>
      <c r="K231" t="e">
        <f>IF(EXPENSETBL4583[[#This Row],[UOM]]="acre",EXPENSETBL4583[[#This Row],[ACRES]]," ")</f>
        <v>#N/A</v>
      </c>
      <c r="L231" s="17">
        <f t="shared" si="18"/>
        <v>1</v>
      </c>
      <c r="M231" s="17">
        <f t="shared" si="19"/>
        <v>0</v>
      </c>
      <c r="N231" s="1" t="str">
        <f>IFERROR((EXPENSETBL4583[[#This Row],[MCC.ENT]]*EXPENSETBL4583[[#This Row],[TOTAL]])," ")</f>
        <v xml:space="preserve"> </v>
      </c>
      <c r="O231" s="1" t="str">
        <f>IFERROR((EXPENSETBL4583[[#This Row],[L.L.]]*EXPENSETBL4583[[#This Row],[TOTAL]])," ")</f>
        <v xml:space="preserve"> </v>
      </c>
      <c r="P231" s="1" t="str">
        <f>IFERROR((EXPENSETBL4583[[#This Row],[QTY]]*EXPENSETBL4583[[#This Row],[$/UOM]])," ")</f>
        <v xml:space="preserve"> </v>
      </c>
      <c r="Q231" s="1" t="s">
        <v>295</v>
      </c>
      <c r="R231">
        <v>2022</v>
      </c>
    </row>
    <row r="232" spans="2:18" hidden="1" x14ac:dyDescent="0.25">
      <c r="B232" t="s">
        <v>74</v>
      </c>
      <c r="C232" t="s">
        <v>32</v>
      </c>
      <c r="D232" t="s">
        <v>231</v>
      </c>
      <c r="E232">
        <f>VLOOKUP(EXPENSETBL4583[[#This Row],[FIELD]],FFTBL[[Field]:[Acres]],2,FALSE)</f>
        <v>156.78</v>
      </c>
      <c r="F232" t="s">
        <v>319</v>
      </c>
      <c r="G232" t="s">
        <v>117</v>
      </c>
      <c r="H232" t="s">
        <v>341</v>
      </c>
      <c r="I232" t="str">
        <f>IFERROR(VLOOKUP(EXPENSETBL4583[[#This Row],[OPERATION]],OPERATIONCOST,2,FALSE)," ")</f>
        <v>ACRE</v>
      </c>
      <c r="J232" s="1">
        <f>IFERROR(VLOOKUP(EXPENSETBL4583[[#This Row],[OPERATION]],OPERATIONCOST,3,FALSE)," ")</f>
        <v>-19.25</v>
      </c>
      <c r="K232">
        <f>IF(EXPENSETBL4583[[#This Row],[UOM]]="acre",EXPENSETBL4583[[#This Row],[ACRES]]," ")</f>
        <v>156.78</v>
      </c>
      <c r="L232" s="17">
        <f t="shared" si="18"/>
        <v>0.65</v>
      </c>
      <c r="M232" s="17">
        <f t="shared" si="19"/>
        <v>0.35</v>
      </c>
      <c r="N232" s="1">
        <f>IFERROR((EXPENSETBL4583[[#This Row],[MCC.ENT]]*EXPENSETBL4583[[#This Row],[TOTAL]])," ")</f>
        <v>-1961.70975</v>
      </c>
      <c r="O232" s="1">
        <f>IFERROR((EXPENSETBL4583[[#This Row],[L.L.]]*EXPENSETBL4583[[#This Row],[TOTAL]])," ")</f>
        <v>-1056.3052499999999</v>
      </c>
      <c r="P232" s="1">
        <f>IFERROR((EXPENSETBL4583[[#This Row],[QTY]]*EXPENSETBL4583[[#This Row],[$/UOM]])," ")</f>
        <v>-3018.0149999999999</v>
      </c>
      <c r="Q232" s="1" t="s">
        <v>293</v>
      </c>
      <c r="R232">
        <v>2022</v>
      </c>
    </row>
    <row r="233" spans="2:18" hidden="1" x14ac:dyDescent="0.25">
      <c r="B233" t="s">
        <v>74</v>
      </c>
      <c r="C233" t="s">
        <v>26</v>
      </c>
      <c r="D233" t="s">
        <v>171</v>
      </c>
      <c r="E233">
        <f>VLOOKUP(EXPENSETBL4583[[#This Row],[FIELD]],FFTBL[[Field]:[Acres]],2,FALSE)</f>
        <v>64.8</v>
      </c>
      <c r="F233" t="s">
        <v>321</v>
      </c>
      <c r="G233" t="s">
        <v>297</v>
      </c>
      <c r="H233" t="s">
        <v>392</v>
      </c>
      <c r="I233" t="str">
        <f>IFERROR(VLOOKUP(EXPENSETBL4583[[#This Row],[OPERATION]],OPERATIONCOST,2,FALSE)," ")</f>
        <v>ACRE</v>
      </c>
      <c r="J233" s="1">
        <f>IFERROR(VLOOKUP(EXPENSETBL4583[[#This Row],[OPERATION]],OPERATIONCOST,3,FALSE)," ")</f>
        <v>-19.25</v>
      </c>
      <c r="K233">
        <f>IF(EXPENSETBL4583[[#This Row],[UOM]]="acre",EXPENSETBL4583[[#This Row],[ACRES]]," ")</f>
        <v>64.8</v>
      </c>
      <c r="L233" s="17">
        <f t="shared" si="18"/>
        <v>1</v>
      </c>
      <c r="M233" s="17">
        <f t="shared" si="19"/>
        <v>0</v>
      </c>
      <c r="N233" s="1">
        <f>IFERROR((EXPENSETBL4583[[#This Row],[MCC.ENT]]*EXPENSETBL4583[[#This Row],[TOTAL]])," ")</f>
        <v>-1247.3999999999999</v>
      </c>
      <c r="O233" s="1">
        <f>IFERROR((EXPENSETBL4583[[#This Row],[L.L.]]*EXPENSETBL4583[[#This Row],[TOTAL]])," ")</f>
        <v>0</v>
      </c>
      <c r="P233" s="1">
        <f>IFERROR((EXPENSETBL4583[[#This Row],[QTY]]*EXPENSETBL4583[[#This Row],[$/UOM]])," ")</f>
        <v>-1247.3999999999999</v>
      </c>
      <c r="Q233" s="1" t="s">
        <v>293</v>
      </c>
      <c r="R233">
        <v>2022</v>
      </c>
    </row>
    <row r="234" spans="2:18" hidden="1" x14ac:dyDescent="0.25">
      <c r="B234" t="s">
        <v>74</v>
      </c>
      <c r="C234" t="s">
        <v>26</v>
      </c>
      <c r="D234" t="s">
        <v>180</v>
      </c>
      <c r="E234">
        <f>VLOOKUP(EXPENSETBL4583[[#This Row],[FIELD]],FFTBL[[Field]:[Acres]],2,FALSE)</f>
        <v>44.69</v>
      </c>
      <c r="F234" t="s">
        <v>321</v>
      </c>
      <c r="G234" t="s">
        <v>297</v>
      </c>
      <c r="H234" t="s">
        <v>392</v>
      </c>
      <c r="I234" t="str">
        <f>IFERROR(VLOOKUP(EXPENSETBL4583[[#This Row],[OPERATION]],OPERATIONCOST,2,FALSE)," ")</f>
        <v>ACRE</v>
      </c>
      <c r="J234" s="1">
        <f>IFERROR(VLOOKUP(EXPENSETBL4583[[#This Row],[OPERATION]],OPERATIONCOST,3,FALSE)," ")</f>
        <v>-19.25</v>
      </c>
      <c r="K234">
        <f>IF(EXPENSETBL4583[[#This Row],[UOM]]="acre",EXPENSETBL4583[[#This Row],[ACRES]]," ")</f>
        <v>44.69</v>
      </c>
      <c r="L234" s="17">
        <f t="shared" si="18"/>
        <v>1</v>
      </c>
      <c r="M234" s="17">
        <f t="shared" si="19"/>
        <v>0</v>
      </c>
      <c r="N234" s="1">
        <f>IFERROR((EXPENSETBL4583[[#This Row],[MCC.ENT]]*EXPENSETBL4583[[#This Row],[TOTAL]])," ")</f>
        <v>-860.28249999999991</v>
      </c>
      <c r="O234" s="1">
        <f>IFERROR((EXPENSETBL4583[[#This Row],[L.L.]]*EXPENSETBL4583[[#This Row],[TOTAL]])," ")</f>
        <v>0</v>
      </c>
      <c r="P234" s="1">
        <f>IFERROR((EXPENSETBL4583[[#This Row],[QTY]]*EXPENSETBL4583[[#This Row],[$/UOM]])," ")</f>
        <v>-860.28249999999991</v>
      </c>
      <c r="Q234" s="1" t="s">
        <v>293</v>
      </c>
      <c r="R234">
        <v>2022</v>
      </c>
    </row>
    <row r="235" spans="2:18" hidden="1" x14ac:dyDescent="0.25">
      <c r="B235" t="s">
        <v>74</v>
      </c>
      <c r="C235" t="s">
        <v>26</v>
      </c>
      <c r="D235" t="s">
        <v>182</v>
      </c>
      <c r="E235">
        <f>VLOOKUP(EXPENSETBL4583[[#This Row],[FIELD]],FFTBL[[Field]:[Acres]],2,FALSE)</f>
        <v>160</v>
      </c>
      <c r="F235" t="s">
        <v>321</v>
      </c>
      <c r="G235" t="s">
        <v>297</v>
      </c>
      <c r="H235" t="s">
        <v>392</v>
      </c>
      <c r="I235" t="str">
        <f>IFERROR(VLOOKUP(EXPENSETBL4583[[#This Row],[OPERATION]],OPERATIONCOST,2,FALSE)," ")</f>
        <v>ACRE</v>
      </c>
      <c r="J235" s="1">
        <f>IFERROR(VLOOKUP(EXPENSETBL4583[[#This Row],[OPERATION]],OPERATIONCOST,3,FALSE)," ")</f>
        <v>-19.25</v>
      </c>
      <c r="K235">
        <f>IF(EXPENSETBL4583[[#This Row],[UOM]]="acre",EXPENSETBL4583[[#This Row],[ACRES]]," ")</f>
        <v>160</v>
      </c>
      <c r="L235" s="17">
        <f t="shared" si="18"/>
        <v>1</v>
      </c>
      <c r="M235" s="17">
        <f t="shared" si="19"/>
        <v>0</v>
      </c>
      <c r="N235" s="1">
        <f>IFERROR((EXPENSETBL4583[[#This Row],[MCC.ENT]]*EXPENSETBL4583[[#This Row],[TOTAL]])," ")</f>
        <v>-3080</v>
      </c>
      <c r="O235" s="1">
        <f>IFERROR((EXPENSETBL4583[[#This Row],[L.L.]]*EXPENSETBL4583[[#This Row],[TOTAL]])," ")</f>
        <v>0</v>
      </c>
      <c r="P235" s="1">
        <f>IFERROR((EXPENSETBL4583[[#This Row],[QTY]]*EXPENSETBL4583[[#This Row],[$/UOM]])," ")</f>
        <v>-3080</v>
      </c>
      <c r="Q235" s="1" t="s">
        <v>294</v>
      </c>
      <c r="R235">
        <v>2022</v>
      </c>
    </row>
    <row r="236" spans="2:18" hidden="1" x14ac:dyDescent="0.25">
      <c r="B236" t="s">
        <v>74</v>
      </c>
      <c r="C236" t="s">
        <v>26</v>
      </c>
      <c r="D236" t="s">
        <v>826</v>
      </c>
      <c r="E236" t="e">
        <f>VLOOKUP(EXPENSETBL4583[[#This Row],[FIELD]],FFTBL[[Field]:[Acres]],2,FALSE)</f>
        <v>#N/A</v>
      </c>
      <c r="F236" t="s">
        <v>321</v>
      </c>
      <c r="G236" t="s">
        <v>297</v>
      </c>
      <c r="H236" t="s">
        <v>392</v>
      </c>
      <c r="I236" t="str">
        <f>IFERROR(VLOOKUP(EXPENSETBL4583[[#This Row],[OPERATION]],OPERATIONCOST,2,FALSE)," ")</f>
        <v>ACRE</v>
      </c>
      <c r="J236" s="1">
        <f>IFERROR(VLOOKUP(EXPENSETBL4583[[#This Row],[OPERATION]],OPERATIONCOST,3,FALSE)," ")</f>
        <v>-19.25</v>
      </c>
      <c r="K236" t="e">
        <f>IF(EXPENSETBL4583[[#This Row],[UOM]]="acre",EXPENSETBL4583[[#This Row],[ACRES]]," ")</f>
        <v>#N/A</v>
      </c>
      <c r="L236" s="17">
        <f t="shared" si="18"/>
        <v>1</v>
      </c>
      <c r="M236" s="17">
        <f t="shared" si="19"/>
        <v>0</v>
      </c>
      <c r="N236" s="1" t="str">
        <f>IFERROR((EXPENSETBL4583[[#This Row],[MCC.ENT]]*EXPENSETBL4583[[#This Row],[TOTAL]])," ")</f>
        <v xml:space="preserve"> </v>
      </c>
      <c r="O236" s="1" t="str">
        <f>IFERROR((EXPENSETBL4583[[#This Row],[L.L.]]*EXPENSETBL4583[[#This Row],[TOTAL]])," ")</f>
        <v xml:space="preserve"> </v>
      </c>
      <c r="P236" s="1" t="str">
        <f>IFERROR((EXPENSETBL4583[[#This Row],[QTY]]*EXPENSETBL4583[[#This Row],[$/UOM]])," ")</f>
        <v xml:space="preserve"> </v>
      </c>
      <c r="Q236" s="1" t="s">
        <v>293</v>
      </c>
      <c r="R236">
        <v>2022</v>
      </c>
    </row>
    <row r="237" spans="2:18" hidden="1" x14ac:dyDescent="0.25">
      <c r="B237" t="s">
        <v>74</v>
      </c>
      <c r="C237" t="s">
        <v>26</v>
      </c>
      <c r="D237" t="s">
        <v>827</v>
      </c>
      <c r="E237" t="e">
        <f>VLOOKUP(EXPENSETBL4583[[#This Row],[FIELD]],FFTBL[[Field]:[Acres]],2,FALSE)</f>
        <v>#N/A</v>
      </c>
      <c r="F237" t="s">
        <v>321</v>
      </c>
      <c r="G237" t="s">
        <v>297</v>
      </c>
      <c r="H237" t="s">
        <v>392</v>
      </c>
      <c r="I237" t="str">
        <f>IFERROR(VLOOKUP(EXPENSETBL4583[[#This Row],[OPERATION]],OPERATIONCOST,2,FALSE)," ")</f>
        <v>ACRE</v>
      </c>
      <c r="J237" s="1">
        <f>IFERROR(VLOOKUP(EXPENSETBL4583[[#This Row],[OPERATION]],OPERATIONCOST,3,FALSE)," ")</f>
        <v>-19.25</v>
      </c>
      <c r="K237" t="e">
        <f>IF(EXPENSETBL4583[[#This Row],[UOM]]="acre",EXPENSETBL4583[[#This Row],[ACRES]]," ")</f>
        <v>#N/A</v>
      </c>
      <c r="L237" s="17">
        <f t="shared" si="18"/>
        <v>1</v>
      </c>
      <c r="M237" s="17">
        <f t="shared" si="19"/>
        <v>0</v>
      </c>
      <c r="N237" s="1" t="str">
        <f>IFERROR((EXPENSETBL4583[[#This Row],[MCC.ENT]]*EXPENSETBL4583[[#This Row],[TOTAL]])," ")</f>
        <v xml:space="preserve"> </v>
      </c>
      <c r="O237" s="1" t="str">
        <f>IFERROR((EXPENSETBL4583[[#This Row],[L.L.]]*EXPENSETBL4583[[#This Row],[TOTAL]])," ")</f>
        <v xml:space="preserve"> </v>
      </c>
      <c r="P237" s="1" t="str">
        <f>IFERROR((EXPENSETBL4583[[#This Row],[QTY]]*EXPENSETBL4583[[#This Row],[$/UOM]])," ")</f>
        <v xml:space="preserve"> </v>
      </c>
      <c r="Q237" s="1" t="s">
        <v>293</v>
      </c>
      <c r="R237">
        <v>2022</v>
      </c>
    </row>
    <row r="238" spans="2:18" hidden="1" x14ac:dyDescent="0.25">
      <c r="B238" t="s">
        <v>74</v>
      </c>
      <c r="C238" t="s">
        <v>32</v>
      </c>
      <c r="D238" t="s">
        <v>250</v>
      </c>
      <c r="E238">
        <f>VLOOKUP(EXPENSETBL4583[[#This Row],[FIELD]],FFTBL[[Field]:[Acres]],2,FALSE)</f>
        <v>68.260000000000005</v>
      </c>
      <c r="F238" t="s">
        <v>321</v>
      </c>
      <c r="G238" t="s">
        <v>297</v>
      </c>
      <c r="H238" t="s">
        <v>392</v>
      </c>
      <c r="I238" t="str">
        <f>IFERROR(VLOOKUP(EXPENSETBL4583[[#This Row],[OPERATION]],OPERATIONCOST,2,FALSE)," ")</f>
        <v>ACRE</v>
      </c>
      <c r="J238" s="1">
        <f>IFERROR(VLOOKUP(EXPENSETBL4583[[#This Row],[OPERATION]],OPERATIONCOST,3,FALSE)," ")</f>
        <v>-19.25</v>
      </c>
      <c r="K238">
        <f>IF(EXPENSETBL4583[[#This Row],[UOM]]="acre",EXPENSETBL4583[[#This Row],[ACRES]]," ")</f>
        <v>68.260000000000005</v>
      </c>
      <c r="L238" s="17">
        <f t="shared" si="18"/>
        <v>1</v>
      </c>
      <c r="M238" s="17">
        <f t="shared" si="19"/>
        <v>0</v>
      </c>
      <c r="N238" s="1">
        <f>IFERROR((EXPENSETBL4583[[#This Row],[MCC.ENT]]*EXPENSETBL4583[[#This Row],[TOTAL]])," ")</f>
        <v>-1314.0050000000001</v>
      </c>
      <c r="O238" s="1">
        <f>IFERROR((EXPENSETBL4583[[#This Row],[L.L.]]*EXPENSETBL4583[[#This Row],[TOTAL]])," ")</f>
        <v>0</v>
      </c>
      <c r="P238" s="1">
        <f>IFERROR((EXPENSETBL4583[[#This Row],[QTY]]*EXPENSETBL4583[[#This Row],[$/UOM]])," ")</f>
        <v>-1314.0050000000001</v>
      </c>
      <c r="Q238" s="1" t="s">
        <v>293</v>
      </c>
      <c r="R238">
        <v>2022</v>
      </c>
    </row>
    <row r="239" spans="2:18" hidden="1" x14ac:dyDescent="0.25">
      <c r="B239" t="s">
        <v>74</v>
      </c>
      <c r="C239" t="s">
        <v>32</v>
      </c>
      <c r="D239" t="s">
        <v>252</v>
      </c>
      <c r="E239">
        <f>VLOOKUP(EXPENSETBL4583[[#This Row],[FIELD]],FFTBL[[Field]:[Acres]],2,FALSE)</f>
        <v>98.77</v>
      </c>
      <c r="F239" t="s">
        <v>321</v>
      </c>
      <c r="G239" t="s">
        <v>297</v>
      </c>
      <c r="H239" t="s">
        <v>392</v>
      </c>
      <c r="I239" t="str">
        <f>IFERROR(VLOOKUP(EXPENSETBL4583[[#This Row],[OPERATION]],OPERATIONCOST,2,FALSE)," ")</f>
        <v>ACRE</v>
      </c>
      <c r="J239" s="1">
        <f>IFERROR(VLOOKUP(EXPENSETBL4583[[#This Row],[OPERATION]],OPERATIONCOST,3,FALSE)," ")</f>
        <v>-19.25</v>
      </c>
      <c r="K239">
        <f>IF(EXPENSETBL4583[[#This Row],[UOM]]="acre",EXPENSETBL4583[[#This Row],[ACRES]]," ")</f>
        <v>98.77</v>
      </c>
      <c r="L239" s="17">
        <f t="shared" si="18"/>
        <v>1</v>
      </c>
      <c r="M239" s="17">
        <f t="shared" si="19"/>
        <v>0</v>
      </c>
      <c r="N239" s="1">
        <f>IFERROR((EXPENSETBL4583[[#This Row],[MCC.ENT]]*EXPENSETBL4583[[#This Row],[TOTAL]])," ")</f>
        <v>-1901.3225</v>
      </c>
      <c r="O239" s="1">
        <f>IFERROR((EXPENSETBL4583[[#This Row],[L.L.]]*EXPENSETBL4583[[#This Row],[TOTAL]])," ")</f>
        <v>0</v>
      </c>
      <c r="P239" s="1">
        <f>IFERROR((EXPENSETBL4583[[#This Row],[QTY]]*EXPENSETBL4583[[#This Row],[$/UOM]])," ")</f>
        <v>-1901.3225</v>
      </c>
      <c r="Q239" s="1" t="s">
        <v>294</v>
      </c>
      <c r="R239">
        <v>2022</v>
      </c>
    </row>
    <row r="240" spans="2:18" hidden="1" x14ac:dyDescent="0.25">
      <c r="B240" t="s">
        <v>74</v>
      </c>
      <c r="C240" t="s">
        <v>35</v>
      </c>
      <c r="D240" t="s">
        <v>828</v>
      </c>
      <c r="E240">
        <f>VLOOKUP(EXPENSETBL4583[[#This Row],[FIELD]],FFTBL[[Field]:[Acres]],2,FALSE)</f>
        <v>75.300000000000011</v>
      </c>
      <c r="F240" t="s">
        <v>321</v>
      </c>
      <c r="G240" t="s">
        <v>297</v>
      </c>
      <c r="I240" t="str">
        <f>IFERROR(VLOOKUP(EXPENSETBL4583[[#This Row],[OPERATION]],OPERATIONCOST,2,FALSE)," ")</f>
        <v xml:space="preserve"> </v>
      </c>
      <c r="J240" s="1" t="str">
        <f>IFERROR(VLOOKUP(EXPENSETBL4583[[#This Row],[OPERATION]],OPERATIONCOST,3,FALSE)," ")</f>
        <v xml:space="preserve"> </v>
      </c>
      <c r="K240" t="str">
        <f>IF(EXPENSETBL4583[[#This Row],[UOM]]="acre",EXPENSETBL4583[[#This Row],[ACRES]]," ")</f>
        <v xml:space="preserve"> </v>
      </c>
      <c r="L240" s="17">
        <f t="shared" si="18"/>
        <v>1</v>
      </c>
      <c r="M240" s="17">
        <f t="shared" si="19"/>
        <v>0</v>
      </c>
      <c r="N240" s="1" t="str">
        <f>IFERROR((EXPENSETBL4583[[#This Row],[MCC.ENT]]*EXPENSETBL4583[[#This Row],[TOTAL]])," ")</f>
        <v xml:space="preserve"> </v>
      </c>
      <c r="O240" s="1" t="str">
        <f>IFERROR((EXPENSETBL4583[[#This Row],[L.L.]]*EXPENSETBL4583[[#This Row],[TOTAL]])," ")</f>
        <v xml:space="preserve"> </v>
      </c>
      <c r="P240" s="1" t="str">
        <f>IFERROR((EXPENSETBL4583[[#This Row],[QTY]]*EXPENSETBL4583[[#This Row],[$/UOM]])," ")</f>
        <v xml:space="preserve"> </v>
      </c>
      <c r="Q240" s="1"/>
      <c r="R240">
        <v>2022</v>
      </c>
    </row>
    <row r="241" spans="2:18" hidden="1" x14ac:dyDescent="0.25">
      <c r="B241" t="s">
        <v>74</v>
      </c>
      <c r="C241" t="s">
        <v>80</v>
      </c>
      <c r="D241" t="s">
        <v>273</v>
      </c>
      <c r="E241">
        <f>VLOOKUP(EXPENSETBL4583[[#This Row],[FIELD]],FFTBL[[Field]:[Acres]],2,FALSE)</f>
        <v>157.56</v>
      </c>
      <c r="F241" t="s">
        <v>319</v>
      </c>
      <c r="G241" t="s">
        <v>117</v>
      </c>
      <c r="H241" t="s">
        <v>345</v>
      </c>
      <c r="I241" t="str">
        <f>IFERROR(VLOOKUP(EXPENSETBL4583[[#This Row],[OPERATION]],OPERATIONCOST,2,FALSE)," ")</f>
        <v>ACRE</v>
      </c>
      <c r="J241" s="1">
        <f>IFERROR(VLOOKUP(EXPENSETBL4583[[#This Row],[OPERATION]],OPERATIONCOST,3,FALSE)," ")</f>
        <v>-71.790000000000006</v>
      </c>
      <c r="K241">
        <f>IF(EXPENSETBL4583[[#This Row],[UOM]]="acre",EXPENSETBL4583[[#This Row],[ACRES]]," ")</f>
        <v>157.56</v>
      </c>
      <c r="L241" s="17">
        <f t="shared" si="18"/>
        <v>0.65</v>
      </c>
      <c r="M241" s="17">
        <f t="shared" si="19"/>
        <v>0.35</v>
      </c>
      <c r="N241" s="1">
        <f>IFERROR((EXPENSETBL4583[[#This Row],[MCC.ENT]]*EXPENSETBL4583[[#This Row],[TOTAL]])," ")</f>
        <v>-7352.3010600000007</v>
      </c>
      <c r="O241" s="1">
        <f>IFERROR((EXPENSETBL4583[[#This Row],[L.L.]]*EXPENSETBL4583[[#This Row],[TOTAL]])," ")</f>
        <v>-3958.9313400000001</v>
      </c>
      <c r="P241" s="1">
        <f>IFERROR((EXPENSETBL4583[[#This Row],[QTY]]*EXPENSETBL4583[[#This Row],[$/UOM]])," ")</f>
        <v>-11311.232400000001</v>
      </c>
      <c r="Q241" s="1" t="s">
        <v>295</v>
      </c>
      <c r="R241">
        <v>2022</v>
      </c>
    </row>
    <row r="242" spans="2:18" hidden="1" x14ac:dyDescent="0.25">
      <c r="B242" t="s">
        <v>74</v>
      </c>
      <c r="C242" t="s">
        <v>21</v>
      </c>
      <c r="D242" t="s">
        <v>24</v>
      </c>
      <c r="E242">
        <f>VLOOKUP(EXPENSETBL4583[[#This Row],[FIELD]],FFTBL[[Field]:[Acres]],2,FALSE)</f>
        <v>153</v>
      </c>
      <c r="F242" t="s">
        <v>323</v>
      </c>
      <c r="G242" t="s">
        <v>297</v>
      </c>
      <c r="H242" t="s">
        <v>387</v>
      </c>
      <c r="I242" t="str">
        <f>IFERROR(VLOOKUP(EXPENSETBL4583[[#This Row],[OPERATION]],OPERATIONCOST,2,FALSE)," ")</f>
        <v>ACRE</v>
      </c>
      <c r="J242" s="1">
        <f>IFERROR(VLOOKUP(EXPENSETBL4583[[#This Row],[OPERATION]],OPERATIONCOST,3,FALSE)," ")</f>
        <v>-12</v>
      </c>
      <c r="K242">
        <f>IF(EXPENSETBL4583[[#This Row],[UOM]]="acre",EXPENSETBL4583[[#This Row],[ACRES]]," ")</f>
        <v>153</v>
      </c>
      <c r="L242" s="17">
        <f t="shared" si="18"/>
        <v>1</v>
      </c>
      <c r="M242" s="17">
        <f t="shared" si="19"/>
        <v>0</v>
      </c>
      <c r="N242" s="1">
        <f>IFERROR((EXPENSETBL4583[[#This Row],[MCC.ENT]]*EXPENSETBL4583[[#This Row],[TOTAL]])," ")</f>
        <v>-1836</v>
      </c>
      <c r="O242" s="1">
        <f>IFERROR((EXPENSETBL4583[[#This Row],[L.L.]]*EXPENSETBL4583[[#This Row],[TOTAL]])," ")</f>
        <v>0</v>
      </c>
      <c r="P242" s="1">
        <f>IFERROR((EXPENSETBL4583[[#This Row],[QTY]]*EXPENSETBL4583[[#This Row],[$/UOM]])," ")</f>
        <v>-1836</v>
      </c>
      <c r="Q242" s="1" t="s">
        <v>295</v>
      </c>
      <c r="R242">
        <v>2022</v>
      </c>
    </row>
    <row r="243" spans="2:18" hidden="1" x14ac:dyDescent="0.25">
      <c r="B243" t="s">
        <v>74</v>
      </c>
      <c r="C243" t="s">
        <v>21</v>
      </c>
      <c r="D243" t="s">
        <v>24</v>
      </c>
      <c r="E243">
        <f>VLOOKUP(EXPENSETBL4583[[#This Row],[FIELD]],FFTBL[[Field]:[Acres]],2,FALSE)</f>
        <v>153</v>
      </c>
      <c r="F243" t="s">
        <v>323</v>
      </c>
      <c r="G243" t="s">
        <v>297</v>
      </c>
      <c r="H243" t="s">
        <v>407</v>
      </c>
      <c r="I243" t="str">
        <f>IFERROR(VLOOKUP(EXPENSETBL4583[[#This Row],[OPERATION]],OPERATIONCOST,2,FALSE)," ")</f>
        <v>ACRE</v>
      </c>
      <c r="J243" s="1">
        <f>IFERROR(VLOOKUP(EXPENSETBL4583[[#This Row],[OPERATION]],OPERATIONCOST,3,FALSE)," ")</f>
        <v>-15</v>
      </c>
      <c r="K243">
        <f>IF(EXPENSETBL4583[[#This Row],[UOM]]="acre",EXPENSETBL4583[[#This Row],[ACRES]]," ")</f>
        <v>153</v>
      </c>
      <c r="L243" s="17">
        <f t="shared" si="18"/>
        <v>1</v>
      </c>
      <c r="M243" s="17">
        <f t="shared" si="19"/>
        <v>0</v>
      </c>
      <c r="N243" s="1">
        <f>IFERROR((EXPENSETBL4583[[#This Row],[MCC.ENT]]*EXPENSETBL4583[[#This Row],[TOTAL]])," ")</f>
        <v>-2295</v>
      </c>
      <c r="O243" s="1">
        <f>IFERROR((EXPENSETBL4583[[#This Row],[L.L.]]*EXPENSETBL4583[[#This Row],[TOTAL]])," ")</f>
        <v>0</v>
      </c>
      <c r="P243" s="1">
        <f>IFERROR((EXPENSETBL4583[[#This Row],[QTY]]*EXPENSETBL4583[[#This Row],[$/UOM]])," ")</f>
        <v>-2295</v>
      </c>
      <c r="Q243" s="1" t="s">
        <v>295</v>
      </c>
      <c r="R243">
        <v>2022</v>
      </c>
    </row>
    <row r="244" spans="2:18" hidden="1" x14ac:dyDescent="0.25">
      <c r="B244" t="s">
        <v>74</v>
      </c>
      <c r="C244" t="s">
        <v>21</v>
      </c>
      <c r="D244" t="s">
        <v>24</v>
      </c>
      <c r="E244">
        <f>VLOOKUP(EXPENSETBL4583[[#This Row],[FIELD]],FFTBL[[Field]:[Acres]],2,FALSE)</f>
        <v>153</v>
      </c>
      <c r="F244" t="s">
        <v>323</v>
      </c>
      <c r="G244" t="s">
        <v>297</v>
      </c>
      <c r="H244" t="s">
        <v>388</v>
      </c>
      <c r="I244" t="str">
        <f>IFERROR(VLOOKUP(EXPENSETBL4583[[#This Row],[OPERATION]],OPERATIONCOST,2,FALSE)," ")</f>
        <v>ACRE</v>
      </c>
      <c r="J244" s="1">
        <f>IFERROR(VLOOKUP(EXPENSETBL4583[[#This Row],[OPERATION]],OPERATIONCOST,3,FALSE)," ")</f>
        <v>-14</v>
      </c>
      <c r="K244">
        <f>IF(EXPENSETBL4583[[#This Row],[UOM]]="acre",EXPENSETBL4583[[#This Row],[ACRES]]," ")</f>
        <v>153</v>
      </c>
      <c r="L244" s="17">
        <f t="shared" si="18"/>
        <v>1</v>
      </c>
      <c r="M244" s="17">
        <f t="shared" si="19"/>
        <v>0</v>
      </c>
      <c r="N244" s="1">
        <f>IFERROR((EXPENSETBL4583[[#This Row],[MCC.ENT]]*EXPENSETBL4583[[#This Row],[TOTAL]])," ")</f>
        <v>-2142</v>
      </c>
      <c r="O244" s="1">
        <f>IFERROR((EXPENSETBL4583[[#This Row],[L.L.]]*EXPENSETBL4583[[#This Row],[TOTAL]])," ")</f>
        <v>0</v>
      </c>
      <c r="P244" s="1">
        <f>IFERROR((EXPENSETBL4583[[#This Row],[QTY]]*EXPENSETBL4583[[#This Row],[$/UOM]])," ")</f>
        <v>-2142</v>
      </c>
      <c r="Q244" s="1" t="s">
        <v>295</v>
      </c>
      <c r="R244">
        <v>2022</v>
      </c>
    </row>
    <row r="245" spans="2:18" hidden="1" x14ac:dyDescent="0.25">
      <c r="B245" t="s">
        <v>74</v>
      </c>
      <c r="C245" t="s">
        <v>21</v>
      </c>
      <c r="D245" t="s">
        <v>24</v>
      </c>
      <c r="E245">
        <f>VLOOKUP(EXPENSETBL4583[[#This Row],[FIELD]],FFTBL[[Field]:[Acres]],2,FALSE)</f>
        <v>153</v>
      </c>
      <c r="F245" t="s">
        <v>323</v>
      </c>
      <c r="G245" t="s">
        <v>297</v>
      </c>
      <c r="H245" t="s">
        <v>406</v>
      </c>
      <c r="I245" t="str">
        <f>IFERROR(VLOOKUP(EXPENSETBL4583[[#This Row],[OPERATION]],OPERATIONCOST,2,FALSE)," ")</f>
        <v>ACRE</v>
      </c>
      <c r="J245" s="1">
        <f>IFERROR(VLOOKUP(EXPENSETBL4583[[#This Row],[OPERATION]],OPERATIONCOST,3,FALSE)," ")</f>
        <v>-17</v>
      </c>
      <c r="K245">
        <f>IF(EXPENSETBL4583[[#This Row],[UOM]]="acre",EXPENSETBL4583[[#This Row],[ACRES]]," ")</f>
        <v>153</v>
      </c>
      <c r="L245" s="17">
        <f t="shared" si="18"/>
        <v>1</v>
      </c>
      <c r="M245" s="17">
        <f t="shared" si="19"/>
        <v>0</v>
      </c>
      <c r="N245" s="1">
        <f>IFERROR((EXPENSETBL4583[[#This Row],[MCC.ENT]]*EXPENSETBL4583[[#This Row],[TOTAL]])," ")</f>
        <v>-2601</v>
      </c>
      <c r="O245" s="1">
        <f>IFERROR((EXPENSETBL4583[[#This Row],[L.L.]]*EXPENSETBL4583[[#This Row],[TOTAL]])," ")</f>
        <v>0</v>
      </c>
      <c r="P245" s="1">
        <f>IFERROR((EXPENSETBL4583[[#This Row],[QTY]]*EXPENSETBL4583[[#This Row],[$/UOM]])," ")</f>
        <v>-2601</v>
      </c>
      <c r="Q245" s="1" t="s">
        <v>295</v>
      </c>
      <c r="R245">
        <v>2022</v>
      </c>
    </row>
    <row r="246" spans="2:18" hidden="1" x14ac:dyDescent="0.25">
      <c r="B246" t="s">
        <v>74</v>
      </c>
      <c r="C246" t="s">
        <v>21</v>
      </c>
      <c r="D246" t="s">
        <v>24</v>
      </c>
      <c r="E246">
        <f>VLOOKUP(EXPENSETBL4583[[#This Row],[FIELD]],FFTBL[[Field]:[Acres]],2,FALSE)</f>
        <v>153</v>
      </c>
      <c r="F246" t="s">
        <v>319</v>
      </c>
      <c r="G246" t="s">
        <v>297</v>
      </c>
      <c r="H246" t="s">
        <v>352</v>
      </c>
      <c r="I246" t="str">
        <f>IFERROR(VLOOKUP(EXPENSETBL4583[[#This Row],[OPERATION]],OPERATIONCOST,2,FALSE)," ")</f>
        <v>QTY</v>
      </c>
      <c r="J246" s="1">
        <f>IFERROR(VLOOKUP(EXPENSETBL4583[[#This Row],[OPERATION]],OPERATIONCOST,3,FALSE)," ")</f>
        <v>-0.26</v>
      </c>
      <c r="K246">
        <v>9945</v>
      </c>
      <c r="L246" s="17">
        <f t="shared" si="18"/>
        <v>1</v>
      </c>
      <c r="M246" s="17">
        <f t="shared" si="19"/>
        <v>0</v>
      </c>
      <c r="N246" s="1">
        <f>IFERROR((EXPENSETBL4583[[#This Row],[MCC.ENT]]*EXPENSETBL4583[[#This Row],[TOTAL]])," ")</f>
        <v>-2585.7000000000003</v>
      </c>
      <c r="O246" s="1">
        <f>IFERROR((EXPENSETBL4583[[#This Row],[L.L.]]*EXPENSETBL4583[[#This Row],[TOTAL]])," ")</f>
        <v>0</v>
      </c>
      <c r="P246" s="1">
        <f>IFERROR((EXPENSETBL4583[[#This Row],[QTY]]*EXPENSETBL4583[[#This Row],[$/UOM]])," ")</f>
        <v>-2585.7000000000003</v>
      </c>
      <c r="Q246" s="1" t="s">
        <v>295</v>
      </c>
      <c r="R246">
        <v>2022</v>
      </c>
    </row>
    <row r="247" spans="2:18" hidden="1" x14ac:dyDescent="0.25">
      <c r="B247" t="s">
        <v>74</v>
      </c>
      <c r="C247" t="s">
        <v>21</v>
      </c>
      <c r="D247" t="s">
        <v>24</v>
      </c>
      <c r="E247">
        <f>VLOOKUP(EXPENSETBL4583[[#This Row],[FIELD]],FFTBL[[Field]:[Acres]],2,FALSE)</f>
        <v>153</v>
      </c>
      <c r="F247" t="s">
        <v>319</v>
      </c>
      <c r="G247" t="s">
        <v>117</v>
      </c>
      <c r="H247" t="s">
        <v>345</v>
      </c>
      <c r="I247" t="str">
        <f>IFERROR(VLOOKUP(EXPENSETBL4583[[#This Row],[OPERATION]],OPERATIONCOST,2,FALSE)," ")</f>
        <v>ACRE</v>
      </c>
      <c r="J247" s="1">
        <f>IFERROR(VLOOKUP(EXPENSETBL4583[[#This Row],[OPERATION]],OPERATIONCOST,3,FALSE)," ")</f>
        <v>-71.790000000000006</v>
      </c>
      <c r="K247">
        <f>IF(EXPENSETBL4583[[#This Row],[UOM]]="acre",EXPENSETBL4583[[#This Row],[ACRES]]," ")</f>
        <v>153</v>
      </c>
      <c r="L247" s="17">
        <f t="shared" si="18"/>
        <v>0.65</v>
      </c>
      <c r="M247" s="17">
        <f t="shared" si="19"/>
        <v>0.35</v>
      </c>
      <c r="N247" s="1">
        <f>IFERROR((EXPENSETBL4583[[#This Row],[MCC.ENT]]*EXPENSETBL4583[[#This Row],[TOTAL]])," ")</f>
        <v>-7139.5155000000004</v>
      </c>
      <c r="O247" s="1">
        <f>IFERROR((EXPENSETBL4583[[#This Row],[L.L.]]*EXPENSETBL4583[[#This Row],[TOTAL]])," ")</f>
        <v>-3844.3544999999999</v>
      </c>
      <c r="P247" s="1">
        <f>IFERROR((EXPENSETBL4583[[#This Row],[QTY]]*EXPENSETBL4583[[#This Row],[$/UOM]])," ")</f>
        <v>-10983.87</v>
      </c>
      <c r="Q247" s="1" t="s">
        <v>295</v>
      </c>
      <c r="R247">
        <v>2022</v>
      </c>
    </row>
    <row r="248" spans="2:18" hidden="1" x14ac:dyDescent="0.25">
      <c r="B248" t="s">
        <v>74</v>
      </c>
      <c r="C248" t="s">
        <v>21</v>
      </c>
      <c r="D248" t="s">
        <v>24</v>
      </c>
      <c r="E248">
        <f>VLOOKUP(EXPENSETBL4583[[#This Row],[FIELD]],FFTBL[[Field]:[Acres]],2,FALSE)</f>
        <v>153</v>
      </c>
      <c r="F248" t="s">
        <v>323</v>
      </c>
      <c r="G248" t="s">
        <v>297</v>
      </c>
      <c r="H248" t="s">
        <v>404</v>
      </c>
      <c r="I248" t="str">
        <f>IFERROR(VLOOKUP(EXPENSETBL4583[[#This Row],[OPERATION]],OPERATIONCOST,2,FALSE)," ")</f>
        <v>ACRE</v>
      </c>
      <c r="J248" s="1">
        <f>IFERROR(VLOOKUP(EXPENSETBL4583[[#This Row],[OPERATION]],OPERATIONCOST,3,FALSE)," ")</f>
        <v>-45</v>
      </c>
      <c r="K248">
        <f>IF(EXPENSETBL4583[[#This Row],[UOM]]="acre",EXPENSETBL4583[[#This Row],[ACRES]]," ")</f>
        <v>153</v>
      </c>
      <c r="L248" s="17">
        <f t="shared" si="18"/>
        <v>1</v>
      </c>
      <c r="M248" s="17">
        <f t="shared" si="19"/>
        <v>0</v>
      </c>
      <c r="N248" s="1">
        <f>IFERROR((EXPENSETBL4583[[#This Row],[MCC.ENT]]*EXPENSETBL4583[[#This Row],[TOTAL]])," ")</f>
        <v>-6885</v>
      </c>
      <c r="O248" s="1">
        <f>IFERROR((EXPENSETBL4583[[#This Row],[L.L.]]*EXPENSETBL4583[[#This Row],[TOTAL]])," ")</f>
        <v>0</v>
      </c>
      <c r="P248" s="1">
        <f>IFERROR((EXPENSETBL4583[[#This Row],[QTY]]*EXPENSETBL4583[[#This Row],[$/UOM]])," ")</f>
        <v>-6885</v>
      </c>
      <c r="Q248" s="1" t="s">
        <v>295</v>
      </c>
      <c r="R248">
        <v>2022</v>
      </c>
    </row>
    <row r="249" spans="2:18" hidden="1" x14ac:dyDescent="0.25">
      <c r="B249" t="s">
        <v>74</v>
      </c>
      <c r="C249" t="s">
        <v>21</v>
      </c>
      <c r="D249" t="s">
        <v>24</v>
      </c>
      <c r="E249">
        <f>VLOOKUP(EXPENSETBL4583[[#This Row],[FIELD]],FFTBL[[Field]:[Acres]],2,FALSE)</f>
        <v>153</v>
      </c>
      <c r="F249" t="s">
        <v>323</v>
      </c>
      <c r="G249" t="s">
        <v>297</v>
      </c>
      <c r="H249" t="s">
        <v>411</v>
      </c>
      <c r="I249" t="str">
        <f>IFERROR(VLOOKUP(EXPENSETBL4583[[#This Row],[OPERATION]],OPERATIONCOST,2,FALSE)," ")</f>
        <v>/QTY</v>
      </c>
      <c r="J249" s="1">
        <f>IFERROR(VLOOKUP(EXPENSETBL4583[[#This Row],[OPERATION]],OPERATIONCOST,3,FALSE)," ")</f>
        <v>-0.26</v>
      </c>
      <c r="K249">
        <v>3160.73</v>
      </c>
      <c r="L249" s="17">
        <f t="shared" si="18"/>
        <v>1</v>
      </c>
      <c r="M249" s="17">
        <f t="shared" si="19"/>
        <v>0</v>
      </c>
      <c r="N249" s="1">
        <f>IFERROR((EXPENSETBL4583[[#This Row],[MCC.ENT]]*EXPENSETBL4583[[#This Row],[TOTAL]])," ")</f>
        <v>-821.78980000000001</v>
      </c>
      <c r="O249" s="1">
        <f>IFERROR((EXPENSETBL4583[[#This Row],[L.L.]]*EXPENSETBL4583[[#This Row],[TOTAL]])," ")</f>
        <v>0</v>
      </c>
      <c r="P249" s="1">
        <f>IFERROR((EXPENSETBL4583[[#This Row],[QTY]]*EXPENSETBL4583[[#This Row],[$/UOM]])," ")</f>
        <v>-821.78980000000001</v>
      </c>
      <c r="Q249" s="1" t="s">
        <v>295</v>
      </c>
      <c r="R249">
        <v>2022</v>
      </c>
    </row>
    <row r="250" spans="2:18" hidden="1" x14ac:dyDescent="0.25">
      <c r="B250" t="s">
        <v>74</v>
      </c>
      <c r="C250" t="s">
        <v>21</v>
      </c>
      <c r="D250" t="s">
        <v>150</v>
      </c>
      <c r="E250">
        <f>VLOOKUP(EXPENSETBL4583[[#This Row],[FIELD]],FFTBL[[Field]:[Acres]],2,FALSE)</f>
        <v>149.76</v>
      </c>
      <c r="F250" t="s">
        <v>323</v>
      </c>
      <c r="G250" t="s">
        <v>297</v>
      </c>
      <c r="H250" t="s">
        <v>387</v>
      </c>
      <c r="I250" t="str">
        <f>IFERROR(VLOOKUP(EXPENSETBL4583[[#This Row],[OPERATION]],OPERATIONCOST,2,FALSE)," ")</f>
        <v>ACRE</v>
      </c>
      <c r="J250" s="1">
        <f>IFERROR(VLOOKUP(EXPENSETBL4583[[#This Row],[OPERATION]],OPERATIONCOST,3,FALSE)," ")</f>
        <v>-12</v>
      </c>
      <c r="K250">
        <f>IF(EXPENSETBL4583[[#This Row],[UOM]]="acre",EXPENSETBL4583[[#This Row],[ACRES]]," ")</f>
        <v>149.76</v>
      </c>
      <c r="L250" s="17">
        <f t="shared" si="18"/>
        <v>1</v>
      </c>
      <c r="M250" s="17">
        <f t="shared" si="19"/>
        <v>0</v>
      </c>
      <c r="N250" s="1">
        <f>IFERROR((EXPENSETBL4583[[#This Row],[MCC.ENT]]*EXPENSETBL4583[[#This Row],[TOTAL]])," ")</f>
        <v>-1797.12</v>
      </c>
      <c r="O250" s="1">
        <f>IFERROR((EXPENSETBL4583[[#This Row],[L.L.]]*EXPENSETBL4583[[#This Row],[TOTAL]])," ")</f>
        <v>0</v>
      </c>
      <c r="P250" s="1">
        <f>IFERROR((EXPENSETBL4583[[#This Row],[QTY]]*EXPENSETBL4583[[#This Row],[$/UOM]])," ")</f>
        <v>-1797.12</v>
      </c>
      <c r="Q250" s="1" t="s">
        <v>295</v>
      </c>
      <c r="R250">
        <v>2022</v>
      </c>
    </row>
    <row r="251" spans="2:18" hidden="1" x14ac:dyDescent="0.25">
      <c r="B251" t="s">
        <v>74</v>
      </c>
      <c r="C251" t="s">
        <v>21</v>
      </c>
      <c r="D251" t="s">
        <v>150</v>
      </c>
      <c r="E251">
        <f>VLOOKUP(EXPENSETBL4583[[#This Row],[FIELD]],FFTBL[[Field]:[Acres]],2,FALSE)</f>
        <v>149.76</v>
      </c>
      <c r="F251" t="s">
        <v>323</v>
      </c>
      <c r="G251" t="s">
        <v>297</v>
      </c>
      <c r="H251" t="s">
        <v>407</v>
      </c>
      <c r="I251" t="str">
        <f>IFERROR(VLOOKUP(EXPENSETBL4583[[#This Row],[OPERATION]],OPERATIONCOST,2,FALSE)," ")</f>
        <v>ACRE</v>
      </c>
      <c r="J251" s="1">
        <f>IFERROR(VLOOKUP(EXPENSETBL4583[[#This Row],[OPERATION]],OPERATIONCOST,3,FALSE)," ")</f>
        <v>-15</v>
      </c>
      <c r="K251">
        <f>IF(EXPENSETBL4583[[#This Row],[UOM]]="acre",EXPENSETBL4583[[#This Row],[ACRES]]," ")</f>
        <v>149.76</v>
      </c>
      <c r="L251" s="17">
        <f t="shared" si="18"/>
        <v>1</v>
      </c>
      <c r="M251" s="17">
        <f t="shared" si="19"/>
        <v>0</v>
      </c>
      <c r="N251" s="1">
        <f>IFERROR((EXPENSETBL4583[[#This Row],[MCC.ENT]]*EXPENSETBL4583[[#This Row],[TOTAL]])," ")</f>
        <v>-2246.3999999999996</v>
      </c>
      <c r="O251" s="1">
        <f>IFERROR((EXPENSETBL4583[[#This Row],[L.L.]]*EXPENSETBL4583[[#This Row],[TOTAL]])," ")</f>
        <v>0</v>
      </c>
      <c r="P251" s="1">
        <f>IFERROR((EXPENSETBL4583[[#This Row],[QTY]]*EXPENSETBL4583[[#This Row],[$/UOM]])," ")</f>
        <v>-2246.3999999999996</v>
      </c>
      <c r="Q251" s="1" t="s">
        <v>295</v>
      </c>
      <c r="R251">
        <v>2022</v>
      </c>
    </row>
    <row r="252" spans="2:18" hidden="1" x14ac:dyDescent="0.25">
      <c r="B252" t="s">
        <v>74</v>
      </c>
      <c r="C252" t="s">
        <v>21</v>
      </c>
      <c r="D252" t="s">
        <v>150</v>
      </c>
      <c r="E252">
        <f>VLOOKUP(EXPENSETBL4583[[#This Row],[FIELD]],FFTBL[[Field]:[Acres]],2,FALSE)</f>
        <v>149.76</v>
      </c>
      <c r="F252" t="s">
        <v>323</v>
      </c>
      <c r="G252" t="s">
        <v>297</v>
      </c>
      <c r="H252" t="s">
        <v>388</v>
      </c>
      <c r="I252" t="str">
        <f>IFERROR(VLOOKUP(EXPENSETBL4583[[#This Row],[OPERATION]],OPERATIONCOST,2,FALSE)," ")</f>
        <v>ACRE</v>
      </c>
      <c r="J252" s="1">
        <f>IFERROR(VLOOKUP(EXPENSETBL4583[[#This Row],[OPERATION]],OPERATIONCOST,3,FALSE)," ")</f>
        <v>-14</v>
      </c>
      <c r="K252">
        <f>IF(EXPENSETBL4583[[#This Row],[UOM]]="acre",EXPENSETBL4583[[#This Row],[ACRES]]," ")</f>
        <v>149.76</v>
      </c>
      <c r="L252" s="17">
        <f t="shared" si="18"/>
        <v>1</v>
      </c>
      <c r="M252" s="17">
        <f t="shared" si="19"/>
        <v>0</v>
      </c>
      <c r="N252" s="1">
        <f>IFERROR((EXPENSETBL4583[[#This Row],[MCC.ENT]]*EXPENSETBL4583[[#This Row],[TOTAL]])," ")</f>
        <v>-2096.64</v>
      </c>
      <c r="O252" s="1">
        <f>IFERROR((EXPENSETBL4583[[#This Row],[L.L.]]*EXPENSETBL4583[[#This Row],[TOTAL]])," ")</f>
        <v>0</v>
      </c>
      <c r="P252" s="1">
        <f>IFERROR((EXPENSETBL4583[[#This Row],[QTY]]*EXPENSETBL4583[[#This Row],[$/UOM]])," ")</f>
        <v>-2096.64</v>
      </c>
      <c r="Q252" s="1" t="s">
        <v>295</v>
      </c>
      <c r="R252">
        <v>2022</v>
      </c>
    </row>
    <row r="253" spans="2:18" hidden="1" x14ac:dyDescent="0.25">
      <c r="B253" t="s">
        <v>74</v>
      </c>
      <c r="C253" t="s">
        <v>21</v>
      </c>
      <c r="D253" t="s">
        <v>150</v>
      </c>
      <c r="E253">
        <f>VLOOKUP(EXPENSETBL4583[[#This Row],[FIELD]],FFTBL[[Field]:[Acres]],2,FALSE)</f>
        <v>149.76</v>
      </c>
      <c r="F253" t="s">
        <v>323</v>
      </c>
      <c r="G253" t="s">
        <v>297</v>
      </c>
      <c r="H253" t="s">
        <v>406</v>
      </c>
      <c r="I253" t="str">
        <f>IFERROR(VLOOKUP(EXPENSETBL4583[[#This Row],[OPERATION]],OPERATIONCOST,2,FALSE)," ")</f>
        <v>ACRE</v>
      </c>
      <c r="J253" s="1">
        <f>IFERROR(VLOOKUP(EXPENSETBL4583[[#This Row],[OPERATION]],OPERATIONCOST,3,FALSE)," ")</f>
        <v>-17</v>
      </c>
      <c r="K253">
        <f>IF(EXPENSETBL4583[[#This Row],[UOM]]="acre",EXPENSETBL4583[[#This Row],[ACRES]]," ")</f>
        <v>149.76</v>
      </c>
      <c r="L253" s="17">
        <f t="shared" si="18"/>
        <v>1</v>
      </c>
      <c r="M253" s="17">
        <f t="shared" si="19"/>
        <v>0</v>
      </c>
      <c r="N253" s="1">
        <f>IFERROR((EXPENSETBL4583[[#This Row],[MCC.ENT]]*EXPENSETBL4583[[#This Row],[TOTAL]])," ")</f>
        <v>-2545.92</v>
      </c>
      <c r="O253" s="1">
        <f>IFERROR((EXPENSETBL4583[[#This Row],[L.L.]]*EXPENSETBL4583[[#This Row],[TOTAL]])," ")</f>
        <v>0</v>
      </c>
      <c r="P253" s="1">
        <f>IFERROR((EXPENSETBL4583[[#This Row],[QTY]]*EXPENSETBL4583[[#This Row],[$/UOM]])," ")</f>
        <v>-2545.92</v>
      </c>
      <c r="Q253" s="1" t="s">
        <v>295</v>
      </c>
      <c r="R253">
        <v>2022</v>
      </c>
    </row>
    <row r="254" spans="2:18" hidden="1" x14ac:dyDescent="0.25">
      <c r="B254" t="s">
        <v>74</v>
      </c>
      <c r="C254" t="s">
        <v>21</v>
      </c>
      <c r="D254" t="s">
        <v>150</v>
      </c>
      <c r="E254">
        <f>VLOOKUP(EXPENSETBL4583[[#This Row],[FIELD]],FFTBL[[Field]:[Acres]],2,FALSE)</f>
        <v>149.76</v>
      </c>
      <c r="F254" t="s">
        <v>319</v>
      </c>
      <c r="G254" t="s">
        <v>297</v>
      </c>
      <c r="H254" t="s">
        <v>352</v>
      </c>
      <c r="I254" t="str">
        <f>IFERROR(VLOOKUP(EXPENSETBL4583[[#This Row],[OPERATION]],OPERATIONCOST,2,FALSE)," ")</f>
        <v>QTY</v>
      </c>
      <c r="J254" s="1">
        <f>IFERROR(VLOOKUP(EXPENSETBL4583[[#This Row],[OPERATION]],OPERATIONCOST,3,FALSE)," ")</f>
        <v>-0.26</v>
      </c>
      <c r="K254">
        <v>10400</v>
      </c>
      <c r="L254" s="17">
        <f t="shared" si="18"/>
        <v>1</v>
      </c>
      <c r="M254" s="17">
        <f t="shared" si="19"/>
        <v>0</v>
      </c>
      <c r="N254" s="1">
        <f>IFERROR((EXPENSETBL4583[[#This Row],[MCC.ENT]]*EXPENSETBL4583[[#This Row],[TOTAL]])," ")</f>
        <v>-2704</v>
      </c>
      <c r="O254" s="1">
        <f>IFERROR((EXPENSETBL4583[[#This Row],[L.L.]]*EXPENSETBL4583[[#This Row],[TOTAL]])," ")</f>
        <v>0</v>
      </c>
      <c r="P254" s="1">
        <f>IFERROR((EXPENSETBL4583[[#This Row],[QTY]]*EXPENSETBL4583[[#This Row],[$/UOM]])," ")</f>
        <v>-2704</v>
      </c>
      <c r="Q254" s="1" t="s">
        <v>295</v>
      </c>
      <c r="R254">
        <v>2022</v>
      </c>
    </row>
    <row r="255" spans="2:18" hidden="1" x14ac:dyDescent="0.25">
      <c r="B255" t="s">
        <v>74</v>
      </c>
      <c r="C255" t="s">
        <v>21</v>
      </c>
      <c r="D255" t="s">
        <v>150</v>
      </c>
      <c r="E255">
        <f>VLOOKUP(EXPENSETBL4583[[#This Row],[FIELD]],FFTBL[[Field]:[Acres]],2,FALSE)</f>
        <v>149.76</v>
      </c>
      <c r="F255" t="s">
        <v>319</v>
      </c>
      <c r="G255" t="s">
        <v>117</v>
      </c>
      <c r="H255" t="s">
        <v>345</v>
      </c>
      <c r="I255" t="str">
        <f>IFERROR(VLOOKUP(EXPENSETBL4583[[#This Row],[OPERATION]],OPERATIONCOST,2,FALSE)," ")</f>
        <v>ACRE</v>
      </c>
      <c r="J255" s="1">
        <f>IFERROR(VLOOKUP(EXPENSETBL4583[[#This Row],[OPERATION]],OPERATIONCOST,3,FALSE)," ")</f>
        <v>-71.790000000000006</v>
      </c>
      <c r="K255">
        <f>IF(EXPENSETBL4583[[#This Row],[UOM]]="acre",EXPENSETBL4583[[#This Row],[ACRES]]," ")</f>
        <v>149.76</v>
      </c>
      <c r="L255" s="17">
        <f t="shared" si="18"/>
        <v>0.65</v>
      </c>
      <c r="M255" s="17">
        <f t="shared" si="19"/>
        <v>0.35</v>
      </c>
      <c r="N255" s="1">
        <f>IFERROR((EXPENSETBL4583[[#This Row],[MCC.ENT]]*EXPENSETBL4583[[#This Row],[TOTAL]])," ")</f>
        <v>-6988.3257599999997</v>
      </c>
      <c r="O255" s="1">
        <f>IFERROR((EXPENSETBL4583[[#This Row],[L.L.]]*EXPENSETBL4583[[#This Row],[TOTAL]])," ")</f>
        <v>-3762.9446399999997</v>
      </c>
      <c r="P255" s="1">
        <f>IFERROR((EXPENSETBL4583[[#This Row],[QTY]]*EXPENSETBL4583[[#This Row],[$/UOM]])," ")</f>
        <v>-10751.270399999999</v>
      </c>
      <c r="Q255" s="1" t="s">
        <v>295</v>
      </c>
      <c r="R255">
        <v>2022</v>
      </c>
    </row>
    <row r="256" spans="2:18" hidden="1" x14ac:dyDescent="0.25">
      <c r="B256" t="s">
        <v>74</v>
      </c>
      <c r="C256" t="s">
        <v>21</v>
      </c>
      <c r="D256" t="s">
        <v>150</v>
      </c>
      <c r="E256">
        <f>VLOOKUP(EXPENSETBL4583[[#This Row],[FIELD]],FFTBL[[Field]:[Acres]],2,FALSE)</f>
        <v>149.76</v>
      </c>
      <c r="F256" t="s">
        <v>323</v>
      </c>
      <c r="G256" t="s">
        <v>297</v>
      </c>
      <c r="H256" t="s">
        <v>404</v>
      </c>
      <c r="I256" t="str">
        <f>IFERROR(VLOOKUP(EXPENSETBL4583[[#This Row],[OPERATION]],OPERATIONCOST,2,FALSE)," ")</f>
        <v>ACRE</v>
      </c>
      <c r="J256" s="1">
        <f>IFERROR(VLOOKUP(EXPENSETBL4583[[#This Row],[OPERATION]],OPERATIONCOST,3,FALSE)," ")</f>
        <v>-45</v>
      </c>
      <c r="K256">
        <f>IF(EXPENSETBL4583[[#This Row],[UOM]]="acre",EXPENSETBL4583[[#This Row],[ACRES]]," ")</f>
        <v>149.76</v>
      </c>
      <c r="L256" s="17">
        <f t="shared" si="18"/>
        <v>1</v>
      </c>
      <c r="M256" s="17">
        <f t="shared" si="19"/>
        <v>0</v>
      </c>
      <c r="N256" s="1">
        <f>IFERROR((EXPENSETBL4583[[#This Row],[MCC.ENT]]*EXPENSETBL4583[[#This Row],[TOTAL]])," ")</f>
        <v>-6739.2</v>
      </c>
      <c r="O256" s="1">
        <f>IFERROR((EXPENSETBL4583[[#This Row],[L.L.]]*EXPENSETBL4583[[#This Row],[TOTAL]])," ")</f>
        <v>0</v>
      </c>
      <c r="P256" s="1">
        <f>IFERROR((EXPENSETBL4583[[#This Row],[QTY]]*EXPENSETBL4583[[#This Row],[$/UOM]])," ")</f>
        <v>-6739.2</v>
      </c>
      <c r="Q256" s="1" t="s">
        <v>295</v>
      </c>
      <c r="R256">
        <v>2022</v>
      </c>
    </row>
    <row r="257" spans="2:18" hidden="1" x14ac:dyDescent="0.25">
      <c r="B257" t="s">
        <v>74</v>
      </c>
      <c r="C257" t="s">
        <v>21</v>
      </c>
      <c r="D257" t="s">
        <v>150</v>
      </c>
      <c r="E257">
        <f>VLOOKUP(EXPENSETBL4583[[#This Row],[FIELD]],FFTBL[[Field]:[Acres]],2,FALSE)</f>
        <v>149.76</v>
      </c>
      <c r="F257" t="s">
        <v>323</v>
      </c>
      <c r="G257" t="s">
        <v>297</v>
      </c>
      <c r="H257" t="s">
        <v>411</v>
      </c>
      <c r="I257" t="str">
        <f>IFERROR(VLOOKUP(EXPENSETBL4583[[#This Row],[OPERATION]],OPERATIONCOST,2,FALSE)," ")</f>
        <v>/QTY</v>
      </c>
      <c r="J257" s="1">
        <f>IFERROR(VLOOKUP(EXPENSETBL4583[[#This Row],[OPERATION]],OPERATIONCOST,3,FALSE)," ")</f>
        <v>-0.26</v>
      </c>
      <c r="K257">
        <v>3692.71</v>
      </c>
      <c r="L257" s="17">
        <f t="shared" ref="L257:L320" si="20">IF(G257="SPLIT",0.65,1)</f>
        <v>1</v>
      </c>
      <c r="M257" s="17">
        <f t="shared" ref="M257:M320" si="21">IF(G257="SPLIT",0.35,0)</f>
        <v>0</v>
      </c>
      <c r="N257" s="1">
        <f>IFERROR((EXPENSETBL4583[[#This Row],[MCC.ENT]]*EXPENSETBL4583[[#This Row],[TOTAL]])," ")</f>
        <v>-960.1046</v>
      </c>
      <c r="O257" s="1">
        <f>IFERROR((EXPENSETBL4583[[#This Row],[L.L.]]*EXPENSETBL4583[[#This Row],[TOTAL]])," ")</f>
        <v>0</v>
      </c>
      <c r="P257" s="1">
        <f>IFERROR((EXPENSETBL4583[[#This Row],[QTY]]*EXPENSETBL4583[[#This Row],[$/UOM]])," ")</f>
        <v>-960.1046</v>
      </c>
      <c r="Q257" s="1" t="s">
        <v>295</v>
      </c>
      <c r="R257">
        <v>2022</v>
      </c>
    </row>
    <row r="258" spans="2:18" hidden="1" x14ac:dyDescent="0.25">
      <c r="B258" t="s">
        <v>74</v>
      </c>
      <c r="C258" t="s">
        <v>75</v>
      </c>
      <c r="D258" t="s">
        <v>831</v>
      </c>
      <c r="E258" t="e">
        <f>VLOOKUP(EXPENSETBL4583[[#This Row],[FIELD]],FFTBL[[Field]:[Acres]],2,FALSE)</f>
        <v>#N/A</v>
      </c>
      <c r="F258" t="s">
        <v>323</v>
      </c>
      <c r="G258" t="s">
        <v>297</v>
      </c>
      <c r="H258" t="s">
        <v>387</v>
      </c>
      <c r="I258" t="str">
        <f>IFERROR(VLOOKUP(EXPENSETBL4583[[#This Row],[OPERATION]],OPERATIONCOST,2,FALSE)," ")</f>
        <v>ACRE</v>
      </c>
      <c r="J258" s="1">
        <f>IFERROR(VLOOKUP(EXPENSETBL4583[[#This Row],[OPERATION]],OPERATIONCOST,3,FALSE)," ")</f>
        <v>-12</v>
      </c>
      <c r="K258" t="e">
        <f>IF(EXPENSETBL4583[[#This Row],[UOM]]="acre",EXPENSETBL4583[[#This Row],[ACRES]]," ")</f>
        <v>#N/A</v>
      </c>
      <c r="L258" s="17">
        <f t="shared" si="20"/>
        <v>1</v>
      </c>
      <c r="M258" s="17">
        <f t="shared" si="21"/>
        <v>0</v>
      </c>
      <c r="N258" s="1" t="str">
        <f>IFERROR((EXPENSETBL4583[[#This Row],[MCC.ENT]]*EXPENSETBL4583[[#This Row],[TOTAL]])," ")</f>
        <v xml:space="preserve"> </v>
      </c>
      <c r="O258" s="1" t="str">
        <f>IFERROR((EXPENSETBL4583[[#This Row],[L.L.]]*EXPENSETBL4583[[#This Row],[TOTAL]])," ")</f>
        <v xml:space="preserve"> </v>
      </c>
      <c r="P258" s="1" t="str">
        <f>IFERROR((EXPENSETBL4583[[#This Row],[QTY]]*EXPENSETBL4583[[#This Row],[$/UOM]])," ")</f>
        <v xml:space="preserve"> </v>
      </c>
      <c r="Q258" s="1" t="s">
        <v>295</v>
      </c>
      <c r="R258">
        <v>2022</v>
      </c>
    </row>
    <row r="259" spans="2:18" hidden="1" x14ac:dyDescent="0.25">
      <c r="B259" t="s">
        <v>74</v>
      </c>
      <c r="C259" t="s">
        <v>75</v>
      </c>
      <c r="D259" t="s">
        <v>831</v>
      </c>
      <c r="E259" t="e">
        <f>VLOOKUP(EXPENSETBL4583[[#This Row],[FIELD]],FFTBL[[Field]:[Acres]],2,FALSE)</f>
        <v>#N/A</v>
      </c>
      <c r="F259" t="s">
        <v>323</v>
      </c>
      <c r="G259" t="s">
        <v>297</v>
      </c>
      <c r="H259" t="s">
        <v>407</v>
      </c>
      <c r="I259" t="str">
        <f>IFERROR(VLOOKUP(EXPENSETBL4583[[#This Row],[OPERATION]],OPERATIONCOST,2,FALSE)," ")</f>
        <v>ACRE</v>
      </c>
      <c r="J259" s="1">
        <f>IFERROR(VLOOKUP(EXPENSETBL4583[[#This Row],[OPERATION]],OPERATIONCOST,3,FALSE)," ")</f>
        <v>-15</v>
      </c>
      <c r="K259" t="e">
        <f>IF(EXPENSETBL4583[[#This Row],[UOM]]="acre",EXPENSETBL4583[[#This Row],[ACRES]]," ")</f>
        <v>#N/A</v>
      </c>
      <c r="L259" s="17">
        <f t="shared" si="20"/>
        <v>1</v>
      </c>
      <c r="M259" s="17">
        <f t="shared" si="21"/>
        <v>0</v>
      </c>
      <c r="N259" s="1" t="str">
        <f>IFERROR((EXPENSETBL4583[[#This Row],[MCC.ENT]]*EXPENSETBL4583[[#This Row],[TOTAL]])," ")</f>
        <v xml:space="preserve"> </v>
      </c>
      <c r="O259" s="1" t="str">
        <f>IFERROR((EXPENSETBL4583[[#This Row],[L.L.]]*EXPENSETBL4583[[#This Row],[TOTAL]])," ")</f>
        <v xml:space="preserve"> </v>
      </c>
      <c r="P259" s="1" t="str">
        <f>IFERROR((EXPENSETBL4583[[#This Row],[QTY]]*EXPENSETBL4583[[#This Row],[$/UOM]])," ")</f>
        <v xml:space="preserve"> </v>
      </c>
      <c r="Q259" s="1" t="s">
        <v>295</v>
      </c>
      <c r="R259">
        <v>2022</v>
      </c>
    </row>
    <row r="260" spans="2:18" hidden="1" x14ac:dyDescent="0.25">
      <c r="B260" t="s">
        <v>74</v>
      </c>
      <c r="C260" t="s">
        <v>75</v>
      </c>
      <c r="D260" t="s">
        <v>831</v>
      </c>
      <c r="E260" t="e">
        <f>VLOOKUP(EXPENSETBL4583[[#This Row],[FIELD]],FFTBL[[Field]:[Acres]],2,FALSE)</f>
        <v>#N/A</v>
      </c>
      <c r="F260" t="s">
        <v>323</v>
      </c>
      <c r="G260" t="s">
        <v>297</v>
      </c>
      <c r="H260" t="s">
        <v>388</v>
      </c>
      <c r="I260" t="str">
        <f>IFERROR(VLOOKUP(EXPENSETBL4583[[#This Row],[OPERATION]],OPERATIONCOST,2,FALSE)," ")</f>
        <v>ACRE</v>
      </c>
      <c r="J260" s="1">
        <f>IFERROR(VLOOKUP(EXPENSETBL4583[[#This Row],[OPERATION]],OPERATIONCOST,3,FALSE)," ")</f>
        <v>-14</v>
      </c>
      <c r="K260" t="e">
        <f>IF(EXPENSETBL4583[[#This Row],[UOM]]="acre",EXPENSETBL4583[[#This Row],[ACRES]]," ")</f>
        <v>#N/A</v>
      </c>
      <c r="L260" s="17">
        <f t="shared" si="20"/>
        <v>1</v>
      </c>
      <c r="M260" s="17">
        <f t="shared" si="21"/>
        <v>0</v>
      </c>
      <c r="N260" s="1" t="str">
        <f>IFERROR((EXPENSETBL4583[[#This Row],[MCC.ENT]]*EXPENSETBL4583[[#This Row],[TOTAL]])," ")</f>
        <v xml:space="preserve"> </v>
      </c>
      <c r="O260" s="1" t="str">
        <f>IFERROR((EXPENSETBL4583[[#This Row],[L.L.]]*EXPENSETBL4583[[#This Row],[TOTAL]])," ")</f>
        <v xml:space="preserve"> </v>
      </c>
      <c r="P260" s="1" t="str">
        <f>IFERROR((EXPENSETBL4583[[#This Row],[QTY]]*EXPENSETBL4583[[#This Row],[$/UOM]])," ")</f>
        <v xml:space="preserve"> </v>
      </c>
      <c r="Q260" s="1" t="s">
        <v>295</v>
      </c>
      <c r="R260">
        <v>2022</v>
      </c>
    </row>
    <row r="261" spans="2:18" hidden="1" x14ac:dyDescent="0.25">
      <c r="B261" t="s">
        <v>74</v>
      </c>
      <c r="C261" t="s">
        <v>75</v>
      </c>
      <c r="D261" t="s">
        <v>831</v>
      </c>
      <c r="E261" t="e">
        <f>VLOOKUP(EXPENSETBL4583[[#This Row],[FIELD]],FFTBL[[Field]:[Acres]],2,FALSE)</f>
        <v>#N/A</v>
      </c>
      <c r="F261" t="s">
        <v>323</v>
      </c>
      <c r="G261" t="s">
        <v>297</v>
      </c>
      <c r="H261" t="s">
        <v>406</v>
      </c>
      <c r="I261" t="str">
        <f>IFERROR(VLOOKUP(EXPENSETBL4583[[#This Row],[OPERATION]],OPERATIONCOST,2,FALSE)," ")</f>
        <v>ACRE</v>
      </c>
      <c r="J261" s="1">
        <f>IFERROR(VLOOKUP(EXPENSETBL4583[[#This Row],[OPERATION]],OPERATIONCOST,3,FALSE)," ")</f>
        <v>-17</v>
      </c>
      <c r="K261" t="e">
        <f>IF(EXPENSETBL4583[[#This Row],[UOM]]="acre",EXPENSETBL4583[[#This Row],[ACRES]]," ")</f>
        <v>#N/A</v>
      </c>
      <c r="L261" s="17">
        <f t="shared" si="20"/>
        <v>1</v>
      </c>
      <c r="M261" s="17">
        <f t="shared" si="21"/>
        <v>0</v>
      </c>
      <c r="N261" s="1" t="str">
        <f>IFERROR((EXPENSETBL4583[[#This Row],[MCC.ENT]]*EXPENSETBL4583[[#This Row],[TOTAL]])," ")</f>
        <v xml:space="preserve"> </v>
      </c>
      <c r="O261" s="1" t="str">
        <f>IFERROR((EXPENSETBL4583[[#This Row],[L.L.]]*EXPENSETBL4583[[#This Row],[TOTAL]])," ")</f>
        <v xml:space="preserve"> </v>
      </c>
      <c r="P261" s="1" t="str">
        <f>IFERROR((EXPENSETBL4583[[#This Row],[QTY]]*EXPENSETBL4583[[#This Row],[$/UOM]])," ")</f>
        <v xml:space="preserve"> </v>
      </c>
      <c r="Q261" s="1" t="s">
        <v>295</v>
      </c>
      <c r="R261">
        <v>2022</v>
      </c>
    </row>
    <row r="262" spans="2:18" hidden="1" x14ac:dyDescent="0.25">
      <c r="B262" t="s">
        <v>74</v>
      </c>
      <c r="C262" t="s">
        <v>75</v>
      </c>
      <c r="D262" t="s">
        <v>831</v>
      </c>
      <c r="E262" t="e">
        <f>VLOOKUP(EXPENSETBL4583[[#This Row],[FIELD]],FFTBL[[Field]:[Acres]],2,FALSE)</f>
        <v>#N/A</v>
      </c>
      <c r="F262" t="s">
        <v>319</v>
      </c>
      <c r="G262" t="s">
        <v>297</v>
      </c>
      <c r="H262" t="s">
        <v>355</v>
      </c>
      <c r="I262" t="str">
        <f>IFERROR(VLOOKUP(EXPENSETBL4583[[#This Row],[OPERATION]],OPERATIONCOST,2,FALSE)," ")</f>
        <v>QTY</v>
      </c>
      <c r="J262" s="1">
        <f>IFERROR(VLOOKUP(EXPENSETBL4583[[#This Row],[OPERATION]],OPERATIONCOST,3,FALSE)," ")</f>
        <v>-0.27</v>
      </c>
      <c r="K262">
        <v>16835</v>
      </c>
      <c r="L262" s="17">
        <f t="shared" si="20"/>
        <v>1</v>
      </c>
      <c r="M262" s="17">
        <f t="shared" si="21"/>
        <v>0</v>
      </c>
      <c r="N262" s="1">
        <f>IFERROR((EXPENSETBL4583[[#This Row],[MCC.ENT]]*EXPENSETBL4583[[#This Row],[TOTAL]])," ")</f>
        <v>-4545.4500000000007</v>
      </c>
      <c r="O262" s="1">
        <f>IFERROR((EXPENSETBL4583[[#This Row],[L.L.]]*EXPENSETBL4583[[#This Row],[TOTAL]])," ")</f>
        <v>0</v>
      </c>
      <c r="P262" s="1">
        <f>IFERROR((EXPENSETBL4583[[#This Row],[QTY]]*EXPENSETBL4583[[#This Row],[$/UOM]])," ")</f>
        <v>-4545.4500000000007</v>
      </c>
      <c r="Q262" s="1" t="s">
        <v>295</v>
      </c>
      <c r="R262">
        <v>2022</v>
      </c>
    </row>
    <row r="263" spans="2:18" hidden="1" x14ac:dyDescent="0.25">
      <c r="B263" t="s">
        <v>74</v>
      </c>
      <c r="C263" t="s">
        <v>75</v>
      </c>
      <c r="D263" t="s">
        <v>831</v>
      </c>
      <c r="E263" t="e">
        <f>VLOOKUP(EXPENSETBL4583[[#This Row],[FIELD]],FFTBL[[Field]:[Acres]],2,FALSE)</f>
        <v>#N/A</v>
      </c>
      <c r="F263" t="s">
        <v>319</v>
      </c>
      <c r="G263" t="s">
        <v>117</v>
      </c>
      <c r="H263" t="s">
        <v>345</v>
      </c>
      <c r="I263" t="str">
        <f>IFERROR(VLOOKUP(EXPENSETBL4583[[#This Row],[OPERATION]],OPERATIONCOST,2,FALSE)," ")</f>
        <v>ACRE</v>
      </c>
      <c r="J263" s="1">
        <f>IFERROR(VLOOKUP(EXPENSETBL4583[[#This Row],[OPERATION]],OPERATIONCOST,3,FALSE)," ")</f>
        <v>-71.790000000000006</v>
      </c>
      <c r="K263" t="e">
        <f>IF(EXPENSETBL4583[[#This Row],[UOM]]="acre",EXPENSETBL4583[[#This Row],[ACRES]]," ")</f>
        <v>#N/A</v>
      </c>
      <c r="L263" s="17">
        <f t="shared" si="20"/>
        <v>0.65</v>
      </c>
      <c r="M263" s="17">
        <f t="shared" si="21"/>
        <v>0.35</v>
      </c>
      <c r="N263" s="1" t="str">
        <f>IFERROR((EXPENSETBL4583[[#This Row],[MCC.ENT]]*EXPENSETBL4583[[#This Row],[TOTAL]])," ")</f>
        <v xml:space="preserve"> </v>
      </c>
      <c r="O263" s="1" t="str">
        <f>IFERROR((EXPENSETBL4583[[#This Row],[L.L.]]*EXPENSETBL4583[[#This Row],[TOTAL]])," ")</f>
        <v xml:space="preserve"> </v>
      </c>
      <c r="P263" s="1" t="str">
        <f>IFERROR((EXPENSETBL4583[[#This Row],[QTY]]*EXPENSETBL4583[[#This Row],[$/UOM]])," ")</f>
        <v xml:space="preserve"> </v>
      </c>
      <c r="Q263" s="1" t="s">
        <v>295</v>
      </c>
      <c r="R263">
        <v>2022</v>
      </c>
    </row>
    <row r="264" spans="2:18" hidden="1" x14ac:dyDescent="0.25">
      <c r="B264" t="s">
        <v>74</v>
      </c>
      <c r="C264" t="s">
        <v>75</v>
      </c>
      <c r="D264" t="s">
        <v>831</v>
      </c>
      <c r="E264" t="e">
        <f>VLOOKUP(EXPENSETBL4583[[#This Row],[FIELD]],FFTBL[[Field]:[Acres]],2,FALSE)</f>
        <v>#N/A</v>
      </c>
      <c r="F264" t="s">
        <v>323</v>
      </c>
      <c r="G264" t="s">
        <v>297</v>
      </c>
      <c r="H264" t="s">
        <v>404</v>
      </c>
      <c r="I264" t="str">
        <f>IFERROR(VLOOKUP(EXPENSETBL4583[[#This Row],[OPERATION]],OPERATIONCOST,2,FALSE)," ")</f>
        <v>ACRE</v>
      </c>
      <c r="J264" s="1">
        <f>IFERROR(VLOOKUP(EXPENSETBL4583[[#This Row],[OPERATION]],OPERATIONCOST,3,FALSE)," ")</f>
        <v>-45</v>
      </c>
      <c r="K264" t="e">
        <f>IF(EXPENSETBL4583[[#This Row],[UOM]]="acre",EXPENSETBL4583[[#This Row],[ACRES]]," ")</f>
        <v>#N/A</v>
      </c>
      <c r="L264" s="17">
        <f t="shared" si="20"/>
        <v>1</v>
      </c>
      <c r="M264" s="17">
        <f t="shared" si="21"/>
        <v>0</v>
      </c>
      <c r="N264" s="1" t="str">
        <f>IFERROR((EXPENSETBL4583[[#This Row],[MCC.ENT]]*EXPENSETBL4583[[#This Row],[TOTAL]])," ")</f>
        <v xml:space="preserve"> </v>
      </c>
      <c r="O264" s="1" t="str">
        <f>IFERROR((EXPENSETBL4583[[#This Row],[L.L.]]*EXPENSETBL4583[[#This Row],[TOTAL]])," ")</f>
        <v xml:space="preserve"> </v>
      </c>
      <c r="P264" s="1" t="str">
        <f>IFERROR((EXPENSETBL4583[[#This Row],[QTY]]*EXPENSETBL4583[[#This Row],[$/UOM]])," ")</f>
        <v xml:space="preserve"> </v>
      </c>
      <c r="Q264" s="1" t="s">
        <v>295</v>
      </c>
      <c r="R264">
        <v>2022</v>
      </c>
    </row>
    <row r="265" spans="2:18" hidden="1" x14ac:dyDescent="0.25">
      <c r="B265" t="s">
        <v>74</v>
      </c>
      <c r="C265" t="s">
        <v>75</v>
      </c>
      <c r="D265" t="s">
        <v>831</v>
      </c>
      <c r="E265" t="e">
        <f>VLOOKUP(EXPENSETBL4583[[#This Row],[FIELD]],FFTBL[[Field]:[Acres]],2,FALSE)</f>
        <v>#N/A</v>
      </c>
      <c r="F265" t="s">
        <v>323</v>
      </c>
      <c r="G265" t="s">
        <v>297</v>
      </c>
      <c r="H265" t="s">
        <v>411</v>
      </c>
      <c r="I265" t="str">
        <f>IFERROR(VLOOKUP(EXPENSETBL4583[[#This Row],[OPERATION]],OPERATIONCOST,2,FALSE)," ")</f>
        <v>/QTY</v>
      </c>
      <c r="J265" s="1">
        <f>IFERROR(VLOOKUP(EXPENSETBL4583[[#This Row],[OPERATION]],OPERATIONCOST,3,FALSE)," ")</f>
        <v>-0.26</v>
      </c>
      <c r="K265">
        <v>7308.1</v>
      </c>
      <c r="L265" s="17">
        <f t="shared" si="20"/>
        <v>1</v>
      </c>
      <c r="M265" s="17">
        <f t="shared" si="21"/>
        <v>0</v>
      </c>
      <c r="N265" s="1">
        <f>IFERROR((EXPENSETBL4583[[#This Row],[MCC.ENT]]*EXPENSETBL4583[[#This Row],[TOTAL]])," ")</f>
        <v>-1900.1060000000002</v>
      </c>
      <c r="O265" s="1">
        <f>IFERROR((EXPENSETBL4583[[#This Row],[L.L.]]*EXPENSETBL4583[[#This Row],[TOTAL]])," ")</f>
        <v>0</v>
      </c>
      <c r="P265" s="1">
        <f>IFERROR((EXPENSETBL4583[[#This Row],[QTY]]*EXPENSETBL4583[[#This Row],[$/UOM]])," ")</f>
        <v>-1900.1060000000002</v>
      </c>
      <c r="Q265" s="1" t="s">
        <v>295</v>
      </c>
      <c r="R265">
        <v>2022</v>
      </c>
    </row>
    <row r="266" spans="2:18" hidden="1" x14ac:dyDescent="0.25">
      <c r="B266" t="s">
        <v>74</v>
      </c>
      <c r="C266" t="s">
        <v>32</v>
      </c>
      <c r="D266" t="s">
        <v>231</v>
      </c>
      <c r="E266">
        <f>VLOOKUP(EXPENSETBL4583[[#This Row],[FIELD]],FFTBL[[Field]:[Acres]],2,FALSE)</f>
        <v>156.78</v>
      </c>
      <c r="F266" t="s">
        <v>323</v>
      </c>
      <c r="G266" t="s">
        <v>297</v>
      </c>
      <c r="H266" t="s">
        <v>387</v>
      </c>
      <c r="I266" t="str">
        <f>IFERROR(VLOOKUP(EXPENSETBL4583[[#This Row],[OPERATION]],OPERATIONCOST,2,FALSE)," ")</f>
        <v>ACRE</v>
      </c>
      <c r="J266" s="1">
        <f>IFERROR(VLOOKUP(EXPENSETBL4583[[#This Row],[OPERATION]],OPERATIONCOST,3,FALSE)," ")</f>
        <v>-12</v>
      </c>
      <c r="K266">
        <f>IF(EXPENSETBL4583[[#This Row],[UOM]]="acre",EXPENSETBL4583[[#This Row],[ACRES]]," ")</f>
        <v>156.78</v>
      </c>
      <c r="L266" s="17">
        <f t="shared" si="20"/>
        <v>1</v>
      </c>
      <c r="M266" s="17">
        <f t="shared" si="21"/>
        <v>0</v>
      </c>
      <c r="N266" s="1">
        <f>IFERROR((EXPENSETBL4583[[#This Row],[MCC.ENT]]*EXPENSETBL4583[[#This Row],[TOTAL]])," ")</f>
        <v>-1881.3600000000001</v>
      </c>
      <c r="O266" s="1">
        <f>IFERROR((EXPENSETBL4583[[#This Row],[L.L.]]*EXPENSETBL4583[[#This Row],[TOTAL]])," ")</f>
        <v>0</v>
      </c>
      <c r="P266" s="1">
        <f>IFERROR((EXPENSETBL4583[[#This Row],[QTY]]*EXPENSETBL4583[[#This Row],[$/UOM]])," ")</f>
        <v>-1881.3600000000001</v>
      </c>
      <c r="Q266" s="1" t="s">
        <v>295</v>
      </c>
      <c r="R266">
        <v>2022</v>
      </c>
    </row>
    <row r="267" spans="2:18" hidden="1" x14ac:dyDescent="0.25">
      <c r="B267" t="s">
        <v>74</v>
      </c>
      <c r="C267" t="s">
        <v>32</v>
      </c>
      <c r="D267" t="s">
        <v>231</v>
      </c>
      <c r="E267">
        <f>VLOOKUP(EXPENSETBL4583[[#This Row],[FIELD]],FFTBL[[Field]:[Acres]],2,FALSE)</f>
        <v>156.78</v>
      </c>
      <c r="F267" t="s">
        <v>323</v>
      </c>
      <c r="G267" t="s">
        <v>297</v>
      </c>
      <c r="H267" t="s">
        <v>407</v>
      </c>
      <c r="I267" t="str">
        <f>IFERROR(VLOOKUP(EXPENSETBL4583[[#This Row],[OPERATION]],OPERATIONCOST,2,FALSE)," ")</f>
        <v>ACRE</v>
      </c>
      <c r="J267" s="1">
        <f>IFERROR(VLOOKUP(EXPENSETBL4583[[#This Row],[OPERATION]],OPERATIONCOST,3,FALSE)," ")</f>
        <v>-15</v>
      </c>
      <c r="K267">
        <f>IF(EXPENSETBL4583[[#This Row],[UOM]]="acre",EXPENSETBL4583[[#This Row],[ACRES]]," ")</f>
        <v>156.78</v>
      </c>
      <c r="L267" s="17">
        <f t="shared" si="20"/>
        <v>1</v>
      </c>
      <c r="M267" s="17">
        <f t="shared" si="21"/>
        <v>0</v>
      </c>
      <c r="N267" s="1">
        <f>IFERROR((EXPENSETBL4583[[#This Row],[MCC.ENT]]*EXPENSETBL4583[[#This Row],[TOTAL]])," ")</f>
        <v>-2351.6999999999998</v>
      </c>
      <c r="O267" s="1">
        <f>IFERROR((EXPENSETBL4583[[#This Row],[L.L.]]*EXPENSETBL4583[[#This Row],[TOTAL]])," ")</f>
        <v>0</v>
      </c>
      <c r="P267" s="1">
        <f>IFERROR((EXPENSETBL4583[[#This Row],[QTY]]*EXPENSETBL4583[[#This Row],[$/UOM]])," ")</f>
        <v>-2351.6999999999998</v>
      </c>
      <c r="Q267" s="1" t="s">
        <v>295</v>
      </c>
      <c r="R267">
        <v>2022</v>
      </c>
    </row>
    <row r="268" spans="2:18" hidden="1" x14ac:dyDescent="0.25">
      <c r="B268" t="s">
        <v>74</v>
      </c>
      <c r="C268" t="s">
        <v>32</v>
      </c>
      <c r="D268" t="s">
        <v>231</v>
      </c>
      <c r="E268">
        <f>VLOOKUP(EXPENSETBL4583[[#This Row],[FIELD]],FFTBL[[Field]:[Acres]],2,FALSE)</f>
        <v>156.78</v>
      </c>
      <c r="F268" t="s">
        <v>323</v>
      </c>
      <c r="G268" t="s">
        <v>297</v>
      </c>
      <c r="H268" t="s">
        <v>388</v>
      </c>
      <c r="I268" t="str">
        <f>IFERROR(VLOOKUP(EXPENSETBL4583[[#This Row],[OPERATION]],OPERATIONCOST,2,FALSE)," ")</f>
        <v>ACRE</v>
      </c>
      <c r="J268" s="1">
        <f>IFERROR(VLOOKUP(EXPENSETBL4583[[#This Row],[OPERATION]],OPERATIONCOST,3,FALSE)," ")</f>
        <v>-14</v>
      </c>
      <c r="K268">
        <f>IF(EXPENSETBL4583[[#This Row],[UOM]]="acre",EXPENSETBL4583[[#This Row],[ACRES]]," ")</f>
        <v>156.78</v>
      </c>
      <c r="L268" s="17">
        <f t="shared" si="20"/>
        <v>1</v>
      </c>
      <c r="M268" s="17">
        <f t="shared" si="21"/>
        <v>0</v>
      </c>
      <c r="N268" s="1">
        <f>IFERROR((EXPENSETBL4583[[#This Row],[MCC.ENT]]*EXPENSETBL4583[[#This Row],[TOTAL]])," ")</f>
        <v>-2194.92</v>
      </c>
      <c r="O268" s="1">
        <f>IFERROR((EXPENSETBL4583[[#This Row],[L.L.]]*EXPENSETBL4583[[#This Row],[TOTAL]])," ")</f>
        <v>0</v>
      </c>
      <c r="P268" s="1">
        <f>IFERROR((EXPENSETBL4583[[#This Row],[QTY]]*EXPENSETBL4583[[#This Row],[$/UOM]])," ")</f>
        <v>-2194.92</v>
      </c>
      <c r="Q268" s="1" t="s">
        <v>295</v>
      </c>
      <c r="R268">
        <v>2022</v>
      </c>
    </row>
    <row r="269" spans="2:18" hidden="1" x14ac:dyDescent="0.25">
      <c r="B269" t="s">
        <v>74</v>
      </c>
      <c r="C269" t="s">
        <v>32</v>
      </c>
      <c r="D269" t="s">
        <v>231</v>
      </c>
      <c r="E269">
        <f>VLOOKUP(EXPENSETBL4583[[#This Row],[FIELD]],FFTBL[[Field]:[Acres]],2,FALSE)</f>
        <v>156.78</v>
      </c>
      <c r="F269" t="s">
        <v>323</v>
      </c>
      <c r="G269" t="s">
        <v>297</v>
      </c>
      <c r="H269" t="s">
        <v>406</v>
      </c>
      <c r="I269" t="str">
        <f>IFERROR(VLOOKUP(EXPENSETBL4583[[#This Row],[OPERATION]],OPERATIONCOST,2,FALSE)," ")</f>
        <v>ACRE</v>
      </c>
      <c r="J269" s="1">
        <f>IFERROR(VLOOKUP(EXPENSETBL4583[[#This Row],[OPERATION]],OPERATIONCOST,3,FALSE)," ")</f>
        <v>-17</v>
      </c>
      <c r="K269">
        <f>IF(EXPENSETBL4583[[#This Row],[UOM]]="acre",EXPENSETBL4583[[#This Row],[ACRES]]," ")</f>
        <v>156.78</v>
      </c>
      <c r="L269" s="17">
        <f t="shared" si="20"/>
        <v>1</v>
      </c>
      <c r="M269" s="17">
        <f t="shared" si="21"/>
        <v>0</v>
      </c>
      <c r="N269" s="1">
        <f>IFERROR((EXPENSETBL4583[[#This Row],[MCC.ENT]]*EXPENSETBL4583[[#This Row],[TOTAL]])," ")</f>
        <v>-2665.26</v>
      </c>
      <c r="O269" s="1">
        <f>IFERROR((EXPENSETBL4583[[#This Row],[L.L.]]*EXPENSETBL4583[[#This Row],[TOTAL]])," ")</f>
        <v>0</v>
      </c>
      <c r="P269" s="1">
        <f>IFERROR((EXPENSETBL4583[[#This Row],[QTY]]*EXPENSETBL4583[[#This Row],[$/UOM]])," ")</f>
        <v>-2665.26</v>
      </c>
      <c r="Q269" s="1" t="s">
        <v>295</v>
      </c>
      <c r="R269">
        <v>2022</v>
      </c>
    </row>
    <row r="270" spans="2:18" hidden="1" x14ac:dyDescent="0.25">
      <c r="B270" t="s">
        <v>74</v>
      </c>
      <c r="C270" t="s">
        <v>32</v>
      </c>
      <c r="D270" t="s">
        <v>231</v>
      </c>
      <c r="E270">
        <f>VLOOKUP(EXPENSETBL4583[[#This Row],[FIELD]],FFTBL[[Field]:[Acres]],2,FALSE)</f>
        <v>156.78</v>
      </c>
      <c r="F270" t="s">
        <v>319</v>
      </c>
      <c r="G270" t="s">
        <v>297</v>
      </c>
      <c r="H270" t="s">
        <v>354</v>
      </c>
      <c r="I270" t="str">
        <f>IFERROR(VLOOKUP(EXPENSETBL4583[[#This Row],[OPERATION]],OPERATIONCOST,2,FALSE)," ")</f>
        <v>QTY</v>
      </c>
      <c r="J270" s="1">
        <f>IFERROR(VLOOKUP(EXPENSETBL4583[[#This Row],[OPERATION]],OPERATIONCOST,3,FALSE)," ")</f>
        <v>-0.27</v>
      </c>
      <c r="K270">
        <v>12246</v>
      </c>
      <c r="L270" s="17">
        <f t="shared" si="20"/>
        <v>1</v>
      </c>
      <c r="M270" s="17">
        <f t="shared" si="21"/>
        <v>0</v>
      </c>
      <c r="N270" s="1">
        <f>IFERROR((EXPENSETBL4583[[#This Row],[MCC.ENT]]*EXPENSETBL4583[[#This Row],[TOTAL]])," ")</f>
        <v>-3306.42</v>
      </c>
      <c r="O270" s="1">
        <f>IFERROR((EXPENSETBL4583[[#This Row],[L.L.]]*EXPENSETBL4583[[#This Row],[TOTAL]])," ")</f>
        <v>0</v>
      </c>
      <c r="P270" s="1">
        <f>IFERROR((EXPENSETBL4583[[#This Row],[QTY]]*EXPENSETBL4583[[#This Row],[$/UOM]])," ")</f>
        <v>-3306.42</v>
      </c>
      <c r="Q270" s="1" t="s">
        <v>295</v>
      </c>
      <c r="R270">
        <v>2022</v>
      </c>
    </row>
    <row r="271" spans="2:18" hidden="1" x14ac:dyDescent="0.25">
      <c r="B271" t="s">
        <v>74</v>
      </c>
      <c r="C271" t="s">
        <v>32</v>
      </c>
      <c r="D271" t="s">
        <v>231</v>
      </c>
      <c r="E271">
        <f>VLOOKUP(EXPENSETBL4583[[#This Row],[FIELD]],FFTBL[[Field]:[Acres]],2,FALSE)</f>
        <v>156.78</v>
      </c>
      <c r="F271" t="s">
        <v>319</v>
      </c>
      <c r="G271" t="s">
        <v>117</v>
      </c>
      <c r="H271" t="s">
        <v>345</v>
      </c>
      <c r="I271" t="str">
        <f>IFERROR(VLOOKUP(EXPENSETBL4583[[#This Row],[OPERATION]],OPERATIONCOST,2,FALSE)," ")</f>
        <v>ACRE</v>
      </c>
      <c r="J271" s="1">
        <f>IFERROR(VLOOKUP(EXPENSETBL4583[[#This Row],[OPERATION]],OPERATIONCOST,3,FALSE)," ")</f>
        <v>-71.790000000000006</v>
      </c>
      <c r="K271">
        <f>IF(EXPENSETBL4583[[#This Row],[UOM]]="acre",EXPENSETBL4583[[#This Row],[ACRES]]," ")</f>
        <v>156.78</v>
      </c>
      <c r="L271" s="17">
        <f t="shared" si="20"/>
        <v>0.65</v>
      </c>
      <c r="M271" s="17">
        <f t="shared" si="21"/>
        <v>0.35</v>
      </c>
      <c r="N271" s="1">
        <f>IFERROR((EXPENSETBL4583[[#This Row],[MCC.ENT]]*EXPENSETBL4583[[#This Row],[TOTAL]])," ")</f>
        <v>-7315.9035300000014</v>
      </c>
      <c r="O271" s="1">
        <f>IFERROR((EXPENSETBL4583[[#This Row],[L.L.]]*EXPENSETBL4583[[#This Row],[TOTAL]])," ")</f>
        <v>-3939.3326700000002</v>
      </c>
      <c r="P271" s="1">
        <f>IFERROR((EXPENSETBL4583[[#This Row],[QTY]]*EXPENSETBL4583[[#This Row],[$/UOM]])," ")</f>
        <v>-11255.236200000001</v>
      </c>
      <c r="Q271" s="1" t="s">
        <v>295</v>
      </c>
      <c r="R271">
        <v>2022</v>
      </c>
    </row>
    <row r="272" spans="2:18" hidden="1" x14ac:dyDescent="0.25">
      <c r="B272" t="s">
        <v>74</v>
      </c>
      <c r="C272" t="s">
        <v>32</v>
      </c>
      <c r="D272" t="s">
        <v>231</v>
      </c>
      <c r="E272">
        <f>VLOOKUP(EXPENSETBL4583[[#This Row],[FIELD]],FFTBL[[Field]:[Acres]],2,FALSE)</f>
        <v>156.78</v>
      </c>
      <c r="F272" t="s">
        <v>323</v>
      </c>
      <c r="G272" t="s">
        <v>297</v>
      </c>
      <c r="H272" t="s">
        <v>404</v>
      </c>
      <c r="I272" t="str">
        <f>IFERROR(VLOOKUP(EXPENSETBL4583[[#This Row],[OPERATION]],OPERATIONCOST,2,FALSE)," ")</f>
        <v>ACRE</v>
      </c>
      <c r="J272" s="1">
        <f>IFERROR(VLOOKUP(EXPENSETBL4583[[#This Row],[OPERATION]],OPERATIONCOST,3,FALSE)," ")</f>
        <v>-45</v>
      </c>
      <c r="K272">
        <f>IF(EXPENSETBL4583[[#This Row],[UOM]]="acre",EXPENSETBL4583[[#This Row],[ACRES]]," ")</f>
        <v>156.78</v>
      </c>
      <c r="L272" s="17">
        <f t="shared" si="20"/>
        <v>1</v>
      </c>
      <c r="M272" s="17">
        <f t="shared" si="21"/>
        <v>0</v>
      </c>
      <c r="N272" s="1">
        <f>IFERROR((EXPENSETBL4583[[#This Row],[MCC.ENT]]*EXPENSETBL4583[[#This Row],[TOTAL]])," ")</f>
        <v>-7055.1</v>
      </c>
      <c r="O272" s="1">
        <f>IFERROR((EXPENSETBL4583[[#This Row],[L.L.]]*EXPENSETBL4583[[#This Row],[TOTAL]])," ")</f>
        <v>0</v>
      </c>
      <c r="P272" s="1">
        <f>IFERROR((EXPENSETBL4583[[#This Row],[QTY]]*EXPENSETBL4583[[#This Row],[$/UOM]])," ")</f>
        <v>-7055.1</v>
      </c>
      <c r="Q272" s="1" t="s">
        <v>295</v>
      </c>
      <c r="R272">
        <v>2022</v>
      </c>
    </row>
    <row r="273" spans="2:18" hidden="1" x14ac:dyDescent="0.25">
      <c r="B273" t="s">
        <v>74</v>
      </c>
      <c r="C273" t="s">
        <v>32</v>
      </c>
      <c r="D273" t="s">
        <v>231</v>
      </c>
      <c r="E273">
        <f>VLOOKUP(EXPENSETBL4583[[#This Row],[FIELD]],FFTBL[[Field]:[Acres]],2,FALSE)</f>
        <v>156.78</v>
      </c>
      <c r="F273" t="s">
        <v>323</v>
      </c>
      <c r="G273" t="s">
        <v>297</v>
      </c>
      <c r="H273" t="s">
        <v>411</v>
      </c>
      <c r="I273" t="str">
        <f>IFERROR(VLOOKUP(EXPENSETBL4583[[#This Row],[OPERATION]],OPERATIONCOST,2,FALSE)," ")</f>
        <v>/QTY</v>
      </c>
      <c r="J273" s="1">
        <f>IFERROR(VLOOKUP(EXPENSETBL4583[[#This Row],[OPERATION]],OPERATIONCOST,3,FALSE)," ")</f>
        <v>-0.26</v>
      </c>
      <c r="K273">
        <v>5276.11</v>
      </c>
      <c r="L273" s="17">
        <f t="shared" si="20"/>
        <v>1</v>
      </c>
      <c r="M273" s="17">
        <f t="shared" si="21"/>
        <v>0</v>
      </c>
      <c r="N273" s="1">
        <f>IFERROR((EXPENSETBL4583[[#This Row],[MCC.ENT]]*EXPENSETBL4583[[#This Row],[TOTAL]])," ")</f>
        <v>-1371.7885999999999</v>
      </c>
      <c r="O273" s="1">
        <f>IFERROR((EXPENSETBL4583[[#This Row],[L.L.]]*EXPENSETBL4583[[#This Row],[TOTAL]])," ")</f>
        <v>0</v>
      </c>
      <c r="P273" s="1">
        <f>IFERROR((EXPENSETBL4583[[#This Row],[QTY]]*EXPENSETBL4583[[#This Row],[$/UOM]])," ")</f>
        <v>-1371.7885999999999</v>
      </c>
      <c r="Q273" s="1" t="s">
        <v>295</v>
      </c>
      <c r="R273">
        <v>2022</v>
      </c>
    </row>
    <row r="274" spans="2:18" hidden="1" x14ac:dyDescent="0.25">
      <c r="B274" t="s">
        <v>74</v>
      </c>
      <c r="C274" t="s">
        <v>35</v>
      </c>
      <c r="D274" t="s">
        <v>37</v>
      </c>
      <c r="E274">
        <f>VLOOKUP(EXPENSETBL4583[[#This Row],[FIELD]],FFTBL[[Field]:[Acres]],2,FALSE)</f>
        <v>157.69999999999999</v>
      </c>
      <c r="F274" t="s">
        <v>323</v>
      </c>
      <c r="G274" t="s">
        <v>297</v>
      </c>
      <c r="H274" t="s">
        <v>408</v>
      </c>
      <c r="I274" t="str">
        <f>IFERROR(VLOOKUP(EXPENSETBL4583[[#This Row],[OPERATION]],OPERATIONCOST,2,FALSE)," ")</f>
        <v>ACRE</v>
      </c>
      <c r="J274" s="1">
        <f>IFERROR(VLOOKUP(EXPENSETBL4583[[#This Row],[OPERATION]],OPERATIONCOST,3,FALSE)," ")</f>
        <v>-5</v>
      </c>
      <c r="K274">
        <f>IF(EXPENSETBL4583[[#This Row],[UOM]]="acre",EXPENSETBL4583[[#This Row],[ACRES]]," ")</f>
        <v>157.69999999999999</v>
      </c>
      <c r="L274" s="17">
        <f t="shared" si="20"/>
        <v>1</v>
      </c>
      <c r="M274" s="17">
        <f t="shared" si="21"/>
        <v>0</v>
      </c>
      <c r="N274" s="1">
        <f>IFERROR((EXPENSETBL4583[[#This Row],[MCC.ENT]]*EXPENSETBL4583[[#This Row],[TOTAL]])," ")</f>
        <v>-788.5</v>
      </c>
      <c r="O274" s="1">
        <f>IFERROR((EXPENSETBL4583[[#This Row],[L.L.]]*EXPENSETBL4583[[#This Row],[TOTAL]])," ")</f>
        <v>0</v>
      </c>
      <c r="P274" s="1">
        <f>IFERROR((EXPENSETBL4583[[#This Row],[QTY]]*EXPENSETBL4583[[#This Row],[$/UOM]])," ")</f>
        <v>-788.5</v>
      </c>
      <c r="Q274" s="1" t="s">
        <v>295</v>
      </c>
      <c r="R274">
        <v>2022</v>
      </c>
    </row>
    <row r="275" spans="2:18" hidden="1" x14ac:dyDescent="0.25">
      <c r="B275" t="s">
        <v>74</v>
      </c>
      <c r="C275" t="s">
        <v>35</v>
      </c>
      <c r="D275" t="s">
        <v>37</v>
      </c>
      <c r="E275">
        <f>VLOOKUP(EXPENSETBL4583[[#This Row],[FIELD]],FFTBL[[Field]:[Acres]],2,FALSE)</f>
        <v>157.69999999999999</v>
      </c>
      <c r="F275" t="s">
        <v>319</v>
      </c>
      <c r="G275" t="s">
        <v>297</v>
      </c>
      <c r="H275" t="s">
        <v>343</v>
      </c>
      <c r="I275" t="str">
        <f>IFERROR(VLOOKUP(EXPENSETBL4583[[#This Row],[OPERATION]],OPERATIONCOST,2,FALSE)," ")</f>
        <v>ACRE</v>
      </c>
      <c r="J275" s="1">
        <f>IFERROR(VLOOKUP(EXPENSETBL4583[[#This Row],[OPERATION]],OPERATIONCOST,3,FALSE)," ")</f>
        <v>-3</v>
      </c>
      <c r="K275">
        <f>IF(EXPENSETBL4583[[#This Row],[UOM]]="acre",EXPENSETBL4583[[#This Row],[ACRES]]," ")</f>
        <v>157.69999999999999</v>
      </c>
      <c r="L275" s="17">
        <f t="shared" si="20"/>
        <v>1</v>
      </c>
      <c r="M275" s="17">
        <f t="shared" si="21"/>
        <v>0</v>
      </c>
      <c r="N275" s="1">
        <f>IFERROR((EXPENSETBL4583[[#This Row],[MCC.ENT]]*EXPENSETBL4583[[#This Row],[TOTAL]])," ")</f>
        <v>-473.09999999999997</v>
      </c>
      <c r="O275" s="1">
        <f>IFERROR((EXPENSETBL4583[[#This Row],[L.L.]]*EXPENSETBL4583[[#This Row],[TOTAL]])," ")</f>
        <v>0</v>
      </c>
      <c r="P275" s="1">
        <f>IFERROR((EXPENSETBL4583[[#This Row],[QTY]]*EXPENSETBL4583[[#This Row],[$/UOM]])," ")</f>
        <v>-473.09999999999997</v>
      </c>
      <c r="Q275" s="1" t="s">
        <v>295</v>
      </c>
      <c r="R275">
        <v>2022</v>
      </c>
    </row>
    <row r="276" spans="2:18" hidden="1" x14ac:dyDescent="0.25">
      <c r="B276" t="s">
        <v>74</v>
      </c>
      <c r="C276" t="s">
        <v>35</v>
      </c>
      <c r="D276" t="s">
        <v>37</v>
      </c>
      <c r="E276">
        <f>VLOOKUP(EXPENSETBL4583[[#This Row],[FIELD]],FFTBL[[Field]:[Acres]],2,FALSE)</f>
        <v>157.69999999999999</v>
      </c>
      <c r="F276" t="s">
        <v>323</v>
      </c>
      <c r="G276" t="s">
        <v>297</v>
      </c>
      <c r="H276" t="s">
        <v>404</v>
      </c>
      <c r="I276" t="str">
        <f>IFERROR(VLOOKUP(EXPENSETBL4583[[#This Row],[OPERATION]],OPERATIONCOST,2,FALSE)," ")</f>
        <v>ACRE</v>
      </c>
      <c r="J276" s="1">
        <f>IFERROR(VLOOKUP(EXPENSETBL4583[[#This Row],[OPERATION]],OPERATIONCOST,3,FALSE)," ")</f>
        <v>-45</v>
      </c>
      <c r="K276">
        <f>IF(EXPENSETBL4583[[#This Row],[UOM]]="acre",EXPENSETBL4583[[#This Row],[ACRES]]," ")</f>
        <v>157.69999999999999</v>
      </c>
      <c r="L276" s="17">
        <f t="shared" si="20"/>
        <v>1</v>
      </c>
      <c r="M276" s="17">
        <f t="shared" si="21"/>
        <v>0</v>
      </c>
      <c r="N276" s="1">
        <f>IFERROR((EXPENSETBL4583[[#This Row],[MCC.ENT]]*EXPENSETBL4583[[#This Row],[TOTAL]])," ")</f>
        <v>-7096.4999999999991</v>
      </c>
      <c r="O276" s="1">
        <f>IFERROR((EXPENSETBL4583[[#This Row],[L.L.]]*EXPENSETBL4583[[#This Row],[TOTAL]])," ")</f>
        <v>0</v>
      </c>
      <c r="P276" s="1">
        <f>IFERROR((EXPENSETBL4583[[#This Row],[QTY]]*EXPENSETBL4583[[#This Row],[$/UOM]])," ")</f>
        <v>-7096.4999999999991</v>
      </c>
      <c r="Q276" s="1" t="s">
        <v>295</v>
      </c>
      <c r="R276">
        <v>2022</v>
      </c>
    </row>
    <row r="277" spans="2:18" hidden="1" x14ac:dyDescent="0.25">
      <c r="B277" t="s">
        <v>74</v>
      </c>
      <c r="C277" t="s">
        <v>35</v>
      </c>
      <c r="D277" t="s">
        <v>37</v>
      </c>
      <c r="E277">
        <f>VLOOKUP(EXPENSETBL4583[[#This Row],[FIELD]],FFTBL[[Field]:[Acres]],2,FALSE)</f>
        <v>157.69999999999999</v>
      </c>
      <c r="F277" t="s">
        <v>323</v>
      </c>
      <c r="G277" t="s">
        <v>297</v>
      </c>
      <c r="H277" t="s">
        <v>408</v>
      </c>
      <c r="I277" t="str">
        <f>IFERROR(VLOOKUP(EXPENSETBL4583[[#This Row],[OPERATION]],OPERATIONCOST,2,FALSE)," ")</f>
        <v>ACRE</v>
      </c>
      <c r="J277" s="1">
        <f>IFERROR(VLOOKUP(EXPENSETBL4583[[#This Row],[OPERATION]],OPERATIONCOST,3,FALSE)," ")</f>
        <v>-5</v>
      </c>
      <c r="K277">
        <f>IF(EXPENSETBL4583[[#This Row],[UOM]]="acre",EXPENSETBL4583[[#This Row],[ACRES]]," ")</f>
        <v>157.69999999999999</v>
      </c>
      <c r="L277" s="17">
        <f t="shared" si="20"/>
        <v>1</v>
      </c>
      <c r="M277" s="17">
        <f t="shared" si="21"/>
        <v>0</v>
      </c>
      <c r="N277" s="1">
        <f>IFERROR((EXPENSETBL4583[[#This Row],[MCC.ENT]]*EXPENSETBL4583[[#This Row],[TOTAL]])," ")</f>
        <v>-788.5</v>
      </c>
      <c r="O277" s="1">
        <f>IFERROR((EXPENSETBL4583[[#This Row],[L.L.]]*EXPENSETBL4583[[#This Row],[TOTAL]])," ")</f>
        <v>0</v>
      </c>
      <c r="P277" s="1">
        <f>IFERROR((EXPENSETBL4583[[#This Row],[QTY]]*EXPENSETBL4583[[#This Row],[$/UOM]])," ")</f>
        <v>-788.5</v>
      </c>
      <c r="Q277" s="1" t="s">
        <v>295</v>
      </c>
      <c r="R277">
        <v>2022</v>
      </c>
    </row>
    <row r="278" spans="2:18" hidden="1" x14ac:dyDescent="0.25">
      <c r="B278" t="s">
        <v>74</v>
      </c>
      <c r="C278" t="s">
        <v>35</v>
      </c>
      <c r="D278" t="s">
        <v>37</v>
      </c>
      <c r="E278">
        <f>VLOOKUP(EXPENSETBL4583[[#This Row],[FIELD]],FFTBL[[Field]:[Acres]],2,FALSE)</f>
        <v>157.69999999999999</v>
      </c>
      <c r="F278" t="s">
        <v>319</v>
      </c>
      <c r="G278" t="s">
        <v>297</v>
      </c>
      <c r="H278" t="s">
        <v>345</v>
      </c>
      <c r="I278" t="str">
        <f>IFERROR(VLOOKUP(EXPENSETBL4583[[#This Row],[OPERATION]],OPERATIONCOST,2,FALSE)," ")</f>
        <v>ACRE</v>
      </c>
      <c r="J278" s="1">
        <f>IFERROR(VLOOKUP(EXPENSETBL4583[[#This Row],[OPERATION]],OPERATIONCOST,3,FALSE)," ")</f>
        <v>-71.790000000000006</v>
      </c>
      <c r="K278">
        <f>IF(EXPENSETBL4583[[#This Row],[UOM]]="acre",EXPENSETBL4583[[#This Row],[ACRES]]," ")</f>
        <v>157.69999999999999</v>
      </c>
      <c r="L278" s="17">
        <f t="shared" si="20"/>
        <v>1</v>
      </c>
      <c r="M278" s="17">
        <f t="shared" si="21"/>
        <v>0</v>
      </c>
      <c r="N278" s="1">
        <f>IFERROR((EXPENSETBL4583[[#This Row],[MCC.ENT]]*EXPENSETBL4583[[#This Row],[TOTAL]])," ")</f>
        <v>-11321.282999999999</v>
      </c>
      <c r="O278" s="1">
        <f>IFERROR((EXPENSETBL4583[[#This Row],[L.L.]]*EXPENSETBL4583[[#This Row],[TOTAL]])," ")</f>
        <v>0</v>
      </c>
      <c r="P278" s="1">
        <f>IFERROR((EXPENSETBL4583[[#This Row],[QTY]]*EXPENSETBL4583[[#This Row],[$/UOM]])," ")</f>
        <v>-11321.282999999999</v>
      </c>
      <c r="Q278" s="1" t="s">
        <v>295</v>
      </c>
      <c r="R278">
        <v>2022</v>
      </c>
    </row>
    <row r="279" spans="2:18" hidden="1" x14ac:dyDescent="0.25">
      <c r="B279" t="s">
        <v>74</v>
      </c>
      <c r="C279" t="s">
        <v>35</v>
      </c>
      <c r="D279" t="s">
        <v>37</v>
      </c>
      <c r="E279">
        <f>VLOOKUP(EXPENSETBL4583[[#This Row],[FIELD]],FFTBL[[Field]:[Acres]],2,FALSE)</f>
        <v>157.69999999999999</v>
      </c>
      <c r="F279" t="s">
        <v>323</v>
      </c>
      <c r="G279" t="s">
        <v>297</v>
      </c>
      <c r="H279" t="s">
        <v>411</v>
      </c>
      <c r="I279" t="str">
        <f>IFERROR(VLOOKUP(EXPENSETBL4583[[#This Row],[OPERATION]],OPERATIONCOST,2,FALSE)," ")</f>
        <v>/QTY</v>
      </c>
      <c r="J279" s="1">
        <f>IFERROR(VLOOKUP(EXPENSETBL4583[[#This Row],[OPERATION]],OPERATIONCOST,3,FALSE)," ")</f>
        <v>-0.26</v>
      </c>
      <c r="K279">
        <v>1298.56</v>
      </c>
      <c r="L279" s="17">
        <f t="shared" si="20"/>
        <v>1</v>
      </c>
      <c r="M279" s="17">
        <f t="shared" si="21"/>
        <v>0</v>
      </c>
      <c r="N279" s="1">
        <f>IFERROR((EXPENSETBL4583[[#This Row],[MCC.ENT]]*EXPENSETBL4583[[#This Row],[TOTAL]])," ")</f>
        <v>-337.62560000000002</v>
      </c>
      <c r="O279" s="1">
        <f>IFERROR((EXPENSETBL4583[[#This Row],[L.L.]]*EXPENSETBL4583[[#This Row],[TOTAL]])," ")</f>
        <v>0</v>
      </c>
      <c r="P279" s="1">
        <f>IFERROR((EXPENSETBL4583[[#This Row],[QTY]]*EXPENSETBL4583[[#This Row],[$/UOM]])," ")</f>
        <v>-337.62560000000002</v>
      </c>
      <c r="Q279" s="1" t="s">
        <v>295</v>
      </c>
      <c r="R279">
        <v>2022</v>
      </c>
    </row>
    <row r="280" spans="2:18" hidden="1" x14ac:dyDescent="0.25">
      <c r="B280" t="s">
        <v>74</v>
      </c>
      <c r="C280" t="s">
        <v>35</v>
      </c>
      <c r="D280" t="s">
        <v>37</v>
      </c>
      <c r="E280">
        <f>VLOOKUP(EXPENSETBL4583[[#This Row],[FIELD]],FFTBL[[Field]:[Acres]],2,FALSE)</f>
        <v>157.69999999999999</v>
      </c>
      <c r="F280" t="s">
        <v>319</v>
      </c>
      <c r="G280" t="s">
        <v>297</v>
      </c>
      <c r="H280" t="s">
        <v>355</v>
      </c>
      <c r="I280" t="str">
        <f>IFERROR(VLOOKUP(EXPENSETBL4583[[#This Row],[OPERATION]],OPERATIONCOST,2,FALSE)," ")</f>
        <v>QTY</v>
      </c>
      <c r="J280" s="1">
        <f>IFERROR(VLOOKUP(EXPENSETBL4583[[#This Row],[OPERATION]],OPERATIONCOST,3,FALSE)," ")</f>
        <v>-0.27</v>
      </c>
      <c r="K280">
        <v>10335</v>
      </c>
      <c r="L280" s="17">
        <f t="shared" si="20"/>
        <v>1</v>
      </c>
      <c r="M280" s="17">
        <f t="shared" si="21"/>
        <v>0</v>
      </c>
      <c r="N280" s="1">
        <f>IFERROR((EXPENSETBL4583[[#This Row],[MCC.ENT]]*EXPENSETBL4583[[#This Row],[TOTAL]])," ")</f>
        <v>-2790.4500000000003</v>
      </c>
      <c r="O280" s="1">
        <f>IFERROR((EXPENSETBL4583[[#This Row],[L.L.]]*EXPENSETBL4583[[#This Row],[TOTAL]])," ")</f>
        <v>0</v>
      </c>
      <c r="P280" s="1">
        <f>IFERROR((EXPENSETBL4583[[#This Row],[QTY]]*EXPENSETBL4583[[#This Row],[$/UOM]])," ")</f>
        <v>-2790.4500000000003</v>
      </c>
      <c r="Q280" s="1" t="s">
        <v>295</v>
      </c>
      <c r="R280">
        <v>2022</v>
      </c>
    </row>
    <row r="281" spans="2:18" hidden="1" x14ac:dyDescent="0.25">
      <c r="B281" t="s">
        <v>74</v>
      </c>
      <c r="C281" t="s">
        <v>35</v>
      </c>
      <c r="D281" t="s">
        <v>37</v>
      </c>
      <c r="E281">
        <f>VLOOKUP(EXPENSETBL4583[[#This Row],[FIELD]],FFTBL[[Field]:[Acres]],2,FALSE)</f>
        <v>157.69999999999999</v>
      </c>
      <c r="F281" t="s">
        <v>328</v>
      </c>
      <c r="G281" t="s">
        <v>297</v>
      </c>
      <c r="H281" t="s">
        <v>362</v>
      </c>
      <c r="I281" t="str">
        <f>IFERROR(VLOOKUP(EXPENSETBL4583[[#This Row],[OPERATION]],OPERATIONCOST,2,FALSE)," ")</f>
        <v>ACRE</v>
      </c>
      <c r="J281" s="1">
        <f>IFERROR(VLOOKUP(EXPENSETBL4583[[#This Row],[OPERATION]],OPERATIONCOST,3,FALSE)," ")</f>
        <v>-50</v>
      </c>
      <c r="K281">
        <f>IF(EXPENSETBL4583[[#This Row],[UOM]]="acre",EXPENSETBL4583[[#This Row],[ACRES]]," ")</f>
        <v>157.69999999999999</v>
      </c>
      <c r="L281" s="17">
        <f t="shared" si="20"/>
        <v>1</v>
      </c>
      <c r="M281" s="17">
        <f t="shared" si="21"/>
        <v>0</v>
      </c>
      <c r="N281" s="1">
        <f>IFERROR((EXPENSETBL4583[[#This Row],[MCC.ENT]]*EXPENSETBL4583[[#This Row],[TOTAL]])," ")</f>
        <v>-7884.9999999999991</v>
      </c>
      <c r="O281" s="1">
        <f>IFERROR((EXPENSETBL4583[[#This Row],[L.L.]]*EXPENSETBL4583[[#This Row],[TOTAL]])," ")</f>
        <v>0</v>
      </c>
      <c r="P281" s="1">
        <f>IFERROR((EXPENSETBL4583[[#This Row],[QTY]]*EXPENSETBL4583[[#This Row],[$/UOM]])," ")</f>
        <v>-7884.9999999999991</v>
      </c>
      <c r="Q281" s="1" t="s">
        <v>295</v>
      </c>
      <c r="R281">
        <v>2022</v>
      </c>
    </row>
    <row r="282" spans="2:18" hidden="1" x14ac:dyDescent="0.25">
      <c r="B282" t="s">
        <v>74</v>
      </c>
      <c r="C282" t="s">
        <v>75</v>
      </c>
      <c r="D282" t="s">
        <v>831</v>
      </c>
      <c r="E282" t="e">
        <f>VLOOKUP(EXPENSETBL4583[[#This Row],[FIELD]],FFTBL[[Field]:[Acres]],2,FALSE)</f>
        <v>#N/A</v>
      </c>
      <c r="F282" t="s">
        <v>323</v>
      </c>
      <c r="G282" t="s">
        <v>297</v>
      </c>
      <c r="H282" t="s">
        <v>408</v>
      </c>
      <c r="I282" t="str">
        <f>IFERROR(VLOOKUP(EXPENSETBL4583[[#This Row],[OPERATION]],OPERATIONCOST,2,FALSE)," ")</f>
        <v>ACRE</v>
      </c>
      <c r="J282" s="1">
        <f>IFERROR(VLOOKUP(EXPENSETBL4583[[#This Row],[OPERATION]],OPERATIONCOST,3,FALSE)," ")</f>
        <v>-5</v>
      </c>
      <c r="K282" t="e">
        <f>IF(EXPENSETBL4583[[#This Row],[UOM]]="acre",EXPENSETBL4583[[#This Row],[ACRES]]," ")</f>
        <v>#N/A</v>
      </c>
      <c r="L282" s="17">
        <f t="shared" si="20"/>
        <v>1</v>
      </c>
      <c r="M282" s="17">
        <f t="shared" si="21"/>
        <v>0</v>
      </c>
      <c r="N282" s="1" t="str">
        <f>IFERROR((EXPENSETBL4583[[#This Row],[MCC.ENT]]*EXPENSETBL4583[[#This Row],[TOTAL]])," ")</f>
        <v xml:space="preserve"> </v>
      </c>
      <c r="O282" s="1" t="str">
        <f>IFERROR((EXPENSETBL4583[[#This Row],[L.L.]]*EXPENSETBL4583[[#This Row],[TOTAL]])," ")</f>
        <v xml:space="preserve"> </v>
      </c>
      <c r="P282" s="1" t="str">
        <f>IFERROR((EXPENSETBL4583[[#This Row],[QTY]]*EXPENSETBL4583[[#This Row],[$/UOM]])," ")</f>
        <v xml:space="preserve"> </v>
      </c>
      <c r="Q282" s="1" t="s">
        <v>295</v>
      </c>
      <c r="R282">
        <v>2022</v>
      </c>
    </row>
    <row r="283" spans="2:18" hidden="1" x14ac:dyDescent="0.25">
      <c r="B283" t="s">
        <v>74</v>
      </c>
      <c r="C283" t="s">
        <v>21</v>
      </c>
      <c r="D283" t="s">
        <v>150</v>
      </c>
      <c r="E283">
        <f>VLOOKUP(EXPENSETBL4583[[#This Row],[FIELD]],FFTBL[[Field]:[Acres]],2,FALSE)</f>
        <v>149.76</v>
      </c>
      <c r="F283" t="s">
        <v>323</v>
      </c>
      <c r="G283" t="s">
        <v>297</v>
      </c>
      <c r="H283" t="s">
        <v>408</v>
      </c>
      <c r="I283" t="str">
        <f>IFERROR(VLOOKUP(EXPENSETBL4583[[#This Row],[OPERATION]],OPERATIONCOST,2,FALSE)," ")</f>
        <v>ACRE</v>
      </c>
      <c r="J283" s="1">
        <f>IFERROR(VLOOKUP(EXPENSETBL4583[[#This Row],[OPERATION]],OPERATIONCOST,3,FALSE)," ")</f>
        <v>-5</v>
      </c>
      <c r="K283">
        <f>IF(EXPENSETBL4583[[#This Row],[UOM]]="acre",EXPENSETBL4583[[#This Row],[ACRES]]," ")</f>
        <v>149.76</v>
      </c>
      <c r="L283" s="17">
        <f t="shared" si="20"/>
        <v>1</v>
      </c>
      <c r="M283" s="17">
        <f t="shared" si="21"/>
        <v>0</v>
      </c>
      <c r="N283" s="1">
        <f>IFERROR((EXPENSETBL4583[[#This Row],[MCC.ENT]]*EXPENSETBL4583[[#This Row],[TOTAL]])," ")</f>
        <v>-748.8</v>
      </c>
      <c r="O283" s="1">
        <f>IFERROR((EXPENSETBL4583[[#This Row],[L.L.]]*EXPENSETBL4583[[#This Row],[TOTAL]])," ")</f>
        <v>0</v>
      </c>
      <c r="P283" s="1">
        <f>IFERROR((EXPENSETBL4583[[#This Row],[QTY]]*EXPENSETBL4583[[#This Row],[$/UOM]])," ")</f>
        <v>-748.8</v>
      </c>
      <c r="Q283" s="1" t="s">
        <v>295</v>
      </c>
      <c r="R283">
        <v>2022</v>
      </c>
    </row>
    <row r="284" spans="2:18" hidden="1" x14ac:dyDescent="0.25">
      <c r="B284" t="s">
        <v>74</v>
      </c>
      <c r="C284" t="s">
        <v>21</v>
      </c>
      <c r="D284" t="s">
        <v>24</v>
      </c>
      <c r="E284">
        <f>VLOOKUP(EXPENSETBL4583[[#This Row],[FIELD]],FFTBL[[Field]:[Acres]],2,FALSE)</f>
        <v>153</v>
      </c>
      <c r="F284" t="s">
        <v>323</v>
      </c>
      <c r="G284" t="s">
        <v>297</v>
      </c>
      <c r="H284" t="s">
        <v>408</v>
      </c>
      <c r="I284" t="str">
        <f>IFERROR(VLOOKUP(EXPENSETBL4583[[#This Row],[OPERATION]],OPERATIONCOST,2,FALSE)," ")</f>
        <v>ACRE</v>
      </c>
      <c r="J284" s="1">
        <f>IFERROR(VLOOKUP(EXPENSETBL4583[[#This Row],[OPERATION]],OPERATIONCOST,3,FALSE)," ")</f>
        <v>-5</v>
      </c>
      <c r="K284">
        <f>IF(EXPENSETBL4583[[#This Row],[UOM]]="acre",EXPENSETBL4583[[#This Row],[ACRES]]," ")</f>
        <v>153</v>
      </c>
      <c r="L284" s="17">
        <f t="shared" si="20"/>
        <v>1</v>
      </c>
      <c r="M284" s="17">
        <f t="shared" si="21"/>
        <v>0</v>
      </c>
      <c r="N284" s="1">
        <f>IFERROR((EXPENSETBL4583[[#This Row],[MCC.ENT]]*EXPENSETBL4583[[#This Row],[TOTAL]])," ")</f>
        <v>-765</v>
      </c>
      <c r="O284" s="1">
        <f>IFERROR((EXPENSETBL4583[[#This Row],[L.L.]]*EXPENSETBL4583[[#This Row],[TOTAL]])," ")</f>
        <v>0</v>
      </c>
      <c r="P284" s="1">
        <f>IFERROR((EXPENSETBL4583[[#This Row],[QTY]]*EXPENSETBL4583[[#This Row],[$/UOM]])," ")</f>
        <v>-765</v>
      </c>
      <c r="Q284" s="1" t="s">
        <v>295</v>
      </c>
      <c r="R284">
        <v>2022</v>
      </c>
    </row>
    <row r="285" spans="2:18" hidden="1" x14ac:dyDescent="0.25">
      <c r="E285" t="e">
        <f>VLOOKUP(EXPENSETBL4583[[#This Row],[FIELD]],FFTBL[[Field]:[Acres]],2,FALSE)</f>
        <v>#N/A</v>
      </c>
      <c r="I285" t="str">
        <f>IFERROR(VLOOKUP(EXPENSETBL4583[[#This Row],[OPERATION]],OPERATIONCOST,2,FALSE)," ")</f>
        <v xml:space="preserve"> </v>
      </c>
      <c r="J285" s="1" t="str">
        <f>IFERROR(VLOOKUP(EXPENSETBL4583[[#This Row],[OPERATION]],OPERATIONCOST,3,FALSE)," ")</f>
        <v xml:space="preserve"> </v>
      </c>
      <c r="K285" t="str">
        <f>IF(EXPENSETBL4583[[#This Row],[UOM]]="acre",EXPENSETBL4583[[#This Row],[ACRES]]," ")</f>
        <v xml:space="preserve"> </v>
      </c>
      <c r="L285" s="17">
        <f t="shared" si="20"/>
        <v>1</v>
      </c>
      <c r="M285" s="17">
        <f t="shared" si="21"/>
        <v>0</v>
      </c>
      <c r="N285" s="1" t="str">
        <f>IFERROR((EXPENSETBL4583[[#This Row],[MCC.ENT]]*EXPENSETBL4583[[#This Row],[TOTAL]])," ")</f>
        <v xml:space="preserve"> </v>
      </c>
      <c r="O285" s="1" t="str">
        <f>IFERROR((EXPENSETBL4583[[#This Row],[L.L.]]*EXPENSETBL4583[[#This Row],[TOTAL]])," ")</f>
        <v xml:space="preserve"> </v>
      </c>
      <c r="P285" s="1" t="str">
        <f>IFERROR((EXPENSETBL4583[[#This Row],[QTY]]*EXPENSETBL4583[[#This Row],[$/UOM]])," ")</f>
        <v xml:space="preserve"> </v>
      </c>
      <c r="Q285" s="1"/>
      <c r="R285">
        <v>2022</v>
      </c>
    </row>
    <row r="286" spans="2:18" hidden="1" x14ac:dyDescent="0.25">
      <c r="E286" t="e">
        <f>VLOOKUP(EXPENSETBL4583[[#This Row],[FIELD]],FFTBL[[Field]:[Acres]],2,FALSE)</f>
        <v>#N/A</v>
      </c>
      <c r="I286" t="str">
        <f>IFERROR(VLOOKUP(EXPENSETBL4583[[#This Row],[OPERATION]],OPERATIONCOST,2,FALSE)," ")</f>
        <v xml:space="preserve"> </v>
      </c>
      <c r="J286" s="1" t="str">
        <f>IFERROR(VLOOKUP(EXPENSETBL4583[[#This Row],[OPERATION]],OPERATIONCOST,3,FALSE)," ")</f>
        <v xml:space="preserve"> </v>
      </c>
      <c r="K286" t="str">
        <f>IF(EXPENSETBL4583[[#This Row],[UOM]]="acre",EXPENSETBL4583[[#This Row],[ACRES]]," ")</f>
        <v xml:space="preserve"> </v>
      </c>
      <c r="L286" s="17">
        <f t="shared" si="20"/>
        <v>1</v>
      </c>
      <c r="M286" s="17">
        <f t="shared" si="21"/>
        <v>0</v>
      </c>
      <c r="N286" s="1" t="str">
        <f>IFERROR((EXPENSETBL4583[[#This Row],[MCC.ENT]]*EXPENSETBL4583[[#This Row],[TOTAL]])," ")</f>
        <v xml:space="preserve"> </v>
      </c>
      <c r="O286" s="1" t="str">
        <f>IFERROR((EXPENSETBL4583[[#This Row],[L.L.]]*EXPENSETBL4583[[#This Row],[TOTAL]])," ")</f>
        <v xml:space="preserve"> </v>
      </c>
      <c r="P286" s="1" t="str">
        <f>IFERROR((EXPENSETBL4583[[#This Row],[QTY]]*EXPENSETBL4583[[#This Row],[$/UOM]])," ")</f>
        <v xml:space="preserve"> </v>
      </c>
      <c r="Q286" s="1"/>
      <c r="R286">
        <v>2022</v>
      </c>
    </row>
    <row r="287" spans="2:18" hidden="1" x14ac:dyDescent="0.25">
      <c r="E287" t="e">
        <f>VLOOKUP(EXPENSETBL4583[[#This Row],[FIELD]],FFTBL[[Field]:[Acres]],2,FALSE)</f>
        <v>#N/A</v>
      </c>
      <c r="I287" t="str">
        <f>IFERROR(VLOOKUP(EXPENSETBL4583[[#This Row],[OPERATION]],OPERATIONCOST,2,FALSE)," ")</f>
        <v xml:space="preserve"> </v>
      </c>
      <c r="J287" s="1" t="str">
        <f>IFERROR(VLOOKUP(EXPENSETBL4583[[#This Row],[OPERATION]],OPERATIONCOST,3,FALSE)," ")</f>
        <v xml:space="preserve"> </v>
      </c>
      <c r="K287" t="str">
        <f>IF(EXPENSETBL4583[[#This Row],[UOM]]="acre",EXPENSETBL4583[[#This Row],[ACRES]]," ")</f>
        <v xml:space="preserve"> </v>
      </c>
      <c r="L287" s="17">
        <f t="shared" si="20"/>
        <v>1</v>
      </c>
      <c r="M287" s="17">
        <f t="shared" si="21"/>
        <v>0</v>
      </c>
      <c r="N287" s="1" t="str">
        <f>IFERROR((EXPENSETBL4583[[#This Row],[MCC.ENT]]*EXPENSETBL4583[[#This Row],[TOTAL]])," ")</f>
        <v xml:space="preserve"> </v>
      </c>
      <c r="O287" s="1" t="str">
        <f>IFERROR((EXPENSETBL4583[[#This Row],[L.L.]]*EXPENSETBL4583[[#This Row],[TOTAL]])," ")</f>
        <v xml:space="preserve"> </v>
      </c>
      <c r="P287" s="1" t="str">
        <f>IFERROR((EXPENSETBL4583[[#This Row],[QTY]]*EXPENSETBL4583[[#This Row],[$/UOM]])," ")</f>
        <v xml:space="preserve"> </v>
      </c>
      <c r="Q287" s="1"/>
      <c r="R287">
        <v>2022</v>
      </c>
    </row>
    <row r="288" spans="2:18" hidden="1" x14ac:dyDescent="0.25">
      <c r="E288" t="e">
        <f>VLOOKUP(EXPENSETBL4583[[#This Row],[FIELD]],FFTBL[[Field]:[Acres]],2,FALSE)</f>
        <v>#N/A</v>
      </c>
      <c r="I288" t="str">
        <f>IFERROR(VLOOKUP(EXPENSETBL4583[[#This Row],[OPERATION]],OPERATIONCOST,2,FALSE)," ")</f>
        <v xml:space="preserve"> </v>
      </c>
      <c r="J288" s="1" t="str">
        <f>IFERROR(VLOOKUP(EXPENSETBL4583[[#This Row],[OPERATION]],OPERATIONCOST,3,FALSE)," ")</f>
        <v xml:space="preserve"> </v>
      </c>
      <c r="K288" t="str">
        <f>IF(EXPENSETBL4583[[#This Row],[UOM]]="acre",EXPENSETBL4583[[#This Row],[ACRES]]," ")</f>
        <v xml:space="preserve"> </v>
      </c>
      <c r="L288" s="17">
        <f t="shared" si="20"/>
        <v>1</v>
      </c>
      <c r="M288" s="17">
        <f t="shared" si="21"/>
        <v>0</v>
      </c>
      <c r="N288" s="1" t="str">
        <f>IFERROR((EXPENSETBL4583[[#This Row],[MCC.ENT]]*EXPENSETBL4583[[#This Row],[TOTAL]])," ")</f>
        <v xml:space="preserve"> </v>
      </c>
      <c r="O288" s="1" t="str">
        <f>IFERROR((EXPENSETBL4583[[#This Row],[L.L.]]*EXPENSETBL4583[[#This Row],[TOTAL]])," ")</f>
        <v xml:space="preserve"> </v>
      </c>
      <c r="P288" s="1" t="str">
        <f>IFERROR((EXPENSETBL4583[[#This Row],[QTY]]*EXPENSETBL4583[[#This Row],[$/UOM]])," ")</f>
        <v xml:space="preserve"> </v>
      </c>
      <c r="Q288" s="1"/>
      <c r="R288">
        <v>2022</v>
      </c>
    </row>
    <row r="289" spans="5:18" hidden="1" x14ac:dyDescent="0.25">
      <c r="E289" t="e">
        <f>VLOOKUP(EXPENSETBL4583[[#This Row],[FIELD]],FFTBL[[Field]:[Acres]],2,FALSE)</f>
        <v>#N/A</v>
      </c>
      <c r="I289" t="str">
        <f>IFERROR(VLOOKUP(EXPENSETBL4583[[#This Row],[OPERATION]],OPERATIONCOST,2,FALSE)," ")</f>
        <v xml:space="preserve"> </v>
      </c>
      <c r="J289" s="1" t="str">
        <f>IFERROR(VLOOKUP(EXPENSETBL4583[[#This Row],[OPERATION]],OPERATIONCOST,3,FALSE)," ")</f>
        <v xml:space="preserve"> </v>
      </c>
      <c r="K289" t="str">
        <f>IF(EXPENSETBL4583[[#This Row],[UOM]]="acre",EXPENSETBL4583[[#This Row],[ACRES]]," ")</f>
        <v xml:space="preserve"> </v>
      </c>
      <c r="L289" s="17">
        <f t="shared" si="20"/>
        <v>1</v>
      </c>
      <c r="M289" s="17">
        <f t="shared" si="21"/>
        <v>0</v>
      </c>
      <c r="N289" s="1" t="str">
        <f>IFERROR((EXPENSETBL4583[[#This Row],[MCC.ENT]]*EXPENSETBL4583[[#This Row],[TOTAL]])," ")</f>
        <v xml:space="preserve"> </v>
      </c>
      <c r="O289" s="1" t="str">
        <f>IFERROR((EXPENSETBL4583[[#This Row],[L.L.]]*EXPENSETBL4583[[#This Row],[TOTAL]])," ")</f>
        <v xml:space="preserve"> </v>
      </c>
      <c r="P289" s="1" t="str">
        <f>IFERROR((EXPENSETBL4583[[#This Row],[QTY]]*EXPENSETBL4583[[#This Row],[$/UOM]])," ")</f>
        <v xml:space="preserve"> </v>
      </c>
      <c r="Q289" s="1"/>
      <c r="R289">
        <v>2022</v>
      </c>
    </row>
    <row r="290" spans="5:18" hidden="1" x14ac:dyDescent="0.25">
      <c r="E290" t="e">
        <f>VLOOKUP(EXPENSETBL4583[[#This Row],[FIELD]],FFTBL[[Field]:[Acres]],2,FALSE)</f>
        <v>#N/A</v>
      </c>
      <c r="I290" t="str">
        <f>IFERROR(VLOOKUP(EXPENSETBL4583[[#This Row],[OPERATION]],OPERATIONCOST,2,FALSE)," ")</f>
        <v xml:space="preserve"> </v>
      </c>
      <c r="J290" s="1" t="str">
        <f>IFERROR(VLOOKUP(EXPENSETBL4583[[#This Row],[OPERATION]],OPERATIONCOST,3,FALSE)," ")</f>
        <v xml:space="preserve"> </v>
      </c>
      <c r="K290" t="str">
        <f>IF(EXPENSETBL4583[[#This Row],[UOM]]="acre",EXPENSETBL4583[[#This Row],[ACRES]]," ")</f>
        <v xml:space="preserve"> </v>
      </c>
      <c r="L290" s="17">
        <f t="shared" si="20"/>
        <v>1</v>
      </c>
      <c r="M290" s="17">
        <f t="shared" si="21"/>
        <v>0</v>
      </c>
      <c r="N290" s="1" t="str">
        <f>IFERROR((EXPENSETBL4583[[#This Row],[MCC.ENT]]*EXPENSETBL4583[[#This Row],[TOTAL]])," ")</f>
        <v xml:space="preserve"> </v>
      </c>
      <c r="O290" s="1" t="str">
        <f>IFERROR((EXPENSETBL4583[[#This Row],[L.L.]]*EXPENSETBL4583[[#This Row],[TOTAL]])," ")</f>
        <v xml:space="preserve"> </v>
      </c>
      <c r="P290" s="1" t="str">
        <f>IFERROR((EXPENSETBL4583[[#This Row],[QTY]]*EXPENSETBL4583[[#This Row],[$/UOM]])," ")</f>
        <v xml:space="preserve"> </v>
      </c>
      <c r="Q290" s="1"/>
      <c r="R290">
        <v>2022</v>
      </c>
    </row>
    <row r="291" spans="5:18" hidden="1" x14ac:dyDescent="0.25">
      <c r="E291" t="e">
        <f>VLOOKUP(EXPENSETBL4583[[#This Row],[FIELD]],FFTBL[[Field]:[Acres]],2,FALSE)</f>
        <v>#N/A</v>
      </c>
      <c r="I291" t="str">
        <f>IFERROR(VLOOKUP(EXPENSETBL4583[[#This Row],[OPERATION]],OPERATIONCOST,2,FALSE)," ")</f>
        <v xml:space="preserve"> </v>
      </c>
      <c r="J291" s="1" t="str">
        <f>IFERROR(VLOOKUP(EXPENSETBL4583[[#This Row],[OPERATION]],OPERATIONCOST,3,FALSE)," ")</f>
        <v xml:space="preserve"> </v>
      </c>
      <c r="K291" t="str">
        <f>IF(EXPENSETBL4583[[#This Row],[UOM]]="acre",EXPENSETBL4583[[#This Row],[ACRES]]," ")</f>
        <v xml:space="preserve"> </v>
      </c>
      <c r="L291" s="17">
        <f t="shared" si="20"/>
        <v>1</v>
      </c>
      <c r="M291" s="17">
        <f t="shared" si="21"/>
        <v>0</v>
      </c>
      <c r="N291" s="1" t="str">
        <f>IFERROR((EXPENSETBL4583[[#This Row],[MCC.ENT]]*EXPENSETBL4583[[#This Row],[TOTAL]])," ")</f>
        <v xml:space="preserve"> </v>
      </c>
      <c r="O291" s="1" t="str">
        <f>IFERROR((EXPENSETBL4583[[#This Row],[L.L.]]*EXPENSETBL4583[[#This Row],[TOTAL]])," ")</f>
        <v xml:space="preserve"> </v>
      </c>
      <c r="P291" s="1" t="str">
        <f>IFERROR((EXPENSETBL4583[[#This Row],[QTY]]*EXPENSETBL4583[[#This Row],[$/UOM]])," ")</f>
        <v xml:space="preserve"> </v>
      </c>
      <c r="Q291" s="1"/>
      <c r="R291">
        <v>2022</v>
      </c>
    </row>
    <row r="292" spans="5:18" hidden="1" x14ac:dyDescent="0.25">
      <c r="E292" t="e">
        <f>VLOOKUP(EXPENSETBL4583[[#This Row],[FIELD]],FFTBL[[Field]:[Acres]],2,FALSE)</f>
        <v>#N/A</v>
      </c>
      <c r="I292" t="str">
        <f>IFERROR(VLOOKUP(EXPENSETBL4583[[#This Row],[OPERATION]],OPERATIONCOST,2,FALSE)," ")</f>
        <v xml:space="preserve"> </v>
      </c>
      <c r="J292" s="1" t="str">
        <f>IFERROR(VLOOKUP(EXPENSETBL4583[[#This Row],[OPERATION]],OPERATIONCOST,3,FALSE)," ")</f>
        <v xml:space="preserve"> </v>
      </c>
      <c r="K292" t="str">
        <f>IF(EXPENSETBL4583[[#This Row],[UOM]]="acre",EXPENSETBL4583[[#This Row],[ACRES]]," ")</f>
        <v xml:space="preserve"> </v>
      </c>
      <c r="L292" s="17">
        <f t="shared" si="20"/>
        <v>1</v>
      </c>
      <c r="M292" s="17">
        <f t="shared" si="21"/>
        <v>0</v>
      </c>
      <c r="N292" s="1" t="str">
        <f>IFERROR((EXPENSETBL4583[[#This Row],[MCC.ENT]]*EXPENSETBL4583[[#This Row],[TOTAL]])," ")</f>
        <v xml:space="preserve"> </v>
      </c>
      <c r="O292" s="1" t="str">
        <f>IFERROR((EXPENSETBL4583[[#This Row],[L.L.]]*EXPENSETBL4583[[#This Row],[TOTAL]])," ")</f>
        <v xml:space="preserve"> </v>
      </c>
      <c r="P292" s="1" t="str">
        <f>IFERROR((EXPENSETBL4583[[#This Row],[QTY]]*EXPENSETBL4583[[#This Row],[$/UOM]])," ")</f>
        <v xml:space="preserve"> </v>
      </c>
      <c r="Q292" s="1"/>
      <c r="R292">
        <v>2022</v>
      </c>
    </row>
    <row r="293" spans="5:18" hidden="1" x14ac:dyDescent="0.25">
      <c r="E293" t="e">
        <f>VLOOKUP(EXPENSETBL4583[[#This Row],[FIELD]],FFTBL[[Field]:[Acres]],2,FALSE)</f>
        <v>#N/A</v>
      </c>
      <c r="I293" t="str">
        <f>IFERROR(VLOOKUP(EXPENSETBL4583[[#This Row],[OPERATION]],OPERATIONCOST,2,FALSE)," ")</f>
        <v xml:space="preserve"> </v>
      </c>
      <c r="J293" s="1" t="str">
        <f>IFERROR(VLOOKUP(EXPENSETBL4583[[#This Row],[OPERATION]],OPERATIONCOST,3,FALSE)," ")</f>
        <v xml:space="preserve"> </v>
      </c>
      <c r="K293" t="str">
        <f>IF(EXPENSETBL4583[[#This Row],[UOM]]="acre",EXPENSETBL4583[[#This Row],[ACRES]]," ")</f>
        <v xml:space="preserve"> </v>
      </c>
      <c r="L293" s="17">
        <f t="shared" si="20"/>
        <v>1</v>
      </c>
      <c r="M293" s="17">
        <f t="shared" si="21"/>
        <v>0</v>
      </c>
      <c r="N293" s="1" t="str">
        <f>IFERROR((EXPENSETBL4583[[#This Row],[MCC.ENT]]*EXPENSETBL4583[[#This Row],[TOTAL]])," ")</f>
        <v xml:space="preserve"> </v>
      </c>
      <c r="O293" s="1" t="str">
        <f>IFERROR((EXPENSETBL4583[[#This Row],[L.L.]]*EXPENSETBL4583[[#This Row],[TOTAL]])," ")</f>
        <v xml:space="preserve"> </v>
      </c>
      <c r="P293" s="1" t="str">
        <f>IFERROR((EXPENSETBL4583[[#This Row],[QTY]]*EXPENSETBL4583[[#This Row],[$/UOM]])," ")</f>
        <v xml:space="preserve"> </v>
      </c>
      <c r="Q293" s="1"/>
      <c r="R293">
        <v>2022</v>
      </c>
    </row>
    <row r="294" spans="5:18" hidden="1" x14ac:dyDescent="0.25">
      <c r="E294" t="e">
        <f>VLOOKUP(EXPENSETBL4583[[#This Row],[FIELD]],FFTBL[[Field]:[Acres]],2,FALSE)</f>
        <v>#N/A</v>
      </c>
      <c r="I294" t="str">
        <f>IFERROR(VLOOKUP(EXPENSETBL4583[[#This Row],[OPERATION]],OPERATIONCOST,2,FALSE)," ")</f>
        <v xml:space="preserve"> </v>
      </c>
      <c r="J294" s="1" t="str">
        <f>IFERROR(VLOOKUP(EXPENSETBL4583[[#This Row],[OPERATION]],OPERATIONCOST,3,FALSE)," ")</f>
        <v xml:space="preserve"> </v>
      </c>
      <c r="K294" t="str">
        <f>IF(EXPENSETBL4583[[#This Row],[UOM]]="acre",EXPENSETBL4583[[#This Row],[ACRES]]," ")</f>
        <v xml:space="preserve"> </v>
      </c>
      <c r="L294" s="17">
        <f t="shared" si="20"/>
        <v>1</v>
      </c>
      <c r="M294" s="17">
        <f t="shared" si="21"/>
        <v>0</v>
      </c>
      <c r="N294" s="1" t="str">
        <f>IFERROR((EXPENSETBL4583[[#This Row],[MCC.ENT]]*EXPENSETBL4583[[#This Row],[TOTAL]])," ")</f>
        <v xml:space="preserve"> </v>
      </c>
      <c r="O294" s="1" t="str">
        <f>IFERROR((EXPENSETBL4583[[#This Row],[L.L.]]*EXPENSETBL4583[[#This Row],[TOTAL]])," ")</f>
        <v xml:space="preserve"> </v>
      </c>
      <c r="P294" s="1" t="str">
        <f>IFERROR((EXPENSETBL4583[[#This Row],[QTY]]*EXPENSETBL4583[[#This Row],[$/UOM]])," ")</f>
        <v xml:space="preserve"> </v>
      </c>
      <c r="Q294" s="1"/>
      <c r="R294">
        <v>2022</v>
      </c>
    </row>
    <row r="295" spans="5:18" hidden="1" x14ac:dyDescent="0.25">
      <c r="E295" t="e">
        <f>VLOOKUP(EXPENSETBL4583[[#This Row],[FIELD]],FFTBL[[Field]:[Acres]],2,FALSE)</f>
        <v>#N/A</v>
      </c>
      <c r="I295" t="str">
        <f>IFERROR(VLOOKUP(EXPENSETBL4583[[#This Row],[OPERATION]],OPERATIONCOST,2,FALSE)," ")</f>
        <v xml:space="preserve"> </v>
      </c>
      <c r="J295" s="1" t="str">
        <f>IFERROR(VLOOKUP(EXPENSETBL4583[[#This Row],[OPERATION]],OPERATIONCOST,3,FALSE)," ")</f>
        <v xml:space="preserve"> </v>
      </c>
      <c r="K295" t="str">
        <f>IF(EXPENSETBL4583[[#This Row],[UOM]]="acre",EXPENSETBL4583[[#This Row],[ACRES]]," ")</f>
        <v xml:space="preserve"> </v>
      </c>
      <c r="L295" s="17">
        <f t="shared" si="20"/>
        <v>1</v>
      </c>
      <c r="M295" s="17">
        <f t="shared" si="21"/>
        <v>0</v>
      </c>
      <c r="N295" s="1" t="str">
        <f>IFERROR((EXPENSETBL4583[[#This Row],[MCC.ENT]]*EXPENSETBL4583[[#This Row],[TOTAL]])," ")</f>
        <v xml:space="preserve"> </v>
      </c>
      <c r="O295" s="1" t="str">
        <f>IFERROR((EXPENSETBL4583[[#This Row],[L.L.]]*EXPENSETBL4583[[#This Row],[TOTAL]])," ")</f>
        <v xml:space="preserve"> </v>
      </c>
      <c r="P295" s="1" t="str">
        <f>IFERROR((EXPENSETBL4583[[#This Row],[QTY]]*EXPENSETBL4583[[#This Row],[$/UOM]])," ")</f>
        <v xml:space="preserve"> </v>
      </c>
      <c r="Q295" s="1"/>
      <c r="R295">
        <v>2022</v>
      </c>
    </row>
    <row r="296" spans="5:18" hidden="1" x14ac:dyDescent="0.25">
      <c r="E296" t="e">
        <f>VLOOKUP(EXPENSETBL4583[[#This Row],[FIELD]],FFTBL[[Field]:[Acres]],2,FALSE)</f>
        <v>#N/A</v>
      </c>
      <c r="I296" t="str">
        <f>IFERROR(VLOOKUP(EXPENSETBL4583[[#This Row],[OPERATION]],OPERATIONCOST,2,FALSE)," ")</f>
        <v xml:space="preserve"> </v>
      </c>
      <c r="J296" s="1" t="str">
        <f>IFERROR(VLOOKUP(EXPENSETBL4583[[#This Row],[OPERATION]],OPERATIONCOST,3,FALSE)," ")</f>
        <v xml:space="preserve"> </v>
      </c>
      <c r="K296" t="str">
        <f>IF(EXPENSETBL4583[[#This Row],[UOM]]="acre",EXPENSETBL4583[[#This Row],[ACRES]]," ")</f>
        <v xml:space="preserve"> </v>
      </c>
      <c r="L296" s="17">
        <f t="shared" si="20"/>
        <v>1</v>
      </c>
      <c r="M296" s="17">
        <f t="shared" si="21"/>
        <v>0</v>
      </c>
      <c r="N296" s="1" t="str">
        <f>IFERROR((EXPENSETBL4583[[#This Row],[MCC.ENT]]*EXPENSETBL4583[[#This Row],[TOTAL]])," ")</f>
        <v xml:space="preserve"> </v>
      </c>
      <c r="O296" s="1" t="str">
        <f>IFERROR((EXPENSETBL4583[[#This Row],[L.L.]]*EXPENSETBL4583[[#This Row],[TOTAL]])," ")</f>
        <v xml:space="preserve"> </v>
      </c>
      <c r="P296" s="1" t="str">
        <f>IFERROR((EXPENSETBL4583[[#This Row],[QTY]]*EXPENSETBL4583[[#This Row],[$/UOM]])," ")</f>
        <v xml:space="preserve"> </v>
      </c>
      <c r="Q296" s="1"/>
      <c r="R296">
        <v>2022</v>
      </c>
    </row>
    <row r="297" spans="5:18" hidden="1" x14ac:dyDescent="0.25">
      <c r="E297" t="e">
        <f>VLOOKUP(EXPENSETBL4583[[#This Row],[FIELD]],FFTBL[[Field]:[Acres]],2,FALSE)</f>
        <v>#N/A</v>
      </c>
      <c r="I297" t="str">
        <f>IFERROR(VLOOKUP(EXPENSETBL4583[[#This Row],[OPERATION]],OPERATIONCOST,2,FALSE)," ")</f>
        <v xml:space="preserve"> </v>
      </c>
      <c r="J297" s="1" t="str">
        <f>IFERROR(VLOOKUP(EXPENSETBL4583[[#This Row],[OPERATION]],OPERATIONCOST,3,FALSE)," ")</f>
        <v xml:space="preserve"> </v>
      </c>
      <c r="K297" t="str">
        <f>IF(EXPENSETBL4583[[#This Row],[UOM]]="acre",EXPENSETBL4583[[#This Row],[ACRES]]," ")</f>
        <v xml:space="preserve"> </v>
      </c>
      <c r="L297" s="17">
        <f t="shared" si="20"/>
        <v>1</v>
      </c>
      <c r="M297" s="17">
        <f t="shared" si="21"/>
        <v>0</v>
      </c>
      <c r="N297" s="1" t="str">
        <f>IFERROR((EXPENSETBL4583[[#This Row],[MCC.ENT]]*EXPENSETBL4583[[#This Row],[TOTAL]])," ")</f>
        <v xml:space="preserve"> </v>
      </c>
      <c r="O297" s="1" t="str">
        <f>IFERROR((EXPENSETBL4583[[#This Row],[L.L.]]*EXPENSETBL4583[[#This Row],[TOTAL]])," ")</f>
        <v xml:space="preserve"> </v>
      </c>
      <c r="P297" s="1" t="str">
        <f>IFERROR((EXPENSETBL4583[[#This Row],[QTY]]*EXPENSETBL4583[[#This Row],[$/UOM]])," ")</f>
        <v xml:space="preserve"> </v>
      </c>
      <c r="Q297" s="1"/>
      <c r="R297">
        <v>2022</v>
      </c>
    </row>
    <row r="298" spans="5:18" hidden="1" x14ac:dyDescent="0.25">
      <c r="E298" t="e">
        <f>VLOOKUP(EXPENSETBL4583[[#This Row],[FIELD]],FFTBL[[Field]:[Acres]],2,FALSE)</f>
        <v>#N/A</v>
      </c>
      <c r="I298" t="str">
        <f>IFERROR(VLOOKUP(EXPENSETBL4583[[#This Row],[OPERATION]],OPERATIONCOST,2,FALSE)," ")</f>
        <v xml:space="preserve"> </v>
      </c>
      <c r="J298" s="1" t="str">
        <f>IFERROR(VLOOKUP(EXPENSETBL4583[[#This Row],[OPERATION]],OPERATIONCOST,3,FALSE)," ")</f>
        <v xml:space="preserve"> </v>
      </c>
      <c r="K298" t="str">
        <f>IF(EXPENSETBL4583[[#This Row],[UOM]]="acre",EXPENSETBL4583[[#This Row],[ACRES]]," ")</f>
        <v xml:space="preserve"> </v>
      </c>
      <c r="L298" s="17">
        <f t="shared" si="20"/>
        <v>1</v>
      </c>
      <c r="M298" s="17">
        <f t="shared" si="21"/>
        <v>0</v>
      </c>
      <c r="N298" s="1" t="str">
        <f>IFERROR((EXPENSETBL4583[[#This Row],[MCC.ENT]]*EXPENSETBL4583[[#This Row],[TOTAL]])," ")</f>
        <v xml:space="preserve"> </v>
      </c>
      <c r="O298" s="1" t="str">
        <f>IFERROR((EXPENSETBL4583[[#This Row],[L.L.]]*EXPENSETBL4583[[#This Row],[TOTAL]])," ")</f>
        <v xml:space="preserve"> </v>
      </c>
      <c r="P298" s="1" t="str">
        <f>IFERROR((EXPENSETBL4583[[#This Row],[QTY]]*EXPENSETBL4583[[#This Row],[$/UOM]])," ")</f>
        <v xml:space="preserve"> </v>
      </c>
      <c r="Q298" s="1"/>
      <c r="R298">
        <v>2022</v>
      </c>
    </row>
    <row r="299" spans="5:18" hidden="1" x14ac:dyDescent="0.25">
      <c r="E299" t="e">
        <f>VLOOKUP(EXPENSETBL4583[[#This Row],[FIELD]],FFTBL[[Field]:[Acres]],2,FALSE)</f>
        <v>#N/A</v>
      </c>
      <c r="I299" t="str">
        <f>IFERROR(VLOOKUP(EXPENSETBL4583[[#This Row],[OPERATION]],OPERATIONCOST,2,FALSE)," ")</f>
        <v xml:space="preserve"> </v>
      </c>
      <c r="J299" s="1" t="str">
        <f>IFERROR(VLOOKUP(EXPENSETBL4583[[#This Row],[OPERATION]],OPERATIONCOST,3,FALSE)," ")</f>
        <v xml:space="preserve"> </v>
      </c>
      <c r="K299" t="str">
        <f>IF(EXPENSETBL4583[[#This Row],[UOM]]="acre",EXPENSETBL4583[[#This Row],[ACRES]]," ")</f>
        <v xml:space="preserve"> </v>
      </c>
      <c r="L299" s="17">
        <f t="shared" si="20"/>
        <v>1</v>
      </c>
      <c r="M299" s="17">
        <f t="shared" si="21"/>
        <v>0</v>
      </c>
      <c r="N299" s="1" t="str">
        <f>IFERROR((EXPENSETBL4583[[#This Row],[MCC.ENT]]*EXPENSETBL4583[[#This Row],[TOTAL]])," ")</f>
        <v xml:space="preserve"> </v>
      </c>
      <c r="O299" s="1" t="str">
        <f>IFERROR((EXPENSETBL4583[[#This Row],[L.L.]]*EXPENSETBL4583[[#This Row],[TOTAL]])," ")</f>
        <v xml:space="preserve"> </v>
      </c>
      <c r="P299" s="1" t="str">
        <f>IFERROR((EXPENSETBL4583[[#This Row],[QTY]]*EXPENSETBL4583[[#This Row],[$/UOM]])," ")</f>
        <v xml:space="preserve"> </v>
      </c>
      <c r="Q299" s="1"/>
      <c r="R299">
        <v>2022</v>
      </c>
    </row>
    <row r="300" spans="5:18" hidden="1" x14ac:dyDescent="0.25">
      <c r="E300" t="e">
        <f>VLOOKUP(EXPENSETBL4583[[#This Row],[FIELD]],FFTBL[[Field]:[Acres]],2,FALSE)</f>
        <v>#N/A</v>
      </c>
      <c r="I300" t="str">
        <f>IFERROR(VLOOKUP(EXPENSETBL4583[[#This Row],[OPERATION]],OPERATIONCOST,2,FALSE)," ")</f>
        <v xml:space="preserve"> </v>
      </c>
      <c r="J300" s="1" t="str">
        <f>IFERROR(VLOOKUP(EXPENSETBL4583[[#This Row],[OPERATION]],OPERATIONCOST,3,FALSE)," ")</f>
        <v xml:space="preserve"> </v>
      </c>
      <c r="K300" t="str">
        <f>IF(EXPENSETBL4583[[#This Row],[UOM]]="acre",EXPENSETBL4583[[#This Row],[ACRES]]," ")</f>
        <v xml:space="preserve"> </v>
      </c>
      <c r="L300" s="17">
        <f t="shared" si="20"/>
        <v>1</v>
      </c>
      <c r="M300" s="17">
        <f t="shared" si="21"/>
        <v>0</v>
      </c>
      <c r="N300" s="1" t="str">
        <f>IFERROR((EXPENSETBL4583[[#This Row],[MCC.ENT]]*EXPENSETBL4583[[#This Row],[TOTAL]])," ")</f>
        <v xml:space="preserve"> </v>
      </c>
      <c r="O300" s="1" t="str">
        <f>IFERROR((EXPENSETBL4583[[#This Row],[L.L.]]*EXPENSETBL4583[[#This Row],[TOTAL]])," ")</f>
        <v xml:space="preserve"> </v>
      </c>
      <c r="P300" s="1" t="str">
        <f>IFERROR((EXPENSETBL4583[[#This Row],[QTY]]*EXPENSETBL4583[[#This Row],[$/UOM]])," ")</f>
        <v xml:space="preserve"> </v>
      </c>
      <c r="Q300" s="1"/>
      <c r="R300">
        <v>2022</v>
      </c>
    </row>
    <row r="301" spans="5:18" hidden="1" x14ac:dyDescent="0.25">
      <c r="E301" t="e">
        <f>VLOOKUP(EXPENSETBL4583[[#This Row],[FIELD]],FFTBL[[Field]:[Acres]],2,FALSE)</f>
        <v>#N/A</v>
      </c>
      <c r="I301" t="str">
        <f>IFERROR(VLOOKUP(EXPENSETBL4583[[#This Row],[OPERATION]],OPERATIONCOST,2,FALSE)," ")</f>
        <v xml:space="preserve"> </v>
      </c>
      <c r="J301" s="1" t="str">
        <f>IFERROR(VLOOKUP(EXPENSETBL4583[[#This Row],[OPERATION]],OPERATIONCOST,3,FALSE)," ")</f>
        <v xml:space="preserve"> </v>
      </c>
      <c r="K301" t="str">
        <f>IF(EXPENSETBL4583[[#This Row],[UOM]]="acre",EXPENSETBL4583[[#This Row],[ACRES]]," ")</f>
        <v xml:space="preserve"> </v>
      </c>
      <c r="L301" s="17">
        <f t="shared" si="20"/>
        <v>1</v>
      </c>
      <c r="M301" s="17">
        <f t="shared" si="21"/>
        <v>0</v>
      </c>
      <c r="N301" s="1" t="str">
        <f>IFERROR((EXPENSETBL4583[[#This Row],[MCC.ENT]]*EXPENSETBL4583[[#This Row],[TOTAL]])," ")</f>
        <v xml:space="preserve"> </v>
      </c>
      <c r="O301" s="1" t="str">
        <f>IFERROR((EXPENSETBL4583[[#This Row],[L.L.]]*EXPENSETBL4583[[#This Row],[TOTAL]])," ")</f>
        <v xml:space="preserve"> </v>
      </c>
      <c r="P301" s="1" t="str">
        <f>IFERROR((EXPENSETBL4583[[#This Row],[QTY]]*EXPENSETBL4583[[#This Row],[$/UOM]])," ")</f>
        <v xml:space="preserve"> </v>
      </c>
      <c r="Q301" s="1"/>
      <c r="R301">
        <v>2022</v>
      </c>
    </row>
    <row r="302" spans="5:18" hidden="1" x14ac:dyDescent="0.25">
      <c r="E302" t="e">
        <f>VLOOKUP(EXPENSETBL4583[[#This Row],[FIELD]],FFTBL[[Field]:[Acres]],2,FALSE)</f>
        <v>#N/A</v>
      </c>
      <c r="I302" t="str">
        <f>IFERROR(VLOOKUP(EXPENSETBL4583[[#This Row],[OPERATION]],OPERATIONCOST,2,FALSE)," ")</f>
        <v xml:space="preserve"> </v>
      </c>
      <c r="J302" s="1" t="str">
        <f>IFERROR(VLOOKUP(EXPENSETBL4583[[#This Row],[OPERATION]],OPERATIONCOST,3,FALSE)," ")</f>
        <v xml:space="preserve"> </v>
      </c>
      <c r="K302" t="str">
        <f>IF(EXPENSETBL4583[[#This Row],[UOM]]="acre",EXPENSETBL4583[[#This Row],[ACRES]]," ")</f>
        <v xml:space="preserve"> </v>
      </c>
      <c r="L302" s="17">
        <f t="shared" si="20"/>
        <v>1</v>
      </c>
      <c r="M302" s="17">
        <f t="shared" si="21"/>
        <v>0</v>
      </c>
      <c r="N302" s="1" t="str">
        <f>IFERROR((EXPENSETBL4583[[#This Row],[MCC.ENT]]*EXPENSETBL4583[[#This Row],[TOTAL]])," ")</f>
        <v xml:space="preserve"> </v>
      </c>
      <c r="O302" s="1" t="str">
        <f>IFERROR((EXPENSETBL4583[[#This Row],[L.L.]]*EXPENSETBL4583[[#This Row],[TOTAL]])," ")</f>
        <v xml:space="preserve"> </v>
      </c>
      <c r="P302" s="1" t="str">
        <f>IFERROR((EXPENSETBL4583[[#This Row],[QTY]]*EXPENSETBL4583[[#This Row],[$/UOM]])," ")</f>
        <v xml:space="preserve"> </v>
      </c>
      <c r="Q302" s="1"/>
      <c r="R302">
        <v>2022</v>
      </c>
    </row>
    <row r="303" spans="5:18" hidden="1" x14ac:dyDescent="0.25">
      <c r="E303" t="e">
        <f>VLOOKUP(EXPENSETBL4583[[#This Row],[FIELD]],FFTBL[[Field]:[Acres]],2,FALSE)</f>
        <v>#N/A</v>
      </c>
      <c r="I303" t="str">
        <f>IFERROR(VLOOKUP(EXPENSETBL4583[[#This Row],[OPERATION]],OPERATIONCOST,2,FALSE)," ")</f>
        <v xml:space="preserve"> </v>
      </c>
      <c r="J303" s="1" t="str">
        <f>IFERROR(VLOOKUP(EXPENSETBL4583[[#This Row],[OPERATION]],OPERATIONCOST,3,FALSE)," ")</f>
        <v xml:space="preserve"> </v>
      </c>
      <c r="K303" t="str">
        <f>IF(EXPENSETBL4583[[#This Row],[UOM]]="acre",EXPENSETBL4583[[#This Row],[ACRES]]," ")</f>
        <v xml:space="preserve"> </v>
      </c>
      <c r="L303" s="17">
        <f t="shared" si="20"/>
        <v>1</v>
      </c>
      <c r="M303" s="17">
        <f t="shared" si="21"/>
        <v>0</v>
      </c>
      <c r="N303" s="1" t="str">
        <f>IFERROR((EXPENSETBL4583[[#This Row],[MCC.ENT]]*EXPENSETBL4583[[#This Row],[TOTAL]])," ")</f>
        <v xml:space="preserve"> </v>
      </c>
      <c r="O303" s="1" t="str">
        <f>IFERROR((EXPENSETBL4583[[#This Row],[L.L.]]*EXPENSETBL4583[[#This Row],[TOTAL]])," ")</f>
        <v xml:space="preserve"> </v>
      </c>
      <c r="P303" s="1" t="str">
        <f>IFERROR((EXPENSETBL4583[[#This Row],[QTY]]*EXPENSETBL4583[[#This Row],[$/UOM]])," ")</f>
        <v xml:space="preserve"> </v>
      </c>
      <c r="Q303" s="1"/>
      <c r="R303">
        <v>2022</v>
      </c>
    </row>
    <row r="304" spans="5:18" hidden="1" x14ac:dyDescent="0.25">
      <c r="E304" t="e">
        <f>VLOOKUP(EXPENSETBL4583[[#This Row],[FIELD]],FFTBL[[Field]:[Acres]],2,FALSE)</f>
        <v>#N/A</v>
      </c>
      <c r="I304" t="str">
        <f>IFERROR(VLOOKUP(EXPENSETBL4583[[#This Row],[OPERATION]],OPERATIONCOST,2,FALSE)," ")</f>
        <v xml:space="preserve"> </v>
      </c>
      <c r="J304" s="1" t="str">
        <f>IFERROR(VLOOKUP(EXPENSETBL4583[[#This Row],[OPERATION]],OPERATIONCOST,3,FALSE)," ")</f>
        <v xml:space="preserve"> </v>
      </c>
      <c r="K304" t="str">
        <f>IF(EXPENSETBL4583[[#This Row],[UOM]]="acre",EXPENSETBL4583[[#This Row],[ACRES]]," ")</f>
        <v xml:space="preserve"> </v>
      </c>
      <c r="L304" s="17">
        <f t="shared" si="20"/>
        <v>1</v>
      </c>
      <c r="M304" s="17">
        <f t="shared" si="21"/>
        <v>0</v>
      </c>
      <c r="N304" s="1" t="str">
        <f>IFERROR((EXPENSETBL4583[[#This Row],[MCC.ENT]]*EXPENSETBL4583[[#This Row],[TOTAL]])," ")</f>
        <v xml:space="preserve"> </v>
      </c>
      <c r="O304" s="1" t="str">
        <f>IFERROR((EXPENSETBL4583[[#This Row],[L.L.]]*EXPENSETBL4583[[#This Row],[TOTAL]])," ")</f>
        <v xml:space="preserve"> </v>
      </c>
      <c r="P304" s="1" t="str">
        <f>IFERROR((EXPENSETBL4583[[#This Row],[QTY]]*EXPENSETBL4583[[#This Row],[$/UOM]])," ")</f>
        <v xml:space="preserve"> </v>
      </c>
      <c r="Q304" s="1"/>
      <c r="R304">
        <v>2022</v>
      </c>
    </row>
    <row r="305" spans="5:18" hidden="1" x14ac:dyDescent="0.25">
      <c r="E305" t="e">
        <f>VLOOKUP(EXPENSETBL4583[[#This Row],[FIELD]],FFTBL[[Field]:[Acres]],2,FALSE)</f>
        <v>#N/A</v>
      </c>
      <c r="I305" t="str">
        <f>IFERROR(VLOOKUP(EXPENSETBL4583[[#This Row],[OPERATION]],OPERATIONCOST,2,FALSE)," ")</f>
        <v xml:space="preserve"> </v>
      </c>
      <c r="J305" s="1" t="str">
        <f>IFERROR(VLOOKUP(EXPENSETBL4583[[#This Row],[OPERATION]],OPERATIONCOST,3,FALSE)," ")</f>
        <v xml:space="preserve"> </v>
      </c>
      <c r="K305" t="str">
        <f>IF(EXPENSETBL4583[[#This Row],[UOM]]="acre",EXPENSETBL4583[[#This Row],[ACRES]]," ")</f>
        <v xml:space="preserve"> </v>
      </c>
      <c r="L305" s="17">
        <f t="shared" si="20"/>
        <v>1</v>
      </c>
      <c r="M305" s="17">
        <f t="shared" si="21"/>
        <v>0</v>
      </c>
      <c r="N305" s="1" t="str">
        <f>IFERROR((EXPENSETBL4583[[#This Row],[MCC.ENT]]*EXPENSETBL4583[[#This Row],[TOTAL]])," ")</f>
        <v xml:space="preserve"> </v>
      </c>
      <c r="O305" s="1" t="str">
        <f>IFERROR((EXPENSETBL4583[[#This Row],[L.L.]]*EXPENSETBL4583[[#This Row],[TOTAL]])," ")</f>
        <v xml:space="preserve"> </v>
      </c>
      <c r="P305" s="1" t="str">
        <f>IFERROR((EXPENSETBL4583[[#This Row],[QTY]]*EXPENSETBL4583[[#This Row],[$/UOM]])," ")</f>
        <v xml:space="preserve"> </v>
      </c>
      <c r="Q305" s="1"/>
      <c r="R305">
        <v>2022</v>
      </c>
    </row>
    <row r="306" spans="5:18" hidden="1" x14ac:dyDescent="0.25">
      <c r="E306" t="e">
        <f>VLOOKUP(EXPENSETBL4583[[#This Row],[FIELD]],FFTBL[[Field]:[Acres]],2,FALSE)</f>
        <v>#N/A</v>
      </c>
      <c r="I306" t="str">
        <f>IFERROR(VLOOKUP(EXPENSETBL4583[[#This Row],[OPERATION]],OPERATIONCOST,2,FALSE)," ")</f>
        <v xml:space="preserve"> </v>
      </c>
      <c r="J306" s="1" t="str">
        <f>IFERROR(VLOOKUP(EXPENSETBL4583[[#This Row],[OPERATION]],OPERATIONCOST,3,FALSE)," ")</f>
        <v xml:space="preserve"> </v>
      </c>
      <c r="K306" t="str">
        <f>IF(EXPENSETBL4583[[#This Row],[UOM]]="acre",EXPENSETBL4583[[#This Row],[ACRES]]," ")</f>
        <v xml:space="preserve"> </v>
      </c>
      <c r="L306" s="17">
        <f t="shared" si="20"/>
        <v>1</v>
      </c>
      <c r="M306" s="17">
        <f t="shared" si="21"/>
        <v>0</v>
      </c>
      <c r="N306" s="1" t="str">
        <f>IFERROR((EXPENSETBL4583[[#This Row],[MCC.ENT]]*EXPENSETBL4583[[#This Row],[TOTAL]])," ")</f>
        <v xml:space="preserve"> </v>
      </c>
      <c r="O306" s="1" t="str">
        <f>IFERROR((EXPENSETBL4583[[#This Row],[L.L.]]*EXPENSETBL4583[[#This Row],[TOTAL]])," ")</f>
        <v xml:space="preserve"> </v>
      </c>
      <c r="P306" s="1" t="str">
        <f>IFERROR((EXPENSETBL4583[[#This Row],[QTY]]*EXPENSETBL4583[[#This Row],[$/UOM]])," ")</f>
        <v xml:space="preserve"> </v>
      </c>
      <c r="Q306" s="1"/>
      <c r="R306">
        <v>2022</v>
      </c>
    </row>
    <row r="307" spans="5:18" hidden="1" x14ac:dyDescent="0.25">
      <c r="E307" t="e">
        <f>VLOOKUP(EXPENSETBL4583[[#This Row],[FIELD]],FFTBL[[Field]:[Acres]],2,FALSE)</f>
        <v>#N/A</v>
      </c>
      <c r="I307" t="str">
        <f>IFERROR(VLOOKUP(EXPENSETBL4583[[#This Row],[OPERATION]],OPERATIONCOST,2,FALSE)," ")</f>
        <v xml:space="preserve"> </v>
      </c>
      <c r="J307" s="1" t="str">
        <f>IFERROR(VLOOKUP(EXPENSETBL4583[[#This Row],[OPERATION]],OPERATIONCOST,3,FALSE)," ")</f>
        <v xml:space="preserve"> </v>
      </c>
      <c r="K307" t="str">
        <f>IF(EXPENSETBL4583[[#This Row],[UOM]]="acre",EXPENSETBL4583[[#This Row],[ACRES]]," ")</f>
        <v xml:space="preserve"> </v>
      </c>
      <c r="L307" s="17">
        <f t="shared" si="20"/>
        <v>1</v>
      </c>
      <c r="M307" s="17">
        <f t="shared" si="21"/>
        <v>0</v>
      </c>
      <c r="N307" s="1" t="str">
        <f>IFERROR((EXPENSETBL4583[[#This Row],[MCC.ENT]]*EXPENSETBL4583[[#This Row],[TOTAL]])," ")</f>
        <v xml:space="preserve"> </v>
      </c>
      <c r="O307" s="1" t="str">
        <f>IFERROR((EXPENSETBL4583[[#This Row],[L.L.]]*EXPENSETBL4583[[#This Row],[TOTAL]])," ")</f>
        <v xml:space="preserve"> </v>
      </c>
      <c r="P307" s="1" t="str">
        <f>IFERROR((EXPENSETBL4583[[#This Row],[QTY]]*EXPENSETBL4583[[#This Row],[$/UOM]])," ")</f>
        <v xml:space="preserve"> </v>
      </c>
      <c r="Q307" s="1"/>
      <c r="R307">
        <v>2022</v>
      </c>
    </row>
    <row r="308" spans="5:18" hidden="1" x14ac:dyDescent="0.25">
      <c r="E308" t="e">
        <f>VLOOKUP(EXPENSETBL4583[[#This Row],[FIELD]],FFTBL[[Field]:[Acres]],2,FALSE)</f>
        <v>#N/A</v>
      </c>
      <c r="I308" t="str">
        <f>IFERROR(VLOOKUP(EXPENSETBL4583[[#This Row],[OPERATION]],OPERATIONCOST,2,FALSE)," ")</f>
        <v xml:space="preserve"> </v>
      </c>
      <c r="J308" s="1" t="str">
        <f>IFERROR(VLOOKUP(EXPENSETBL4583[[#This Row],[OPERATION]],OPERATIONCOST,3,FALSE)," ")</f>
        <v xml:space="preserve"> </v>
      </c>
      <c r="K308" t="str">
        <f>IF(EXPENSETBL4583[[#This Row],[UOM]]="acre",EXPENSETBL4583[[#This Row],[ACRES]]," ")</f>
        <v xml:space="preserve"> </v>
      </c>
      <c r="L308" s="17">
        <f t="shared" si="20"/>
        <v>1</v>
      </c>
      <c r="M308" s="17">
        <f t="shared" si="21"/>
        <v>0</v>
      </c>
      <c r="N308" s="1" t="str">
        <f>IFERROR((EXPENSETBL4583[[#This Row],[MCC.ENT]]*EXPENSETBL4583[[#This Row],[TOTAL]])," ")</f>
        <v xml:space="preserve"> </v>
      </c>
      <c r="O308" s="1" t="str">
        <f>IFERROR((EXPENSETBL4583[[#This Row],[L.L.]]*EXPENSETBL4583[[#This Row],[TOTAL]])," ")</f>
        <v xml:space="preserve"> </v>
      </c>
      <c r="P308" s="1" t="str">
        <f>IFERROR((EXPENSETBL4583[[#This Row],[QTY]]*EXPENSETBL4583[[#This Row],[$/UOM]])," ")</f>
        <v xml:space="preserve"> </v>
      </c>
      <c r="Q308" s="1"/>
      <c r="R308">
        <v>2022</v>
      </c>
    </row>
    <row r="309" spans="5:18" hidden="1" x14ac:dyDescent="0.25">
      <c r="E309" t="e">
        <f>VLOOKUP(EXPENSETBL4583[[#This Row],[FIELD]],FFTBL[[Field]:[Acres]],2,FALSE)</f>
        <v>#N/A</v>
      </c>
      <c r="I309" t="str">
        <f>IFERROR(VLOOKUP(EXPENSETBL4583[[#This Row],[OPERATION]],OPERATIONCOST,2,FALSE)," ")</f>
        <v xml:space="preserve"> </v>
      </c>
      <c r="J309" s="1" t="str">
        <f>IFERROR(VLOOKUP(EXPENSETBL4583[[#This Row],[OPERATION]],OPERATIONCOST,3,FALSE)," ")</f>
        <v xml:space="preserve"> </v>
      </c>
      <c r="K309" t="str">
        <f>IF(EXPENSETBL4583[[#This Row],[UOM]]="acre",EXPENSETBL4583[[#This Row],[ACRES]]," ")</f>
        <v xml:space="preserve"> </v>
      </c>
      <c r="L309" s="17">
        <f t="shared" si="20"/>
        <v>1</v>
      </c>
      <c r="M309" s="17">
        <f t="shared" si="21"/>
        <v>0</v>
      </c>
      <c r="N309" s="1" t="str">
        <f>IFERROR((EXPENSETBL4583[[#This Row],[MCC.ENT]]*EXPENSETBL4583[[#This Row],[TOTAL]])," ")</f>
        <v xml:space="preserve"> </v>
      </c>
      <c r="O309" s="1" t="str">
        <f>IFERROR((EXPENSETBL4583[[#This Row],[L.L.]]*EXPENSETBL4583[[#This Row],[TOTAL]])," ")</f>
        <v xml:space="preserve"> </v>
      </c>
      <c r="P309" s="1" t="str">
        <f>IFERROR((EXPENSETBL4583[[#This Row],[QTY]]*EXPENSETBL4583[[#This Row],[$/UOM]])," ")</f>
        <v xml:space="preserve"> </v>
      </c>
      <c r="Q309" s="1"/>
      <c r="R309">
        <v>2022</v>
      </c>
    </row>
    <row r="310" spans="5:18" hidden="1" x14ac:dyDescent="0.25">
      <c r="E310" t="e">
        <f>VLOOKUP(EXPENSETBL4583[[#This Row],[FIELD]],FFTBL[[Field]:[Acres]],2,FALSE)</f>
        <v>#N/A</v>
      </c>
      <c r="I310" t="str">
        <f>IFERROR(VLOOKUP(EXPENSETBL4583[[#This Row],[OPERATION]],OPERATIONCOST,2,FALSE)," ")</f>
        <v xml:space="preserve"> </v>
      </c>
      <c r="J310" s="1" t="str">
        <f>IFERROR(VLOOKUP(EXPENSETBL4583[[#This Row],[OPERATION]],OPERATIONCOST,3,FALSE)," ")</f>
        <v xml:space="preserve"> </v>
      </c>
      <c r="K310" t="str">
        <f>IF(EXPENSETBL4583[[#This Row],[UOM]]="acre",EXPENSETBL4583[[#This Row],[ACRES]]," ")</f>
        <v xml:space="preserve"> </v>
      </c>
      <c r="L310" s="17">
        <f t="shared" si="20"/>
        <v>1</v>
      </c>
      <c r="M310" s="17">
        <f t="shared" si="21"/>
        <v>0</v>
      </c>
      <c r="N310" s="1" t="str">
        <f>IFERROR((EXPENSETBL4583[[#This Row],[MCC.ENT]]*EXPENSETBL4583[[#This Row],[TOTAL]])," ")</f>
        <v xml:space="preserve"> </v>
      </c>
      <c r="O310" s="1" t="str">
        <f>IFERROR((EXPENSETBL4583[[#This Row],[L.L.]]*EXPENSETBL4583[[#This Row],[TOTAL]])," ")</f>
        <v xml:space="preserve"> </v>
      </c>
      <c r="P310" s="1" t="str">
        <f>IFERROR((EXPENSETBL4583[[#This Row],[QTY]]*EXPENSETBL4583[[#This Row],[$/UOM]])," ")</f>
        <v xml:space="preserve"> </v>
      </c>
      <c r="Q310" s="1"/>
      <c r="R310">
        <v>2022</v>
      </c>
    </row>
    <row r="311" spans="5:18" hidden="1" x14ac:dyDescent="0.25">
      <c r="E311" t="e">
        <f>VLOOKUP(EXPENSETBL4583[[#This Row],[FIELD]],FFTBL[[Field]:[Acres]],2,FALSE)</f>
        <v>#N/A</v>
      </c>
      <c r="I311" t="str">
        <f>IFERROR(VLOOKUP(EXPENSETBL4583[[#This Row],[OPERATION]],OPERATIONCOST,2,FALSE)," ")</f>
        <v xml:space="preserve"> </v>
      </c>
      <c r="J311" s="1" t="str">
        <f>IFERROR(VLOOKUP(EXPENSETBL4583[[#This Row],[OPERATION]],OPERATIONCOST,3,FALSE)," ")</f>
        <v xml:space="preserve"> </v>
      </c>
      <c r="K311" t="str">
        <f>IF(EXPENSETBL4583[[#This Row],[UOM]]="acre",EXPENSETBL4583[[#This Row],[ACRES]]," ")</f>
        <v xml:space="preserve"> </v>
      </c>
      <c r="L311" s="17">
        <f t="shared" si="20"/>
        <v>1</v>
      </c>
      <c r="M311" s="17">
        <f t="shared" si="21"/>
        <v>0</v>
      </c>
      <c r="N311" s="1" t="str">
        <f>IFERROR((EXPENSETBL4583[[#This Row],[MCC.ENT]]*EXPENSETBL4583[[#This Row],[TOTAL]])," ")</f>
        <v xml:space="preserve"> </v>
      </c>
      <c r="O311" s="1" t="str">
        <f>IFERROR((EXPENSETBL4583[[#This Row],[L.L.]]*EXPENSETBL4583[[#This Row],[TOTAL]])," ")</f>
        <v xml:space="preserve"> </v>
      </c>
      <c r="P311" s="1" t="str">
        <f>IFERROR((EXPENSETBL4583[[#This Row],[QTY]]*EXPENSETBL4583[[#This Row],[$/UOM]])," ")</f>
        <v xml:space="preserve"> </v>
      </c>
      <c r="Q311" s="1"/>
      <c r="R311">
        <v>2022</v>
      </c>
    </row>
    <row r="312" spans="5:18" hidden="1" x14ac:dyDescent="0.25">
      <c r="E312" t="e">
        <f>VLOOKUP(EXPENSETBL4583[[#This Row],[FIELD]],FFTBL[[Field]:[Acres]],2,FALSE)</f>
        <v>#N/A</v>
      </c>
      <c r="I312" t="str">
        <f>IFERROR(VLOOKUP(EXPENSETBL4583[[#This Row],[OPERATION]],OPERATIONCOST,2,FALSE)," ")</f>
        <v xml:space="preserve"> </v>
      </c>
      <c r="J312" s="1" t="str">
        <f>IFERROR(VLOOKUP(EXPENSETBL4583[[#This Row],[OPERATION]],OPERATIONCOST,3,FALSE)," ")</f>
        <v xml:space="preserve"> </v>
      </c>
      <c r="K312" t="str">
        <f>IF(EXPENSETBL4583[[#This Row],[UOM]]="acre",EXPENSETBL4583[[#This Row],[ACRES]]," ")</f>
        <v xml:space="preserve"> </v>
      </c>
      <c r="L312" s="17">
        <f t="shared" si="20"/>
        <v>1</v>
      </c>
      <c r="M312" s="17">
        <f t="shared" si="21"/>
        <v>0</v>
      </c>
      <c r="N312" s="1" t="str">
        <f>IFERROR((EXPENSETBL4583[[#This Row],[MCC.ENT]]*EXPENSETBL4583[[#This Row],[TOTAL]])," ")</f>
        <v xml:space="preserve"> </v>
      </c>
      <c r="O312" s="1" t="str">
        <f>IFERROR((EXPENSETBL4583[[#This Row],[L.L.]]*EXPENSETBL4583[[#This Row],[TOTAL]])," ")</f>
        <v xml:space="preserve"> </v>
      </c>
      <c r="P312" s="1" t="str">
        <f>IFERROR((EXPENSETBL4583[[#This Row],[QTY]]*EXPENSETBL4583[[#This Row],[$/UOM]])," ")</f>
        <v xml:space="preserve"> </v>
      </c>
      <c r="Q312" s="1"/>
      <c r="R312">
        <v>2022</v>
      </c>
    </row>
    <row r="313" spans="5:18" hidden="1" x14ac:dyDescent="0.25">
      <c r="E313" t="e">
        <f>VLOOKUP(EXPENSETBL4583[[#This Row],[FIELD]],FFTBL[[Field]:[Acres]],2,FALSE)</f>
        <v>#N/A</v>
      </c>
      <c r="I313" t="str">
        <f>IFERROR(VLOOKUP(EXPENSETBL4583[[#This Row],[OPERATION]],OPERATIONCOST,2,FALSE)," ")</f>
        <v xml:space="preserve"> </v>
      </c>
      <c r="J313" s="1" t="str">
        <f>IFERROR(VLOOKUP(EXPENSETBL4583[[#This Row],[OPERATION]],OPERATIONCOST,3,FALSE)," ")</f>
        <v xml:space="preserve"> </v>
      </c>
      <c r="K313" t="str">
        <f>IF(EXPENSETBL4583[[#This Row],[UOM]]="acre",EXPENSETBL4583[[#This Row],[ACRES]]," ")</f>
        <v xml:space="preserve"> </v>
      </c>
      <c r="L313" s="17">
        <f t="shared" si="20"/>
        <v>1</v>
      </c>
      <c r="M313" s="17">
        <f t="shared" si="21"/>
        <v>0</v>
      </c>
      <c r="N313" s="1" t="str">
        <f>IFERROR((EXPENSETBL4583[[#This Row],[MCC.ENT]]*EXPENSETBL4583[[#This Row],[TOTAL]])," ")</f>
        <v xml:space="preserve"> </v>
      </c>
      <c r="O313" s="1" t="str">
        <f>IFERROR((EXPENSETBL4583[[#This Row],[L.L.]]*EXPENSETBL4583[[#This Row],[TOTAL]])," ")</f>
        <v xml:space="preserve"> </v>
      </c>
      <c r="P313" s="1" t="str">
        <f>IFERROR((EXPENSETBL4583[[#This Row],[QTY]]*EXPENSETBL4583[[#This Row],[$/UOM]])," ")</f>
        <v xml:space="preserve"> </v>
      </c>
      <c r="Q313" s="1"/>
      <c r="R313">
        <v>2022</v>
      </c>
    </row>
    <row r="314" spans="5:18" hidden="1" x14ac:dyDescent="0.25">
      <c r="E314" t="e">
        <f>VLOOKUP(EXPENSETBL4583[[#This Row],[FIELD]],FFTBL[[Field]:[Acres]],2,FALSE)</f>
        <v>#N/A</v>
      </c>
      <c r="I314" t="str">
        <f>IFERROR(VLOOKUP(EXPENSETBL4583[[#This Row],[OPERATION]],OPERATIONCOST,2,FALSE)," ")</f>
        <v xml:space="preserve"> </v>
      </c>
      <c r="J314" s="1" t="str">
        <f>IFERROR(VLOOKUP(EXPENSETBL4583[[#This Row],[OPERATION]],OPERATIONCOST,3,FALSE)," ")</f>
        <v xml:space="preserve"> </v>
      </c>
      <c r="K314" t="str">
        <f>IF(EXPENSETBL4583[[#This Row],[UOM]]="acre",EXPENSETBL4583[[#This Row],[ACRES]]," ")</f>
        <v xml:space="preserve"> </v>
      </c>
      <c r="L314" s="17">
        <f t="shared" si="20"/>
        <v>1</v>
      </c>
      <c r="M314" s="17">
        <f t="shared" si="21"/>
        <v>0</v>
      </c>
      <c r="N314" s="1" t="str">
        <f>IFERROR((EXPENSETBL4583[[#This Row],[MCC.ENT]]*EXPENSETBL4583[[#This Row],[TOTAL]])," ")</f>
        <v xml:space="preserve"> </v>
      </c>
      <c r="O314" s="1" t="str">
        <f>IFERROR((EXPENSETBL4583[[#This Row],[L.L.]]*EXPENSETBL4583[[#This Row],[TOTAL]])," ")</f>
        <v xml:space="preserve"> </v>
      </c>
      <c r="P314" s="1" t="str">
        <f>IFERROR((EXPENSETBL4583[[#This Row],[QTY]]*EXPENSETBL4583[[#This Row],[$/UOM]])," ")</f>
        <v xml:space="preserve"> </v>
      </c>
      <c r="Q314" s="1"/>
      <c r="R314">
        <v>2022</v>
      </c>
    </row>
    <row r="315" spans="5:18" hidden="1" x14ac:dyDescent="0.25">
      <c r="E315" t="e">
        <f>VLOOKUP(EXPENSETBL4583[[#This Row],[FIELD]],FFTBL[[Field]:[Acres]],2,FALSE)</f>
        <v>#N/A</v>
      </c>
      <c r="I315" t="str">
        <f>IFERROR(VLOOKUP(EXPENSETBL4583[[#This Row],[OPERATION]],OPERATIONCOST,2,FALSE)," ")</f>
        <v xml:space="preserve"> </v>
      </c>
      <c r="J315" s="1" t="str">
        <f>IFERROR(VLOOKUP(EXPENSETBL4583[[#This Row],[OPERATION]],OPERATIONCOST,3,FALSE)," ")</f>
        <v xml:space="preserve"> </v>
      </c>
      <c r="K315" t="str">
        <f>IF(EXPENSETBL4583[[#This Row],[UOM]]="acre",EXPENSETBL4583[[#This Row],[ACRES]]," ")</f>
        <v xml:space="preserve"> </v>
      </c>
      <c r="L315" s="17">
        <f t="shared" si="20"/>
        <v>1</v>
      </c>
      <c r="M315" s="17">
        <f t="shared" si="21"/>
        <v>0</v>
      </c>
      <c r="N315" s="1" t="str">
        <f>IFERROR((EXPENSETBL4583[[#This Row],[MCC.ENT]]*EXPENSETBL4583[[#This Row],[TOTAL]])," ")</f>
        <v xml:space="preserve"> </v>
      </c>
      <c r="O315" s="1" t="str">
        <f>IFERROR((EXPENSETBL4583[[#This Row],[L.L.]]*EXPENSETBL4583[[#This Row],[TOTAL]])," ")</f>
        <v xml:space="preserve"> </v>
      </c>
      <c r="P315" s="1" t="str">
        <f>IFERROR((EXPENSETBL4583[[#This Row],[QTY]]*EXPENSETBL4583[[#This Row],[$/UOM]])," ")</f>
        <v xml:space="preserve"> </v>
      </c>
      <c r="Q315" s="1"/>
      <c r="R315">
        <v>2022</v>
      </c>
    </row>
    <row r="316" spans="5:18" hidden="1" x14ac:dyDescent="0.25">
      <c r="E316" t="e">
        <f>VLOOKUP(EXPENSETBL4583[[#This Row],[FIELD]],FFTBL[[Field]:[Acres]],2,FALSE)</f>
        <v>#N/A</v>
      </c>
      <c r="I316" t="str">
        <f>IFERROR(VLOOKUP(EXPENSETBL4583[[#This Row],[OPERATION]],OPERATIONCOST,2,FALSE)," ")</f>
        <v xml:space="preserve"> </v>
      </c>
      <c r="J316" s="1" t="str">
        <f>IFERROR(VLOOKUP(EXPENSETBL4583[[#This Row],[OPERATION]],OPERATIONCOST,3,FALSE)," ")</f>
        <v xml:space="preserve"> </v>
      </c>
      <c r="K316" t="str">
        <f>IF(EXPENSETBL4583[[#This Row],[UOM]]="acre",EXPENSETBL4583[[#This Row],[ACRES]]," ")</f>
        <v xml:space="preserve"> </v>
      </c>
      <c r="L316" s="17">
        <f t="shared" si="20"/>
        <v>1</v>
      </c>
      <c r="M316" s="17">
        <f t="shared" si="21"/>
        <v>0</v>
      </c>
      <c r="N316" s="1" t="str">
        <f>IFERROR((EXPENSETBL4583[[#This Row],[MCC.ENT]]*EXPENSETBL4583[[#This Row],[TOTAL]])," ")</f>
        <v xml:space="preserve"> </v>
      </c>
      <c r="O316" s="1" t="str">
        <f>IFERROR((EXPENSETBL4583[[#This Row],[L.L.]]*EXPENSETBL4583[[#This Row],[TOTAL]])," ")</f>
        <v xml:space="preserve"> </v>
      </c>
      <c r="P316" s="1" t="str">
        <f>IFERROR((EXPENSETBL4583[[#This Row],[QTY]]*EXPENSETBL4583[[#This Row],[$/UOM]])," ")</f>
        <v xml:space="preserve"> </v>
      </c>
      <c r="Q316" s="1"/>
      <c r="R316">
        <v>2022</v>
      </c>
    </row>
    <row r="317" spans="5:18" hidden="1" x14ac:dyDescent="0.25">
      <c r="E317" t="e">
        <f>VLOOKUP(EXPENSETBL4583[[#This Row],[FIELD]],FFTBL[[Field]:[Acres]],2,FALSE)</f>
        <v>#N/A</v>
      </c>
      <c r="I317" t="str">
        <f>IFERROR(VLOOKUP(EXPENSETBL4583[[#This Row],[OPERATION]],OPERATIONCOST,2,FALSE)," ")</f>
        <v xml:space="preserve"> </v>
      </c>
      <c r="J317" s="1" t="str">
        <f>IFERROR(VLOOKUP(EXPENSETBL4583[[#This Row],[OPERATION]],OPERATIONCOST,3,FALSE)," ")</f>
        <v xml:space="preserve"> </v>
      </c>
      <c r="K317" t="str">
        <f>IF(EXPENSETBL4583[[#This Row],[UOM]]="acre",EXPENSETBL4583[[#This Row],[ACRES]]," ")</f>
        <v xml:space="preserve"> </v>
      </c>
      <c r="L317" s="17">
        <f t="shared" si="20"/>
        <v>1</v>
      </c>
      <c r="M317" s="17">
        <f t="shared" si="21"/>
        <v>0</v>
      </c>
      <c r="N317" s="1" t="str">
        <f>IFERROR((EXPENSETBL4583[[#This Row],[MCC.ENT]]*EXPENSETBL4583[[#This Row],[TOTAL]])," ")</f>
        <v xml:space="preserve"> </v>
      </c>
      <c r="O317" s="1" t="str">
        <f>IFERROR((EXPENSETBL4583[[#This Row],[L.L.]]*EXPENSETBL4583[[#This Row],[TOTAL]])," ")</f>
        <v xml:space="preserve"> </v>
      </c>
      <c r="P317" s="1" t="str">
        <f>IFERROR((EXPENSETBL4583[[#This Row],[QTY]]*EXPENSETBL4583[[#This Row],[$/UOM]])," ")</f>
        <v xml:space="preserve"> </v>
      </c>
      <c r="Q317" s="1"/>
      <c r="R317">
        <v>2022</v>
      </c>
    </row>
    <row r="318" spans="5:18" hidden="1" x14ac:dyDescent="0.25">
      <c r="E318" t="e">
        <f>VLOOKUP(EXPENSETBL4583[[#This Row],[FIELD]],FFTBL[[Field]:[Acres]],2,FALSE)</f>
        <v>#N/A</v>
      </c>
      <c r="I318" t="str">
        <f>IFERROR(VLOOKUP(EXPENSETBL4583[[#This Row],[OPERATION]],OPERATIONCOST,2,FALSE)," ")</f>
        <v xml:space="preserve"> </v>
      </c>
      <c r="J318" s="1" t="str">
        <f>IFERROR(VLOOKUP(EXPENSETBL4583[[#This Row],[OPERATION]],OPERATIONCOST,3,FALSE)," ")</f>
        <v xml:space="preserve"> </v>
      </c>
      <c r="K318" t="str">
        <f>IF(EXPENSETBL4583[[#This Row],[UOM]]="acre",EXPENSETBL4583[[#This Row],[ACRES]]," ")</f>
        <v xml:space="preserve"> </v>
      </c>
      <c r="L318" s="17">
        <f t="shared" si="20"/>
        <v>1</v>
      </c>
      <c r="M318" s="17">
        <f t="shared" si="21"/>
        <v>0</v>
      </c>
      <c r="N318" s="1" t="str">
        <f>IFERROR((EXPENSETBL4583[[#This Row],[MCC.ENT]]*EXPENSETBL4583[[#This Row],[TOTAL]])," ")</f>
        <v xml:space="preserve"> </v>
      </c>
      <c r="O318" s="1" t="str">
        <f>IFERROR((EXPENSETBL4583[[#This Row],[L.L.]]*EXPENSETBL4583[[#This Row],[TOTAL]])," ")</f>
        <v xml:space="preserve"> </v>
      </c>
      <c r="P318" s="1" t="str">
        <f>IFERROR((EXPENSETBL4583[[#This Row],[QTY]]*EXPENSETBL4583[[#This Row],[$/UOM]])," ")</f>
        <v xml:space="preserve"> </v>
      </c>
      <c r="Q318" s="1"/>
      <c r="R318">
        <v>2022</v>
      </c>
    </row>
    <row r="319" spans="5:18" hidden="1" x14ac:dyDescent="0.25">
      <c r="E319" t="e">
        <f>VLOOKUP(EXPENSETBL4583[[#This Row],[FIELD]],FFTBL[[Field]:[Acres]],2,FALSE)</f>
        <v>#N/A</v>
      </c>
      <c r="I319" t="str">
        <f>IFERROR(VLOOKUP(EXPENSETBL4583[[#This Row],[OPERATION]],OPERATIONCOST,2,FALSE)," ")</f>
        <v xml:space="preserve"> </v>
      </c>
      <c r="J319" s="1" t="str">
        <f>IFERROR(VLOOKUP(EXPENSETBL4583[[#This Row],[OPERATION]],OPERATIONCOST,3,FALSE)," ")</f>
        <v xml:space="preserve"> </v>
      </c>
      <c r="K319" t="str">
        <f>IF(EXPENSETBL4583[[#This Row],[UOM]]="acre",EXPENSETBL4583[[#This Row],[ACRES]]," ")</f>
        <v xml:space="preserve"> </v>
      </c>
      <c r="L319" s="17">
        <f t="shared" si="20"/>
        <v>1</v>
      </c>
      <c r="M319" s="17">
        <f t="shared" si="21"/>
        <v>0</v>
      </c>
      <c r="N319" s="1" t="str">
        <f>IFERROR((EXPENSETBL4583[[#This Row],[MCC.ENT]]*EXPENSETBL4583[[#This Row],[TOTAL]])," ")</f>
        <v xml:space="preserve"> </v>
      </c>
      <c r="O319" s="1" t="str">
        <f>IFERROR((EXPENSETBL4583[[#This Row],[L.L.]]*EXPENSETBL4583[[#This Row],[TOTAL]])," ")</f>
        <v xml:space="preserve"> </v>
      </c>
      <c r="P319" s="1" t="str">
        <f>IFERROR((EXPENSETBL4583[[#This Row],[QTY]]*EXPENSETBL4583[[#This Row],[$/UOM]])," ")</f>
        <v xml:space="preserve"> </v>
      </c>
      <c r="Q319" s="1"/>
      <c r="R319">
        <v>2022</v>
      </c>
    </row>
    <row r="320" spans="5:18" hidden="1" x14ac:dyDescent="0.25">
      <c r="E320" t="e">
        <f>VLOOKUP(EXPENSETBL4583[[#This Row],[FIELD]],FFTBL[[Field]:[Acres]],2,FALSE)</f>
        <v>#N/A</v>
      </c>
      <c r="I320" t="str">
        <f>IFERROR(VLOOKUP(EXPENSETBL4583[[#This Row],[OPERATION]],OPERATIONCOST,2,FALSE)," ")</f>
        <v xml:space="preserve"> </v>
      </c>
      <c r="J320" s="1" t="str">
        <f>IFERROR(VLOOKUP(EXPENSETBL4583[[#This Row],[OPERATION]],OPERATIONCOST,3,FALSE)," ")</f>
        <v xml:space="preserve"> </v>
      </c>
      <c r="K320" t="str">
        <f>IF(EXPENSETBL4583[[#This Row],[UOM]]="acre",EXPENSETBL4583[[#This Row],[ACRES]]," ")</f>
        <v xml:space="preserve"> </v>
      </c>
      <c r="L320" s="17">
        <f t="shared" si="20"/>
        <v>1</v>
      </c>
      <c r="M320" s="17">
        <f t="shared" si="21"/>
        <v>0</v>
      </c>
      <c r="N320" s="1" t="str">
        <f>IFERROR((EXPENSETBL4583[[#This Row],[MCC.ENT]]*EXPENSETBL4583[[#This Row],[TOTAL]])," ")</f>
        <v xml:space="preserve"> </v>
      </c>
      <c r="O320" s="1" t="str">
        <f>IFERROR((EXPENSETBL4583[[#This Row],[L.L.]]*EXPENSETBL4583[[#This Row],[TOTAL]])," ")</f>
        <v xml:space="preserve"> </v>
      </c>
      <c r="P320" s="1" t="str">
        <f>IFERROR((EXPENSETBL4583[[#This Row],[QTY]]*EXPENSETBL4583[[#This Row],[$/UOM]])," ")</f>
        <v xml:space="preserve"> </v>
      </c>
      <c r="Q320" s="1"/>
      <c r="R320">
        <v>2022</v>
      </c>
    </row>
    <row r="321" spans="5:18" hidden="1" x14ac:dyDescent="0.25">
      <c r="E321" t="e">
        <f>VLOOKUP(EXPENSETBL4583[[#This Row],[FIELD]],FFTBL[[Field]:[Acres]],2,FALSE)</f>
        <v>#N/A</v>
      </c>
      <c r="I321" t="str">
        <f>IFERROR(VLOOKUP(EXPENSETBL4583[[#This Row],[OPERATION]],OPERATIONCOST,2,FALSE)," ")</f>
        <v xml:space="preserve"> </v>
      </c>
      <c r="J321" s="1" t="str">
        <f>IFERROR(VLOOKUP(EXPENSETBL4583[[#This Row],[OPERATION]],OPERATIONCOST,3,FALSE)," ")</f>
        <v xml:space="preserve"> </v>
      </c>
      <c r="K321" t="str">
        <f>IF(EXPENSETBL4583[[#This Row],[UOM]]="acre",EXPENSETBL4583[[#This Row],[ACRES]]," ")</f>
        <v xml:space="preserve"> </v>
      </c>
      <c r="L321" s="17">
        <f t="shared" ref="L321:L413" si="22">IF(G321="SPLIT",0.65,1)</f>
        <v>1</v>
      </c>
      <c r="M321" s="17">
        <f t="shared" ref="M321:M413" si="23">IF(G321="SPLIT",0.35,0)</f>
        <v>0</v>
      </c>
      <c r="N321" s="1" t="str">
        <f>IFERROR((EXPENSETBL4583[[#This Row],[MCC.ENT]]*EXPENSETBL4583[[#This Row],[TOTAL]])," ")</f>
        <v xml:space="preserve"> </v>
      </c>
      <c r="O321" s="1" t="str">
        <f>IFERROR((EXPENSETBL4583[[#This Row],[L.L.]]*EXPENSETBL4583[[#This Row],[TOTAL]])," ")</f>
        <v xml:space="preserve"> </v>
      </c>
      <c r="P321" s="1" t="str">
        <f>IFERROR((EXPENSETBL4583[[#This Row],[QTY]]*EXPENSETBL4583[[#This Row],[$/UOM]])," ")</f>
        <v xml:space="preserve"> </v>
      </c>
      <c r="Q321" s="1"/>
      <c r="R321">
        <v>2022</v>
      </c>
    </row>
    <row r="322" spans="5:18" hidden="1" x14ac:dyDescent="0.25">
      <c r="E322" t="e">
        <f>VLOOKUP(EXPENSETBL4583[[#This Row],[FIELD]],FFTBL[[Field]:[Acres]],2,FALSE)</f>
        <v>#N/A</v>
      </c>
      <c r="I322" t="str">
        <f>IFERROR(VLOOKUP(EXPENSETBL4583[[#This Row],[OPERATION]],OPERATIONCOST,2,FALSE)," ")</f>
        <v xml:space="preserve"> </v>
      </c>
      <c r="J322" s="1" t="str">
        <f>IFERROR(VLOOKUP(EXPENSETBL4583[[#This Row],[OPERATION]],OPERATIONCOST,3,FALSE)," ")</f>
        <v xml:space="preserve"> </v>
      </c>
      <c r="K322" t="str">
        <f>IF(EXPENSETBL4583[[#This Row],[UOM]]="acre",EXPENSETBL4583[[#This Row],[ACRES]]," ")</f>
        <v xml:space="preserve"> </v>
      </c>
      <c r="L322" s="17">
        <f t="shared" si="22"/>
        <v>1</v>
      </c>
      <c r="M322" s="17">
        <f t="shared" si="23"/>
        <v>0</v>
      </c>
      <c r="N322" s="1" t="str">
        <f>IFERROR((EXPENSETBL4583[[#This Row],[MCC.ENT]]*EXPENSETBL4583[[#This Row],[TOTAL]])," ")</f>
        <v xml:space="preserve"> </v>
      </c>
      <c r="O322" s="1" t="str">
        <f>IFERROR((EXPENSETBL4583[[#This Row],[L.L.]]*EXPENSETBL4583[[#This Row],[TOTAL]])," ")</f>
        <v xml:space="preserve"> </v>
      </c>
      <c r="P322" s="1" t="str">
        <f>IFERROR((EXPENSETBL4583[[#This Row],[QTY]]*EXPENSETBL4583[[#This Row],[$/UOM]])," ")</f>
        <v xml:space="preserve"> </v>
      </c>
      <c r="Q322" s="1"/>
      <c r="R322">
        <v>2022</v>
      </c>
    </row>
    <row r="323" spans="5:18" hidden="1" x14ac:dyDescent="0.25">
      <c r="E323" t="e">
        <f>VLOOKUP(EXPENSETBL4583[[#This Row],[FIELD]],FFTBL[[Field]:[Acres]],2,FALSE)</f>
        <v>#N/A</v>
      </c>
      <c r="I323" t="str">
        <f>IFERROR(VLOOKUP(EXPENSETBL4583[[#This Row],[OPERATION]],OPERATIONCOST,2,FALSE)," ")</f>
        <v xml:space="preserve"> </v>
      </c>
      <c r="J323" s="1" t="str">
        <f>IFERROR(VLOOKUP(EXPENSETBL4583[[#This Row],[OPERATION]],OPERATIONCOST,3,FALSE)," ")</f>
        <v xml:space="preserve"> </v>
      </c>
      <c r="K323" t="str">
        <f>IF(EXPENSETBL4583[[#This Row],[UOM]]="acre",EXPENSETBL4583[[#This Row],[ACRES]]," ")</f>
        <v xml:space="preserve"> </v>
      </c>
      <c r="L323" s="17">
        <f t="shared" si="22"/>
        <v>1</v>
      </c>
      <c r="M323" s="17">
        <f t="shared" si="23"/>
        <v>0</v>
      </c>
      <c r="N323" s="1" t="str">
        <f>IFERROR((EXPENSETBL4583[[#This Row],[MCC.ENT]]*EXPENSETBL4583[[#This Row],[TOTAL]])," ")</f>
        <v xml:space="preserve"> </v>
      </c>
      <c r="O323" s="1" t="str">
        <f>IFERROR((EXPENSETBL4583[[#This Row],[L.L.]]*EXPENSETBL4583[[#This Row],[TOTAL]])," ")</f>
        <v xml:space="preserve"> </v>
      </c>
      <c r="P323" s="1" t="str">
        <f>IFERROR((EXPENSETBL4583[[#This Row],[QTY]]*EXPENSETBL4583[[#This Row],[$/UOM]])," ")</f>
        <v xml:space="preserve"> </v>
      </c>
      <c r="Q323" s="1"/>
      <c r="R323">
        <v>2022</v>
      </c>
    </row>
    <row r="324" spans="5:18" hidden="1" x14ac:dyDescent="0.25">
      <c r="E324" t="e">
        <f>VLOOKUP(EXPENSETBL4583[[#This Row],[FIELD]],FFTBL[[Field]:[Acres]],2,FALSE)</f>
        <v>#N/A</v>
      </c>
      <c r="I324" t="str">
        <f>IFERROR(VLOOKUP(EXPENSETBL4583[[#This Row],[OPERATION]],OPERATIONCOST,2,FALSE)," ")</f>
        <v xml:space="preserve"> </v>
      </c>
      <c r="J324" s="1" t="str">
        <f>IFERROR(VLOOKUP(EXPENSETBL4583[[#This Row],[OPERATION]],OPERATIONCOST,3,FALSE)," ")</f>
        <v xml:space="preserve"> </v>
      </c>
      <c r="K324" t="str">
        <f>IF(EXPENSETBL4583[[#This Row],[UOM]]="acre",EXPENSETBL4583[[#This Row],[ACRES]]," ")</f>
        <v xml:space="preserve"> </v>
      </c>
      <c r="L324" s="17">
        <f t="shared" si="22"/>
        <v>1</v>
      </c>
      <c r="M324" s="17">
        <f t="shared" si="23"/>
        <v>0</v>
      </c>
      <c r="N324" s="1" t="str">
        <f>IFERROR((EXPENSETBL4583[[#This Row],[MCC.ENT]]*EXPENSETBL4583[[#This Row],[TOTAL]])," ")</f>
        <v xml:space="preserve"> </v>
      </c>
      <c r="O324" s="1" t="str">
        <f>IFERROR((EXPENSETBL4583[[#This Row],[L.L.]]*EXPENSETBL4583[[#This Row],[TOTAL]])," ")</f>
        <v xml:space="preserve"> </v>
      </c>
      <c r="P324" s="1" t="str">
        <f>IFERROR((EXPENSETBL4583[[#This Row],[QTY]]*EXPENSETBL4583[[#This Row],[$/UOM]])," ")</f>
        <v xml:space="preserve"> </v>
      </c>
      <c r="Q324" s="1"/>
      <c r="R324">
        <v>2022</v>
      </c>
    </row>
    <row r="325" spans="5:18" hidden="1" x14ac:dyDescent="0.25">
      <c r="E325" t="e">
        <f>VLOOKUP(EXPENSETBL4583[[#This Row],[FIELD]],FFTBL[[Field]:[Acres]],2,FALSE)</f>
        <v>#N/A</v>
      </c>
      <c r="I325" t="str">
        <f>IFERROR(VLOOKUP(EXPENSETBL4583[[#This Row],[OPERATION]],OPERATIONCOST,2,FALSE)," ")</f>
        <v xml:space="preserve"> </v>
      </c>
      <c r="J325" s="1" t="str">
        <f>IFERROR(VLOOKUP(EXPENSETBL4583[[#This Row],[OPERATION]],OPERATIONCOST,3,FALSE)," ")</f>
        <v xml:space="preserve"> </v>
      </c>
      <c r="K325" t="str">
        <f>IF(EXPENSETBL4583[[#This Row],[UOM]]="acre",EXPENSETBL4583[[#This Row],[ACRES]]," ")</f>
        <v xml:space="preserve"> </v>
      </c>
      <c r="L325" s="17">
        <f t="shared" si="22"/>
        <v>1</v>
      </c>
      <c r="M325" s="17">
        <f t="shared" si="23"/>
        <v>0</v>
      </c>
      <c r="N325" s="1" t="str">
        <f>IFERROR((EXPENSETBL4583[[#This Row],[MCC.ENT]]*EXPENSETBL4583[[#This Row],[TOTAL]])," ")</f>
        <v xml:space="preserve"> </v>
      </c>
      <c r="O325" s="1" t="str">
        <f>IFERROR((EXPENSETBL4583[[#This Row],[L.L.]]*EXPENSETBL4583[[#This Row],[TOTAL]])," ")</f>
        <v xml:space="preserve"> </v>
      </c>
      <c r="P325" s="1" t="str">
        <f>IFERROR((EXPENSETBL4583[[#This Row],[QTY]]*EXPENSETBL4583[[#This Row],[$/UOM]])," ")</f>
        <v xml:space="preserve"> </v>
      </c>
      <c r="Q325" s="1"/>
      <c r="R325">
        <v>2022</v>
      </c>
    </row>
    <row r="326" spans="5:18" hidden="1" x14ac:dyDescent="0.25">
      <c r="E326" t="e">
        <f>VLOOKUP(EXPENSETBL4583[[#This Row],[FIELD]],FFTBL[[Field]:[Acres]],2,FALSE)</f>
        <v>#N/A</v>
      </c>
      <c r="I326" t="str">
        <f>IFERROR(VLOOKUP(EXPENSETBL4583[[#This Row],[OPERATION]],OPERATIONCOST,2,FALSE)," ")</f>
        <v xml:space="preserve"> </v>
      </c>
      <c r="J326" s="1" t="str">
        <f>IFERROR(VLOOKUP(EXPENSETBL4583[[#This Row],[OPERATION]],OPERATIONCOST,3,FALSE)," ")</f>
        <v xml:space="preserve"> </v>
      </c>
      <c r="K326" t="str">
        <f>IF(EXPENSETBL4583[[#This Row],[UOM]]="acre",EXPENSETBL4583[[#This Row],[ACRES]]," ")</f>
        <v xml:space="preserve"> </v>
      </c>
      <c r="L326" s="17">
        <f t="shared" si="22"/>
        <v>1</v>
      </c>
      <c r="M326" s="17">
        <f t="shared" si="23"/>
        <v>0</v>
      </c>
      <c r="N326" s="1" t="str">
        <f>IFERROR((EXPENSETBL4583[[#This Row],[MCC.ENT]]*EXPENSETBL4583[[#This Row],[TOTAL]])," ")</f>
        <v xml:space="preserve"> </v>
      </c>
      <c r="O326" s="1" t="str">
        <f>IFERROR((EXPENSETBL4583[[#This Row],[L.L.]]*EXPENSETBL4583[[#This Row],[TOTAL]])," ")</f>
        <v xml:space="preserve"> </v>
      </c>
      <c r="P326" s="1" t="str">
        <f>IFERROR((EXPENSETBL4583[[#This Row],[QTY]]*EXPENSETBL4583[[#This Row],[$/UOM]])," ")</f>
        <v xml:space="preserve"> </v>
      </c>
      <c r="Q326" s="1"/>
      <c r="R326">
        <v>2022</v>
      </c>
    </row>
    <row r="327" spans="5:18" hidden="1" x14ac:dyDescent="0.25">
      <c r="E327" t="e">
        <f>VLOOKUP(EXPENSETBL4583[[#This Row],[FIELD]],FFTBL[[Field]:[Acres]],2,FALSE)</f>
        <v>#N/A</v>
      </c>
      <c r="I327" t="str">
        <f>IFERROR(VLOOKUP(EXPENSETBL4583[[#This Row],[OPERATION]],OPERATIONCOST,2,FALSE)," ")</f>
        <v xml:space="preserve"> </v>
      </c>
      <c r="J327" s="1" t="str">
        <f>IFERROR(VLOOKUP(EXPENSETBL4583[[#This Row],[OPERATION]],OPERATIONCOST,3,FALSE)," ")</f>
        <v xml:space="preserve"> </v>
      </c>
      <c r="K327" t="str">
        <f>IF(EXPENSETBL4583[[#This Row],[UOM]]="acre",EXPENSETBL4583[[#This Row],[ACRES]]," ")</f>
        <v xml:space="preserve"> </v>
      </c>
      <c r="L327" s="17">
        <f t="shared" si="22"/>
        <v>1</v>
      </c>
      <c r="M327" s="17">
        <f t="shared" si="23"/>
        <v>0</v>
      </c>
      <c r="N327" s="1" t="str">
        <f>IFERROR((EXPENSETBL4583[[#This Row],[MCC.ENT]]*EXPENSETBL4583[[#This Row],[TOTAL]])," ")</f>
        <v xml:space="preserve"> </v>
      </c>
      <c r="O327" s="1" t="str">
        <f>IFERROR((EXPENSETBL4583[[#This Row],[L.L.]]*EXPENSETBL4583[[#This Row],[TOTAL]])," ")</f>
        <v xml:space="preserve"> </v>
      </c>
      <c r="P327" s="1" t="str">
        <f>IFERROR((EXPENSETBL4583[[#This Row],[QTY]]*EXPENSETBL4583[[#This Row],[$/UOM]])," ")</f>
        <v xml:space="preserve"> </v>
      </c>
      <c r="Q327" s="1"/>
      <c r="R327">
        <v>2022</v>
      </c>
    </row>
    <row r="328" spans="5:18" hidden="1" x14ac:dyDescent="0.25">
      <c r="E328" t="e">
        <f>VLOOKUP(EXPENSETBL4583[[#This Row],[FIELD]],FFTBL[[Field]:[Acres]],2,FALSE)</f>
        <v>#N/A</v>
      </c>
      <c r="I328" t="str">
        <f>IFERROR(VLOOKUP(EXPENSETBL4583[[#This Row],[OPERATION]],OPERATIONCOST,2,FALSE)," ")</f>
        <v xml:space="preserve"> </v>
      </c>
      <c r="J328" s="1" t="str">
        <f>IFERROR(VLOOKUP(EXPENSETBL4583[[#This Row],[OPERATION]],OPERATIONCOST,3,FALSE)," ")</f>
        <v xml:space="preserve"> </v>
      </c>
      <c r="K328" t="str">
        <f>IF(EXPENSETBL4583[[#This Row],[UOM]]="acre",EXPENSETBL4583[[#This Row],[ACRES]]," ")</f>
        <v xml:space="preserve"> </v>
      </c>
      <c r="L328" s="17">
        <f t="shared" si="22"/>
        <v>1</v>
      </c>
      <c r="M328" s="17">
        <f t="shared" si="23"/>
        <v>0</v>
      </c>
      <c r="N328" s="1" t="str">
        <f>IFERROR((EXPENSETBL4583[[#This Row],[MCC.ENT]]*EXPENSETBL4583[[#This Row],[TOTAL]])," ")</f>
        <v xml:space="preserve"> </v>
      </c>
      <c r="O328" s="1" t="str">
        <f>IFERROR((EXPENSETBL4583[[#This Row],[L.L.]]*EXPENSETBL4583[[#This Row],[TOTAL]])," ")</f>
        <v xml:space="preserve"> </v>
      </c>
      <c r="P328" s="1" t="str">
        <f>IFERROR((EXPENSETBL4583[[#This Row],[QTY]]*EXPENSETBL4583[[#This Row],[$/UOM]])," ")</f>
        <v xml:space="preserve"> </v>
      </c>
      <c r="Q328" s="1"/>
      <c r="R328">
        <v>2022</v>
      </c>
    </row>
    <row r="329" spans="5:18" hidden="1" x14ac:dyDescent="0.25">
      <c r="E329" t="e">
        <f>VLOOKUP(EXPENSETBL4583[[#This Row],[FIELD]],FFTBL[[Field]:[Acres]],2,FALSE)</f>
        <v>#N/A</v>
      </c>
      <c r="I329" t="str">
        <f>IFERROR(VLOOKUP(EXPENSETBL4583[[#This Row],[OPERATION]],OPERATIONCOST,2,FALSE)," ")</f>
        <v xml:space="preserve"> </v>
      </c>
      <c r="J329" s="1" t="str">
        <f>IFERROR(VLOOKUP(EXPENSETBL4583[[#This Row],[OPERATION]],OPERATIONCOST,3,FALSE)," ")</f>
        <v xml:space="preserve"> </v>
      </c>
      <c r="K329" t="str">
        <f>IF(EXPENSETBL4583[[#This Row],[UOM]]="acre",EXPENSETBL4583[[#This Row],[ACRES]]," ")</f>
        <v xml:space="preserve"> </v>
      </c>
      <c r="L329" s="17">
        <f t="shared" si="22"/>
        <v>1</v>
      </c>
      <c r="M329" s="17">
        <f t="shared" si="23"/>
        <v>0</v>
      </c>
      <c r="N329" s="1" t="str">
        <f>IFERROR((EXPENSETBL4583[[#This Row],[MCC.ENT]]*EXPENSETBL4583[[#This Row],[TOTAL]])," ")</f>
        <v xml:space="preserve"> </v>
      </c>
      <c r="O329" s="1" t="str">
        <f>IFERROR((EXPENSETBL4583[[#This Row],[L.L.]]*EXPENSETBL4583[[#This Row],[TOTAL]])," ")</f>
        <v xml:space="preserve"> </v>
      </c>
      <c r="P329" s="1" t="str">
        <f>IFERROR((EXPENSETBL4583[[#This Row],[QTY]]*EXPENSETBL4583[[#This Row],[$/UOM]])," ")</f>
        <v xml:space="preserve"> </v>
      </c>
      <c r="Q329" s="1"/>
      <c r="R329">
        <v>2022</v>
      </c>
    </row>
    <row r="330" spans="5:18" hidden="1" x14ac:dyDescent="0.25">
      <c r="E330" t="e">
        <f>VLOOKUP(EXPENSETBL4583[[#This Row],[FIELD]],FFTBL[[Field]:[Acres]],2,FALSE)</f>
        <v>#N/A</v>
      </c>
      <c r="I330" t="str">
        <f>IFERROR(VLOOKUP(EXPENSETBL4583[[#This Row],[OPERATION]],OPERATIONCOST,2,FALSE)," ")</f>
        <v xml:space="preserve"> </v>
      </c>
      <c r="J330" s="1" t="str">
        <f>IFERROR(VLOOKUP(EXPENSETBL4583[[#This Row],[OPERATION]],OPERATIONCOST,3,FALSE)," ")</f>
        <v xml:space="preserve"> </v>
      </c>
      <c r="K330" t="str">
        <f>IF(EXPENSETBL4583[[#This Row],[UOM]]="acre",EXPENSETBL4583[[#This Row],[ACRES]]," ")</f>
        <v xml:space="preserve"> </v>
      </c>
      <c r="L330" s="17">
        <f t="shared" si="22"/>
        <v>1</v>
      </c>
      <c r="M330" s="17">
        <f t="shared" si="23"/>
        <v>0</v>
      </c>
      <c r="N330" s="1" t="str">
        <f>IFERROR((EXPENSETBL4583[[#This Row],[MCC.ENT]]*EXPENSETBL4583[[#This Row],[TOTAL]])," ")</f>
        <v xml:space="preserve"> </v>
      </c>
      <c r="O330" s="1" t="str">
        <f>IFERROR((EXPENSETBL4583[[#This Row],[L.L.]]*EXPENSETBL4583[[#This Row],[TOTAL]])," ")</f>
        <v xml:space="preserve"> </v>
      </c>
      <c r="P330" s="1" t="str">
        <f>IFERROR((EXPENSETBL4583[[#This Row],[QTY]]*EXPENSETBL4583[[#This Row],[$/UOM]])," ")</f>
        <v xml:space="preserve"> </v>
      </c>
      <c r="Q330" s="1"/>
      <c r="R330" s="1"/>
    </row>
    <row r="331" spans="5:18" hidden="1" x14ac:dyDescent="0.25">
      <c r="E331" t="e">
        <f>VLOOKUP(EXPENSETBL4583[[#This Row],[FIELD]],FFTBL[[Field]:[Acres]],2,FALSE)</f>
        <v>#N/A</v>
      </c>
      <c r="I331" t="str">
        <f>IFERROR(VLOOKUP(EXPENSETBL4583[[#This Row],[OPERATION]],OPERATIONCOST,2,FALSE)," ")</f>
        <v xml:space="preserve"> </v>
      </c>
      <c r="J331" s="1" t="str">
        <f>IFERROR(VLOOKUP(EXPENSETBL4583[[#This Row],[OPERATION]],OPERATIONCOST,3,FALSE)," ")</f>
        <v xml:space="preserve"> </v>
      </c>
      <c r="K331" t="str">
        <f>IF(EXPENSETBL4583[[#This Row],[UOM]]="acre",EXPENSETBL4583[[#This Row],[ACRES]]," ")</f>
        <v xml:space="preserve"> </v>
      </c>
      <c r="L331" s="17">
        <f t="shared" si="22"/>
        <v>1</v>
      </c>
      <c r="M331" s="17">
        <f t="shared" si="23"/>
        <v>0</v>
      </c>
      <c r="N331" s="1" t="str">
        <f>IFERROR((EXPENSETBL4583[[#This Row],[MCC.ENT]]*EXPENSETBL4583[[#This Row],[TOTAL]])," ")</f>
        <v xml:space="preserve"> </v>
      </c>
      <c r="O331" s="1" t="str">
        <f>IFERROR((EXPENSETBL4583[[#This Row],[L.L.]]*EXPENSETBL4583[[#This Row],[TOTAL]])," ")</f>
        <v xml:space="preserve"> </v>
      </c>
      <c r="P331" s="1" t="str">
        <f>IFERROR((EXPENSETBL4583[[#This Row],[QTY]]*EXPENSETBL4583[[#This Row],[$/UOM]])," ")</f>
        <v xml:space="preserve"> </v>
      </c>
      <c r="Q331" s="1"/>
      <c r="R331" s="1"/>
    </row>
    <row r="332" spans="5:18" hidden="1" x14ac:dyDescent="0.25">
      <c r="E332" t="e">
        <f>VLOOKUP(EXPENSETBL4583[[#This Row],[FIELD]],FFTBL[[Field]:[Acres]],2,FALSE)</f>
        <v>#N/A</v>
      </c>
      <c r="I332" t="str">
        <f>IFERROR(VLOOKUP(EXPENSETBL4583[[#This Row],[OPERATION]],OPERATIONCOST,2,FALSE)," ")</f>
        <v xml:space="preserve"> </v>
      </c>
      <c r="J332" s="1" t="str">
        <f>IFERROR(VLOOKUP(EXPENSETBL4583[[#This Row],[OPERATION]],OPERATIONCOST,3,FALSE)," ")</f>
        <v xml:space="preserve"> </v>
      </c>
      <c r="K332" t="str">
        <f>IF(EXPENSETBL4583[[#This Row],[UOM]]="acre",EXPENSETBL4583[[#This Row],[ACRES]]," ")</f>
        <v xml:space="preserve"> </v>
      </c>
      <c r="L332" s="17">
        <f t="shared" si="22"/>
        <v>1</v>
      </c>
      <c r="M332" s="17">
        <f t="shared" si="23"/>
        <v>0</v>
      </c>
      <c r="N332" s="1" t="str">
        <f>IFERROR((EXPENSETBL4583[[#This Row],[MCC.ENT]]*EXPENSETBL4583[[#This Row],[TOTAL]])," ")</f>
        <v xml:space="preserve"> </v>
      </c>
      <c r="O332" s="1" t="str">
        <f>IFERROR((EXPENSETBL4583[[#This Row],[L.L.]]*EXPENSETBL4583[[#This Row],[TOTAL]])," ")</f>
        <v xml:space="preserve"> </v>
      </c>
      <c r="P332" s="1" t="str">
        <f>IFERROR((EXPENSETBL4583[[#This Row],[QTY]]*EXPENSETBL4583[[#This Row],[$/UOM]])," ")</f>
        <v xml:space="preserve"> </v>
      </c>
      <c r="Q332" s="1"/>
      <c r="R332" s="1"/>
    </row>
    <row r="333" spans="5:18" hidden="1" x14ac:dyDescent="0.25">
      <c r="E333" t="e">
        <f>VLOOKUP(EXPENSETBL4583[[#This Row],[FIELD]],FFTBL[[Field]:[Acres]],2,FALSE)</f>
        <v>#N/A</v>
      </c>
      <c r="I333" t="str">
        <f>IFERROR(VLOOKUP(EXPENSETBL4583[[#This Row],[OPERATION]],OPERATIONCOST,2,FALSE)," ")</f>
        <v xml:space="preserve"> </v>
      </c>
      <c r="J333" s="1" t="str">
        <f>IFERROR(VLOOKUP(EXPENSETBL4583[[#This Row],[OPERATION]],OPERATIONCOST,3,FALSE)," ")</f>
        <v xml:space="preserve"> </v>
      </c>
      <c r="K333" t="str">
        <f>IF(EXPENSETBL4583[[#This Row],[UOM]]="acre",EXPENSETBL4583[[#This Row],[ACRES]]," ")</f>
        <v xml:space="preserve"> </v>
      </c>
      <c r="L333" s="17">
        <f t="shared" si="22"/>
        <v>1</v>
      </c>
      <c r="M333" s="17">
        <f t="shared" si="23"/>
        <v>0</v>
      </c>
      <c r="N333" s="1" t="str">
        <f>IFERROR((EXPENSETBL4583[[#This Row],[MCC.ENT]]*EXPENSETBL4583[[#This Row],[TOTAL]])," ")</f>
        <v xml:space="preserve"> </v>
      </c>
      <c r="O333" s="1" t="str">
        <f>IFERROR((EXPENSETBL4583[[#This Row],[L.L.]]*EXPENSETBL4583[[#This Row],[TOTAL]])," ")</f>
        <v xml:space="preserve"> </v>
      </c>
      <c r="P333" s="1" t="str">
        <f>IFERROR((EXPENSETBL4583[[#This Row],[QTY]]*EXPENSETBL4583[[#This Row],[$/UOM]])," ")</f>
        <v xml:space="preserve"> </v>
      </c>
      <c r="Q333" s="1"/>
      <c r="R333" s="1"/>
    </row>
    <row r="334" spans="5:18" hidden="1" x14ac:dyDescent="0.25">
      <c r="E334" t="e">
        <f>VLOOKUP(EXPENSETBL4583[[#This Row],[FIELD]],FFTBL[[Field]:[Acres]],2,FALSE)</f>
        <v>#N/A</v>
      </c>
      <c r="I334" t="str">
        <f>IFERROR(VLOOKUP(EXPENSETBL4583[[#This Row],[OPERATION]],OPERATIONCOST,2,FALSE)," ")</f>
        <v xml:space="preserve"> </v>
      </c>
      <c r="J334" s="1" t="str">
        <f>IFERROR(VLOOKUP(EXPENSETBL4583[[#This Row],[OPERATION]],OPERATIONCOST,3,FALSE)," ")</f>
        <v xml:space="preserve"> </v>
      </c>
      <c r="K334" t="str">
        <f>IF(EXPENSETBL4583[[#This Row],[UOM]]="acre",EXPENSETBL4583[[#This Row],[ACRES]]," ")</f>
        <v xml:space="preserve"> </v>
      </c>
      <c r="L334" s="17">
        <f t="shared" si="22"/>
        <v>1</v>
      </c>
      <c r="M334" s="17">
        <f t="shared" si="23"/>
        <v>0</v>
      </c>
      <c r="N334" s="1" t="str">
        <f>IFERROR((EXPENSETBL4583[[#This Row],[MCC.ENT]]*EXPENSETBL4583[[#This Row],[TOTAL]])," ")</f>
        <v xml:space="preserve"> </v>
      </c>
      <c r="O334" s="1" t="str">
        <f>IFERROR((EXPENSETBL4583[[#This Row],[L.L.]]*EXPENSETBL4583[[#This Row],[TOTAL]])," ")</f>
        <v xml:space="preserve"> </v>
      </c>
      <c r="P334" s="1" t="str">
        <f>IFERROR((EXPENSETBL4583[[#This Row],[QTY]]*EXPENSETBL4583[[#This Row],[$/UOM]])," ")</f>
        <v xml:space="preserve"> </v>
      </c>
      <c r="Q334" s="1"/>
      <c r="R334" s="1"/>
    </row>
    <row r="335" spans="5:18" hidden="1" x14ac:dyDescent="0.25">
      <c r="E335" t="e">
        <f>VLOOKUP(EXPENSETBL4583[[#This Row],[FIELD]],FFTBL[[Field]:[Acres]],2,FALSE)</f>
        <v>#N/A</v>
      </c>
      <c r="I335" t="str">
        <f>IFERROR(VLOOKUP(EXPENSETBL4583[[#This Row],[OPERATION]],OPERATIONCOST,2,FALSE)," ")</f>
        <v xml:space="preserve"> </v>
      </c>
      <c r="J335" s="1" t="str">
        <f>IFERROR(VLOOKUP(EXPENSETBL4583[[#This Row],[OPERATION]],OPERATIONCOST,3,FALSE)," ")</f>
        <v xml:space="preserve"> </v>
      </c>
      <c r="K335" t="str">
        <f>IF(EXPENSETBL4583[[#This Row],[UOM]]="acre",EXPENSETBL4583[[#This Row],[ACRES]]," ")</f>
        <v xml:space="preserve"> </v>
      </c>
      <c r="L335" s="17">
        <f t="shared" si="22"/>
        <v>1</v>
      </c>
      <c r="M335" s="17">
        <f t="shared" si="23"/>
        <v>0</v>
      </c>
      <c r="N335" s="1" t="str">
        <f>IFERROR((EXPENSETBL4583[[#This Row],[MCC.ENT]]*EXPENSETBL4583[[#This Row],[TOTAL]])," ")</f>
        <v xml:space="preserve"> </v>
      </c>
      <c r="O335" s="1" t="str">
        <f>IFERROR((EXPENSETBL4583[[#This Row],[L.L.]]*EXPENSETBL4583[[#This Row],[TOTAL]])," ")</f>
        <v xml:space="preserve"> </v>
      </c>
      <c r="P335" s="1" t="str">
        <f>IFERROR((EXPENSETBL4583[[#This Row],[QTY]]*EXPENSETBL4583[[#This Row],[$/UOM]])," ")</f>
        <v xml:space="preserve"> </v>
      </c>
      <c r="Q335" s="1"/>
      <c r="R335" s="1"/>
    </row>
    <row r="336" spans="5:18" hidden="1" x14ac:dyDescent="0.25">
      <c r="E336" t="e">
        <f>VLOOKUP(EXPENSETBL4583[[#This Row],[FIELD]],FFTBL[[Field]:[Acres]],2,FALSE)</f>
        <v>#N/A</v>
      </c>
      <c r="I336" t="str">
        <f>IFERROR(VLOOKUP(EXPENSETBL4583[[#This Row],[OPERATION]],OPERATIONCOST,2,FALSE)," ")</f>
        <v xml:space="preserve"> </v>
      </c>
      <c r="J336" s="1" t="str">
        <f>IFERROR(VLOOKUP(EXPENSETBL4583[[#This Row],[OPERATION]],OPERATIONCOST,3,FALSE)," ")</f>
        <v xml:space="preserve"> </v>
      </c>
      <c r="K336" t="str">
        <f>IF(EXPENSETBL4583[[#This Row],[UOM]]="acre",EXPENSETBL4583[[#This Row],[ACRES]]," ")</f>
        <v xml:space="preserve"> </v>
      </c>
      <c r="L336" s="17">
        <f t="shared" si="22"/>
        <v>1</v>
      </c>
      <c r="M336" s="17">
        <f t="shared" si="23"/>
        <v>0</v>
      </c>
      <c r="N336" s="1" t="str">
        <f>IFERROR((EXPENSETBL4583[[#This Row],[MCC.ENT]]*EXPENSETBL4583[[#This Row],[TOTAL]])," ")</f>
        <v xml:space="preserve"> </v>
      </c>
      <c r="O336" s="1" t="str">
        <f>IFERROR((EXPENSETBL4583[[#This Row],[L.L.]]*EXPENSETBL4583[[#This Row],[TOTAL]])," ")</f>
        <v xml:space="preserve"> </v>
      </c>
      <c r="P336" s="1" t="str">
        <f>IFERROR((EXPENSETBL4583[[#This Row],[QTY]]*EXPENSETBL4583[[#This Row],[$/UOM]])," ")</f>
        <v xml:space="preserve"> </v>
      </c>
      <c r="Q336" s="1"/>
      <c r="R336" s="1"/>
    </row>
    <row r="337" spans="5:18" hidden="1" x14ac:dyDescent="0.25">
      <c r="E337" t="e">
        <f>VLOOKUP(EXPENSETBL4583[[#This Row],[FIELD]],FFTBL[[Field]:[Acres]],2,FALSE)</f>
        <v>#N/A</v>
      </c>
      <c r="I337" t="str">
        <f>IFERROR(VLOOKUP(EXPENSETBL4583[[#This Row],[OPERATION]],OPERATIONCOST,2,FALSE)," ")</f>
        <v xml:space="preserve"> </v>
      </c>
      <c r="J337" s="1" t="str">
        <f>IFERROR(VLOOKUP(EXPENSETBL4583[[#This Row],[OPERATION]],OPERATIONCOST,3,FALSE)," ")</f>
        <v xml:space="preserve"> </v>
      </c>
      <c r="K337" t="str">
        <f>IF(EXPENSETBL4583[[#This Row],[UOM]]="acre",EXPENSETBL4583[[#This Row],[ACRES]]," ")</f>
        <v xml:space="preserve"> </v>
      </c>
      <c r="L337" s="17">
        <f t="shared" si="22"/>
        <v>1</v>
      </c>
      <c r="M337" s="17">
        <f t="shared" si="23"/>
        <v>0</v>
      </c>
      <c r="N337" s="1" t="str">
        <f>IFERROR((EXPENSETBL4583[[#This Row],[MCC.ENT]]*EXPENSETBL4583[[#This Row],[TOTAL]])," ")</f>
        <v xml:space="preserve"> </v>
      </c>
      <c r="O337" s="1" t="str">
        <f>IFERROR((EXPENSETBL4583[[#This Row],[L.L.]]*EXPENSETBL4583[[#This Row],[TOTAL]])," ")</f>
        <v xml:space="preserve"> </v>
      </c>
      <c r="P337" s="1" t="str">
        <f>IFERROR((EXPENSETBL4583[[#This Row],[QTY]]*EXPENSETBL4583[[#This Row],[$/UOM]])," ")</f>
        <v xml:space="preserve"> </v>
      </c>
      <c r="Q337" s="1"/>
      <c r="R337" s="1"/>
    </row>
    <row r="338" spans="5:18" hidden="1" x14ac:dyDescent="0.25">
      <c r="E338" t="e">
        <f>VLOOKUP(EXPENSETBL4583[[#This Row],[FIELD]],FFTBL[[Field]:[Acres]],2,FALSE)</f>
        <v>#N/A</v>
      </c>
      <c r="I338" t="str">
        <f>IFERROR(VLOOKUP(EXPENSETBL4583[[#This Row],[OPERATION]],OPERATIONCOST,2,FALSE)," ")</f>
        <v xml:space="preserve"> </v>
      </c>
      <c r="J338" s="1" t="str">
        <f>IFERROR(VLOOKUP(EXPENSETBL4583[[#This Row],[OPERATION]],OPERATIONCOST,3,FALSE)," ")</f>
        <v xml:space="preserve"> </v>
      </c>
      <c r="K338" t="str">
        <f>IF(EXPENSETBL4583[[#This Row],[UOM]]="acre",EXPENSETBL4583[[#This Row],[ACRES]]," ")</f>
        <v xml:space="preserve"> </v>
      </c>
      <c r="L338" s="17">
        <f t="shared" si="22"/>
        <v>1</v>
      </c>
      <c r="M338" s="17">
        <f t="shared" si="23"/>
        <v>0</v>
      </c>
      <c r="N338" s="1" t="str">
        <f>IFERROR((EXPENSETBL4583[[#This Row],[MCC.ENT]]*EXPENSETBL4583[[#This Row],[TOTAL]])," ")</f>
        <v xml:space="preserve"> </v>
      </c>
      <c r="O338" s="1" t="str">
        <f>IFERROR((EXPENSETBL4583[[#This Row],[L.L.]]*EXPENSETBL4583[[#This Row],[TOTAL]])," ")</f>
        <v xml:space="preserve"> </v>
      </c>
      <c r="P338" s="1" t="str">
        <f>IFERROR((EXPENSETBL4583[[#This Row],[QTY]]*EXPENSETBL4583[[#This Row],[$/UOM]])," ")</f>
        <v xml:space="preserve"> </v>
      </c>
      <c r="Q338" s="1"/>
      <c r="R338" s="1"/>
    </row>
    <row r="339" spans="5:18" hidden="1" x14ac:dyDescent="0.25">
      <c r="E339" t="e">
        <f>VLOOKUP(EXPENSETBL4583[[#This Row],[FIELD]],FFTBL[[Field]:[Acres]],2,FALSE)</f>
        <v>#N/A</v>
      </c>
      <c r="I339" t="str">
        <f>IFERROR(VLOOKUP(EXPENSETBL4583[[#This Row],[OPERATION]],OPERATIONCOST,2,FALSE)," ")</f>
        <v xml:space="preserve"> </v>
      </c>
      <c r="J339" s="1" t="str">
        <f>IFERROR(VLOOKUP(EXPENSETBL4583[[#This Row],[OPERATION]],OPERATIONCOST,3,FALSE)," ")</f>
        <v xml:space="preserve"> </v>
      </c>
      <c r="K339" t="str">
        <f>IF(EXPENSETBL4583[[#This Row],[UOM]]="acre",EXPENSETBL4583[[#This Row],[ACRES]]," ")</f>
        <v xml:space="preserve"> </v>
      </c>
      <c r="L339" s="17">
        <f t="shared" si="22"/>
        <v>1</v>
      </c>
      <c r="M339" s="17">
        <f t="shared" si="23"/>
        <v>0</v>
      </c>
      <c r="N339" s="1" t="str">
        <f>IFERROR((EXPENSETBL4583[[#This Row],[MCC.ENT]]*EXPENSETBL4583[[#This Row],[TOTAL]])," ")</f>
        <v xml:space="preserve"> </v>
      </c>
      <c r="O339" s="1" t="str">
        <f>IFERROR((EXPENSETBL4583[[#This Row],[L.L.]]*EXPENSETBL4583[[#This Row],[TOTAL]])," ")</f>
        <v xml:space="preserve"> </v>
      </c>
      <c r="P339" s="1" t="str">
        <f>IFERROR((EXPENSETBL4583[[#This Row],[QTY]]*EXPENSETBL4583[[#This Row],[$/UOM]])," ")</f>
        <v xml:space="preserve"> </v>
      </c>
      <c r="Q339" s="1"/>
      <c r="R339" s="1"/>
    </row>
    <row r="340" spans="5:18" hidden="1" x14ac:dyDescent="0.25">
      <c r="E340" t="e">
        <f>VLOOKUP(EXPENSETBL4583[[#This Row],[FIELD]],FFTBL[[Field]:[Acres]],2,FALSE)</f>
        <v>#N/A</v>
      </c>
      <c r="I340" t="str">
        <f>IFERROR(VLOOKUP(EXPENSETBL4583[[#This Row],[OPERATION]],OPERATIONCOST,2,FALSE)," ")</f>
        <v xml:space="preserve"> </v>
      </c>
      <c r="J340" s="1" t="str">
        <f>IFERROR(VLOOKUP(EXPENSETBL4583[[#This Row],[OPERATION]],OPERATIONCOST,3,FALSE)," ")</f>
        <v xml:space="preserve"> </v>
      </c>
      <c r="K340" t="str">
        <f>IF(EXPENSETBL4583[[#This Row],[UOM]]="acre",EXPENSETBL4583[[#This Row],[ACRES]]," ")</f>
        <v xml:space="preserve"> </v>
      </c>
      <c r="L340" s="17">
        <f t="shared" si="22"/>
        <v>1</v>
      </c>
      <c r="M340" s="17">
        <f t="shared" si="23"/>
        <v>0</v>
      </c>
      <c r="N340" s="1" t="str">
        <f>IFERROR((EXPENSETBL4583[[#This Row],[MCC.ENT]]*EXPENSETBL4583[[#This Row],[TOTAL]])," ")</f>
        <v xml:space="preserve"> </v>
      </c>
      <c r="O340" s="1" t="str">
        <f>IFERROR((EXPENSETBL4583[[#This Row],[L.L.]]*EXPENSETBL4583[[#This Row],[TOTAL]])," ")</f>
        <v xml:space="preserve"> </v>
      </c>
      <c r="P340" s="1" t="str">
        <f>IFERROR((EXPENSETBL4583[[#This Row],[QTY]]*EXPENSETBL4583[[#This Row],[$/UOM]])," ")</f>
        <v xml:space="preserve"> </v>
      </c>
      <c r="Q340" s="1"/>
      <c r="R340" s="1"/>
    </row>
    <row r="341" spans="5:18" hidden="1" x14ac:dyDescent="0.25">
      <c r="E341" t="e">
        <f>VLOOKUP(EXPENSETBL4583[[#This Row],[FIELD]],FFTBL[[Field]:[Acres]],2,FALSE)</f>
        <v>#N/A</v>
      </c>
      <c r="I341" t="str">
        <f>IFERROR(VLOOKUP(EXPENSETBL4583[[#This Row],[OPERATION]],OPERATIONCOST,2,FALSE)," ")</f>
        <v xml:space="preserve"> </v>
      </c>
      <c r="J341" s="1" t="str">
        <f>IFERROR(VLOOKUP(EXPENSETBL4583[[#This Row],[OPERATION]],OPERATIONCOST,3,FALSE)," ")</f>
        <v xml:space="preserve"> </v>
      </c>
      <c r="K341" t="str">
        <f>IF(EXPENSETBL4583[[#This Row],[UOM]]="acre",EXPENSETBL4583[[#This Row],[ACRES]]," ")</f>
        <v xml:space="preserve"> </v>
      </c>
      <c r="L341" s="17">
        <f t="shared" si="22"/>
        <v>1</v>
      </c>
      <c r="M341" s="17">
        <f t="shared" si="23"/>
        <v>0</v>
      </c>
      <c r="N341" s="1" t="str">
        <f>IFERROR((EXPENSETBL4583[[#This Row],[MCC.ENT]]*EXPENSETBL4583[[#This Row],[TOTAL]])," ")</f>
        <v xml:space="preserve"> </v>
      </c>
      <c r="O341" s="1" t="str">
        <f>IFERROR((EXPENSETBL4583[[#This Row],[L.L.]]*EXPENSETBL4583[[#This Row],[TOTAL]])," ")</f>
        <v xml:space="preserve"> </v>
      </c>
      <c r="P341" s="1" t="str">
        <f>IFERROR((EXPENSETBL4583[[#This Row],[QTY]]*EXPENSETBL4583[[#This Row],[$/UOM]])," ")</f>
        <v xml:space="preserve"> </v>
      </c>
      <c r="Q341" s="1"/>
      <c r="R341" s="1"/>
    </row>
    <row r="342" spans="5:18" hidden="1" x14ac:dyDescent="0.25">
      <c r="E342" t="e">
        <f>VLOOKUP(EXPENSETBL4583[[#This Row],[FIELD]],FFTBL[[Field]:[Acres]],2,FALSE)</f>
        <v>#N/A</v>
      </c>
      <c r="I342" t="str">
        <f>IFERROR(VLOOKUP(EXPENSETBL4583[[#This Row],[OPERATION]],OPERATIONCOST,2,FALSE)," ")</f>
        <v xml:space="preserve"> </v>
      </c>
      <c r="J342" s="1" t="str">
        <f>IFERROR(VLOOKUP(EXPENSETBL4583[[#This Row],[OPERATION]],OPERATIONCOST,3,FALSE)," ")</f>
        <v xml:space="preserve"> </v>
      </c>
      <c r="K342" t="str">
        <f>IF(EXPENSETBL4583[[#This Row],[UOM]]="acre",EXPENSETBL4583[[#This Row],[ACRES]]," ")</f>
        <v xml:space="preserve"> </v>
      </c>
      <c r="L342" s="17">
        <f t="shared" si="22"/>
        <v>1</v>
      </c>
      <c r="M342" s="17">
        <f t="shared" si="23"/>
        <v>0</v>
      </c>
      <c r="N342" s="1" t="str">
        <f>IFERROR((EXPENSETBL4583[[#This Row],[MCC.ENT]]*EXPENSETBL4583[[#This Row],[TOTAL]])," ")</f>
        <v xml:space="preserve"> </v>
      </c>
      <c r="O342" s="1" t="str">
        <f>IFERROR((EXPENSETBL4583[[#This Row],[L.L.]]*EXPENSETBL4583[[#This Row],[TOTAL]])," ")</f>
        <v xml:space="preserve"> </v>
      </c>
      <c r="P342" s="1" t="str">
        <f>IFERROR((EXPENSETBL4583[[#This Row],[QTY]]*EXPENSETBL4583[[#This Row],[$/UOM]])," ")</f>
        <v xml:space="preserve"> </v>
      </c>
      <c r="Q342" s="1"/>
      <c r="R342" s="1"/>
    </row>
    <row r="343" spans="5:18" hidden="1" x14ac:dyDescent="0.25">
      <c r="E343" t="e">
        <f>VLOOKUP(EXPENSETBL4583[[#This Row],[FIELD]],FFTBL[[Field]:[Acres]],2,FALSE)</f>
        <v>#N/A</v>
      </c>
      <c r="I343" t="str">
        <f>IFERROR(VLOOKUP(EXPENSETBL4583[[#This Row],[OPERATION]],OPERATIONCOST,2,FALSE)," ")</f>
        <v xml:space="preserve"> </v>
      </c>
      <c r="J343" s="1" t="str">
        <f>IFERROR(VLOOKUP(EXPENSETBL4583[[#This Row],[OPERATION]],OPERATIONCOST,3,FALSE)," ")</f>
        <v xml:space="preserve"> </v>
      </c>
      <c r="K343" t="str">
        <f>IF(EXPENSETBL4583[[#This Row],[UOM]]="acre",EXPENSETBL4583[[#This Row],[ACRES]]," ")</f>
        <v xml:space="preserve"> </v>
      </c>
      <c r="L343" s="17">
        <f t="shared" si="22"/>
        <v>1</v>
      </c>
      <c r="M343" s="17">
        <f t="shared" si="23"/>
        <v>0</v>
      </c>
      <c r="N343" s="1" t="str">
        <f>IFERROR((EXPENSETBL4583[[#This Row],[MCC.ENT]]*EXPENSETBL4583[[#This Row],[TOTAL]])," ")</f>
        <v xml:space="preserve"> </v>
      </c>
      <c r="O343" s="1" t="str">
        <f>IFERROR((EXPENSETBL4583[[#This Row],[L.L.]]*EXPENSETBL4583[[#This Row],[TOTAL]])," ")</f>
        <v xml:space="preserve"> </v>
      </c>
      <c r="P343" s="1" t="str">
        <f>IFERROR((EXPENSETBL4583[[#This Row],[QTY]]*EXPENSETBL4583[[#This Row],[$/UOM]])," ")</f>
        <v xml:space="preserve"> </v>
      </c>
      <c r="Q343" s="1"/>
      <c r="R343" s="1"/>
    </row>
    <row r="344" spans="5:18" hidden="1" x14ac:dyDescent="0.25">
      <c r="E344" t="e">
        <f>VLOOKUP(EXPENSETBL4583[[#This Row],[FIELD]],FFTBL[[Field]:[Acres]],2,FALSE)</f>
        <v>#N/A</v>
      </c>
      <c r="I344" t="str">
        <f>IFERROR(VLOOKUP(EXPENSETBL4583[[#This Row],[OPERATION]],OPERATIONCOST,2,FALSE)," ")</f>
        <v xml:space="preserve"> </v>
      </c>
      <c r="J344" s="1" t="str">
        <f>IFERROR(VLOOKUP(EXPENSETBL4583[[#This Row],[OPERATION]],OPERATIONCOST,3,FALSE)," ")</f>
        <v xml:space="preserve"> </v>
      </c>
      <c r="K344" t="str">
        <f>IF(EXPENSETBL4583[[#This Row],[UOM]]="acre",EXPENSETBL4583[[#This Row],[ACRES]]," ")</f>
        <v xml:space="preserve"> </v>
      </c>
      <c r="L344" s="17">
        <f t="shared" si="22"/>
        <v>1</v>
      </c>
      <c r="M344" s="17">
        <f t="shared" si="23"/>
        <v>0</v>
      </c>
      <c r="N344" s="1" t="str">
        <f>IFERROR((EXPENSETBL4583[[#This Row],[MCC.ENT]]*EXPENSETBL4583[[#This Row],[TOTAL]])," ")</f>
        <v xml:space="preserve"> </v>
      </c>
      <c r="O344" s="1" t="str">
        <f>IFERROR((EXPENSETBL4583[[#This Row],[L.L.]]*EXPENSETBL4583[[#This Row],[TOTAL]])," ")</f>
        <v xml:space="preserve"> </v>
      </c>
      <c r="P344" s="1" t="str">
        <f>IFERROR((EXPENSETBL4583[[#This Row],[QTY]]*EXPENSETBL4583[[#This Row],[$/UOM]])," ")</f>
        <v xml:space="preserve"> </v>
      </c>
      <c r="Q344" s="1"/>
      <c r="R344" s="1"/>
    </row>
    <row r="345" spans="5:18" hidden="1" x14ac:dyDescent="0.25">
      <c r="E345" t="e">
        <f>VLOOKUP(EXPENSETBL4583[[#This Row],[FIELD]],FFTBL[[Field]:[Acres]],2,FALSE)</f>
        <v>#N/A</v>
      </c>
      <c r="I345" t="str">
        <f>IFERROR(VLOOKUP(EXPENSETBL4583[[#This Row],[OPERATION]],OPERATIONCOST,2,FALSE)," ")</f>
        <v xml:space="preserve"> </v>
      </c>
      <c r="J345" s="1" t="str">
        <f>IFERROR(VLOOKUP(EXPENSETBL4583[[#This Row],[OPERATION]],OPERATIONCOST,3,FALSE)," ")</f>
        <v xml:space="preserve"> </v>
      </c>
      <c r="K345" t="str">
        <f>IF(EXPENSETBL4583[[#This Row],[UOM]]="acre",EXPENSETBL4583[[#This Row],[ACRES]]," ")</f>
        <v xml:space="preserve"> </v>
      </c>
      <c r="L345" s="17">
        <f t="shared" si="22"/>
        <v>1</v>
      </c>
      <c r="M345" s="17">
        <f t="shared" si="23"/>
        <v>0</v>
      </c>
      <c r="N345" s="1" t="str">
        <f>IFERROR((EXPENSETBL4583[[#This Row],[MCC.ENT]]*EXPENSETBL4583[[#This Row],[TOTAL]])," ")</f>
        <v xml:space="preserve"> </v>
      </c>
      <c r="O345" s="1" t="str">
        <f>IFERROR((EXPENSETBL4583[[#This Row],[L.L.]]*EXPENSETBL4583[[#This Row],[TOTAL]])," ")</f>
        <v xml:space="preserve"> </v>
      </c>
      <c r="P345" s="1" t="str">
        <f>IFERROR((EXPENSETBL4583[[#This Row],[QTY]]*EXPENSETBL4583[[#This Row],[$/UOM]])," ")</f>
        <v xml:space="preserve"> </v>
      </c>
      <c r="Q345" s="1"/>
      <c r="R345" s="1"/>
    </row>
    <row r="346" spans="5:18" hidden="1" x14ac:dyDescent="0.25">
      <c r="E346" t="e">
        <f>VLOOKUP(EXPENSETBL4583[[#This Row],[FIELD]],FFTBL[[Field]:[Acres]],2,FALSE)</f>
        <v>#N/A</v>
      </c>
      <c r="I346" t="str">
        <f>IFERROR(VLOOKUP(EXPENSETBL4583[[#This Row],[OPERATION]],OPERATIONCOST,2,FALSE)," ")</f>
        <v xml:space="preserve"> </v>
      </c>
      <c r="J346" s="1" t="str">
        <f>IFERROR(VLOOKUP(EXPENSETBL4583[[#This Row],[OPERATION]],OPERATIONCOST,3,FALSE)," ")</f>
        <v xml:space="preserve"> </v>
      </c>
      <c r="K346" t="str">
        <f>IF(EXPENSETBL4583[[#This Row],[UOM]]="acre",EXPENSETBL4583[[#This Row],[ACRES]]," ")</f>
        <v xml:space="preserve"> </v>
      </c>
      <c r="L346" s="17">
        <f t="shared" si="22"/>
        <v>1</v>
      </c>
      <c r="M346" s="17">
        <f t="shared" si="23"/>
        <v>0</v>
      </c>
      <c r="N346" s="1" t="str">
        <f>IFERROR((EXPENSETBL4583[[#This Row],[MCC.ENT]]*EXPENSETBL4583[[#This Row],[TOTAL]])," ")</f>
        <v xml:space="preserve"> </v>
      </c>
      <c r="O346" s="1" t="str">
        <f>IFERROR((EXPENSETBL4583[[#This Row],[L.L.]]*EXPENSETBL4583[[#This Row],[TOTAL]])," ")</f>
        <v xml:space="preserve"> </v>
      </c>
      <c r="P346" s="1" t="str">
        <f>IFERROR((EXPENSETBL4583[[#This Row],[QTY]]*EXPENSETBL4583[[#This Row],[$/UOM]])," ")</f>
        <v xml:space="preserve"> </v>
      </c>
      <c r="Q346" s="1"/>
      <c r="R346" s="1"/>
    </row>
    <row r="347" spans="5:18" hidden="1" x14ac:dyDescent="0.25">
      <c r="E347" t="e">
        <f>VLOOKUP(EXPENSETBL4583[[#This Row],[FIELD]],FFTBL[[Field]:[Acres]],2,FALSE)</f>
        <v>#N/A</v>
      </c>
      <c r="I347" t="str">
        <f>IFERROR(VLOOKUP(EXPENSETBL4583[[#This Row],[OPERATION]],OPERATIONCOST,2,FALSE)," ")</f>
        <v xml:space="preserve"> </v>
      </c>
      <c r="J347" s="1" t="str">
        <f>IFERROR(VLOOKUP(EXPENSETBL4583[[#This Row],[OPERATION]],OPERATIONCOST,3,FALSE)," ")</f>
        <v xml:space="preserve"> </v>
      </c>
      <c r="K347" t="str">
        <f>IF(EXPENSETBL4583[[#This Row],[UOM]]="acre",EXPENSETBL4583[[#This Row],[ACRES]]," ")</f>
        <v xml:space="preserve"> </v>
      </c>
      <c r="L347" s="17">
        <f t="shared" si="22"/>
        <v>1</v>
      </c>
      <c r="M347" s="17">
        <f t="shared" si="23"/>
        <v>0</v>
      </c>
      <c r="N347" s="1" t="str">
        <f>IFERROR((EXPENSETBL4583[[#This Row],[MCC.ENT]]*EXPENSETBL4583[[#This Row],[TOTAL]])," ")</f>
        <v xml:space="preserve"> </v>
      </c>
      <c r="O347" s="1" t="str">
        <f>IFERROR((EXPENSETBL4583[[#This Row],[L.L.]]*EXPENSETBL4583[[#This Row],[TOTAL]])," ")</f>
        <v xml:space="preserve"> </v>
      </c>
      <c r="P347" s="1" t="str">
        <f>IFERROR((EXPENSETBL4583[[#This Row],[QTY]]*EXPENSETBL4583[[#This Row],[$/UOM]])," ")</f>
        <v xml:space="preserve"> </v>
      </c>
      <c r="Q347" s="1"/>
      <c r="R347" s="1"/>
    </row>
    <row r="348" spans="5:18" hidden="1" x14ac:dyDescent="0.25">
      <c r="E348" t="e">
        <f>VLOOKUP(EXPENSETBL4583[[#This Row],[FIELD]],FFTBL[[Field]:[Acres]],2,FALSE)</f>
        <v>#N/A</v>
      </c>
      <c r="I348" t="str">
        <f>IFERROR(VLOOKUP(EXPENSETBL4583[[#This Row],[OPERATION]],OPERATIONCOST,2,FALSE)," ")</f>
        <v xml:space="preserve"> </v>
      </c>
      <c r="J348" s="1" t="str">
        <f>IFERROR(VLOOKUP(EXPENSETBL4583[[#This Row],[OPERATION]],OPERATIONCOST,3,FALSE)," ")</f>
        <v xml:space="preserve"> </v>
      </c>
      <c r="K348" t="str">
        <f>IF(EXPENSETBL4583[[#This Row],[UOM]]="acre",EXPENSETBL4583[[#This Row],[ACRES]]," ")</f>
        <v xml:space="preserve"> </v>
      </c>
      <c r="L348" s="17">
        <f t="shared" si="22"/>
        <v>1</v>
      </c>
      <c r="M348" s="17">
        <f t="shared" si="23"/>
        <v>0</v>
      </c>
      <c r="N348" s="1" t="str">
        <f>IFERROR((EXPENSETBL4583[[#This Row],[MCC.ENT]]*EXPENSETBL4583[[#This Row],[TOTAL]])," ")</f>
        <v xml:space="preserve"> </v>
      </c>
      <c r="O348" s="1" t="str">
        <f>IFERROR((EXPENSETBL4583[[#This Row],[L.L.]]*EXPENSETBL4583[[#This Row],[TOTAL]])," ")</f>
        <v xml:space="preserve"> </v>
      </c>
      <c r="P348" s="1" t="str">
        <f>IFERROR((EXPENSETBL4583[[#This Row],[QTY]]*EXPENSETBL4583[[#This Row],[$/UOM]])," ")</f>
        <v xml:space="preserve"> </v>
      </c>
      <c r="Q348" s="1"/>
      <c r="R348" s="1"/>
    </row>
    <row r="349" spans="5:18" hidden="1" x14ac:dyDescent="0.25">
      <c r="E349" t="e">
        <f>VLOOKUP(EXPENSETBL4583[[#This Row],[FIELD]],FFTBL[[Field]:[Acres]],2,FALSE)</f>
        <v>#N/A</v>
      </c>
      <c r="I349" t="str">
        <f>IFERROR(VLOOKUP(EXPENSETBL4583[[#This Row],[OPERATION]],OPERATIONCOST,2,FALSE)," ")</f>
        <v xml:space="preserve"> </v>
      </c>
      <c r="J349" s="1" t="str">
        <f>IFERROR(VLOOKUP(EXPENSETBL4583[[#This Row],[OPERATION]],OPERATIONCOST,3,FALSE)," ")</f>
        <v xml:space="preserve"> </v>
      </c>
      <c r="K349" t="str">
        <f>IF(EXPENSETBL4583[[#This Row],[UOM]]="acre",EXPENSETBL4583[[#This Row],[ACRES]]," ")</f>
        <v xml:space="preserve"> </v>
      </c>
      <c r="L349" s="17">
        <f t="shared" si="22"/>
        <v>1</v>
      </c>
      <c r="M349" s="17">
        <f t="shared" si="23"/>
        <v>0</v>
      </c>
      <c r="N349" s="1" t="str">
        <f>IFERROR((EXPENSETBL4583[[#This Row],[MCC.ENT]]*EXPENSETBL4583[[#This Row],[TOTAL]])," ")</f>
        <v xml:space="preserve"> </v>
      </c>
      <c r="O349" s="1" t="str">
        <f>IFERROR((EXPENSETBL4583[[#This Row],[L.L.]]*EXPENSETBL4583[[#This Row],[TOTAL]])," ")</f>
        <v xml:space="preserve"> </v>
      </c>
      <c r="P349" s="1" t="str">
        <f>IFERROR((EXPENSETBL4583[[#This Row],[QTY]]*EXPENSETBL4583[[#This Row],[$/UOM]])," ")</f>
        <v xml:space="preserve"> </v>
      </c>
      <c r="Q349" s="1"/>
      <c r="R349" s="1"/>
    </row>
    <row r="350" spans="5:18" hidden="1" x14ac:dyDescent="0.25">
      <c r="E350" t="e">
        <f>VLOOKUP(EXPENSETBL4583[[#This Row],[FIELD]],FFTBL[[Field]:[Acres]],2,FALSE)</f>
        <v>#N/A</v>
      </c>
      <c r="I350" t="str">
        <f>IFERROR(VLOOKUP(EXPENSETBL4583[[#This Row],[OPERATION]],OPERATIONCOST,2,FALSE)," ")</f>
        <v xml:space="preserve"> </v>
      </c>
      <c r="J350" s="1" t="str">
        <f>IFERROR(VLOOKUP(EXPENSETBL4583[[#This Row],[OPERATION]],OPERATIONCOST,3,FALSE)," ")</f>
        <v xml:space="preserve"> </v>
      </c>
      <c r="K350" t="str">
        <f>IF(EXPENSETBL4583[[#This Row],[UOM]]="acre",EXPENSETBL4583[[#This Row],[ACRES]]," ")</f>
        <v xml:space="preserve"> </v>
      </c>
      <c r="L350" s="17">
        <f t="shared" si="22"/>
        <v>1</v>
      </c>
      <c r="M350" s="17">
        <f t="shared" si="23"/>
        <v>0</v>
      </c>
      <c r="N350" s="1" t="str">
        <f>IFERROR((EXPENSETBL4583[[#This Row],[MCC.ENT]]*EXPENSETBL4583[[#This Row],[TOTAL]])," ")</f>
        <v xml:space="preserve"> </v>
      </c>
      <c r="O350" s="1" t="str">
        <f>IFERROR((EXPENSETBL4583[[#This Row],[L.L.]]*EXPENSETBL4583[[#This Row],[TOTAL]])," ")</f>
        <v xml:space="preserve"> </v>
      </c>
      <c r="P350" s="1" t="str">
        <f>IFERROR((EXPENSETBL4583[[#This Row],[QTY]]*EXPENSETBL4583[[#This Row],[$/UOM]])," ")</f>
        <v xml:space="preserve"> </v>
      </c>
      <c r="Q350" s="1"/>
      <c r="R350" s="1"/>
    </row>
    <row r="351" spans="5:18" hidden="1" x14ac:dyDescent="0.25">
      <c r="E351" t="e">
        <f>VLOOKUP(EXPENSETBL4583[[#This Row],[FIELD]],FFTBL[[Field]:[Acres]],2,FALSE)</f>
        <v>#N/A</v>
      </c>
      <c r="I351" t="str">
        <f>IFERROR(VLOOKUP(EXPENSETBL4583[[#This Row],[OPERATION]],OPERATIONCOST,2,FALSE)," ")</f>
        <v xml:space="preserve"> </v>
      </c>
      <c r="J351" s="1" t="str">
        <f>IFERROR(VLOOKUP(EXPENSETBL4583[[#This Row],[OPERATION]],OPERATIONCOST,3,FALSE)," ")</f>
        <v xml:space="preserve"> </v>
      </c>
      <c r="K351" t="str">
        <f>IF(EXPENSETBL4583[[#This Row],[UOM]]="acre",EXPENSETBL4583[[#This Row],[ACRES]]," ")</f>
        <v xml:space="preserve"> </v>
      </c>
      <c r="L351" s="17">
        <f t="shared" si="22"/>
        <v>1</v>
      </c>
      <c r="M351" s="17">
        <f t="shared" si="23"/>
        <v>0</v>
      </c>
      <c r="N351" s="1" t="str">
        <f>IFERROR((EXPENSETBL4583[[#This Row],[MCC.ENT]]*EXPENSETBL4583[[#This Row],[TOTAL]])," ")</f>
        <v xml:space="preserve"> </v>
      </c>
      <c r="O351" s="1" t="str">
        <f>IFERROR((EXPENSETBL4583[[#This Row],[L.L.]]*EXPENSETBL4583[[#This Row],[TOTAL]])," ")</f>
        <v xml:space="preserve"> </v>
      </c>
      <c r="P351" s="1" t="str">
        <f>IFERROR((EXPENSETBL4583[[#This Row],[QTY]]*EXPENSETBL4583[[#This Row],[$/UOM]])," ")</f>
        <v xml:space="preserve"> </v>
      </c>
      <c r="Q351" s="1"/>
      <c r="R351" s="1"/>
    </row>
    <row r="352" spans="5:18" hidden="1" x14ac:dyDescent="0.25">
      <c r="E352" t="e">
        <f>VLOOKUP(EXPENSETBL4583[[#This Row],[FIELD]],FFTBL[[Field]:[Acres]],2,FALSE)</f>
        <v>#N/A</v>
      </c>
      <c r="I352" t="str">
        <f>IFERROR(VLOOKUP(EXPENSETBL4583[[#This Row],[OPERATION]],OPERATIONCOST,2,FALSE)," ")</f>
        <v xml:space="preserve"> </v>
      </c>
      <c r="J352" s="1" t="str">
        <f>IFERROR(VLOOKUP(EXPENSETBL4583[[#This Row],[OPERATION]],OPERATIONCOST,3,FALSE)," ")</f>
        <v xml:space="preserve"> </v>
      </c>
      <c r="K352" t="str">
        <f>IF(EXPENSETBL4583[[#This Row],[UOM]]="acre",EXPENSETBL4583[[#This Row],[ACRES]]," ")</f>
        <v xml:space="preserve"> </v>
      </c>
      <c r="L352" s="17">
        <f t="shared" si="22"/>
        <v>1</v>
      </c>
      <c r="M352" s="17">
        <f t="shared" si="23"/>
        <v>0</v>
      </c>
      <c r="N352" s="1" t="str">
        <f>IFERROR((EXPENSETBL4583[[#This Row],[MCC.ENT]]*EXPENSETBL4583[[#This Row],[TOTAL]])," ")</f>
        <v xml:space="preserve"> </v>
      </c>
      <c r="O352" s="1" t="str">
        <f>IFERROR((EXPENSETBL4583[[#This Row],[L.L.]]*EXPENSETBL4583[[#This Row],[TOTAL]])," ")</f>
        <v xml:space="preserve"> </v>
      </c>
      <c r="P352" s="1" t="str">
        <f>IFERROR((EXPENSETBL4583[[#This Row],[QTY]]*EXPENSETBL4583[[#This Row],[$/UOM]])," ")</f>
        <v xml:space="preserve"> </v>
      </c>
      <c r="Q352" s="1"/>
      <c r="R352" s="1"/>
    </row>
    <row r="353" spans="5:18" hidden="1" x14ac:dyDescent="0.25">
      <c r="E353" t="e">
        <f>VLOOKUP(EXPENSETBL4583[[#This Row],[FIELD]],FFTBL[[Field]:[Acres]],2,FALSE)</f>
        <v>#N/A</v>
      </c>
      <c r="I353" t="str">
        <f>IFERROR(VLOOKUP(EXPENSETBL4583[[#This Row],[OPERATION]],OPERATIONCOST,2,FALSE)," ")</f>
        <v xml:space="preserve"> </v>
      </c>
      <c r="J353" s="1" t="str">
        <f>IFERROR(VLOOKUP(EXPENSETBL4583[[#This Row],[OPERATION]],OPERATIONCOST,3,FALSE)," ")</f>
        <v xml:space="preserve"> </v>
      </c>
      <c r="K353" t="str">
        <f>IF(EXPENSETBL4583[[#This Row],[UOM]]="acre",EXPENSETBL4583[[#This Row],[ACRES]]," ")</f>
        <v xml:space="preserve"> </v>
      </c>
      <c r="L353" s="17">
        <f t="shared" si="22"/>
        <v>1</v>
      </c>
      <c r="M353" s="17">
        <f t="shared" si="23"/>
        <v>0</v>
      </c>
      <c r="N353" s="1" t="str">
        <f>IFERROR((EXPENSETBL4583[[#This Row],[MCC.ENT]]*EXPENSETBL4583[[#This Row],[TOTAL]])," ")</f>
        <v xml:space="preserve"> </v>
      </c>
      <c r="O353" s="1" t="str">
        <f>IFERROR((EXPENSETBL4583[[#This Row],[L.L.]]*EXPENSETBL4583[[#This Row],[TOTAL]])," ")</f>
        <v xml:space="preserve"> </v>
      </c>
      <c r="P353" s="1" t="str">
        <f>IFERROR((EXPENSETBL4583[[#This Row],[QTY]]*EXPENSETBL4583[[#This Row],[$/UOM]])," ")</f>
        <v xml:space="preserve"> </v>
      </c>
      <c r="Q353" s="1"/>
      <c r="R353" s="1"/>
    </row>
    <row r="354" spans="5:18" hidden="1" x14ac:dyDescent="0.25">
      <c r="E354" t="e">
        <f>VLOOKUP(EXPENSETBL4583[[#This Row],[FIELD]],FFTBL[[Field]:[Acres]],2,FALSE)</f>
        <v>#N/A</v>
      </c>
      <c r="I354" t="str">
        <f>IFERROR(VLOOKUP(EXPENSETBL4583[[#This Row],[OPERATION]],OPERATIONCOST,2,FALSE)," ")</f>
        <v xml:space="preserve"> </v>
      </c>
      <c r="J354" s="1" t="str">
        <f>IFERROR(VLOOKUP(EXPENSETBL4583[[#This Row],[OPERATION]],OPERATIONCOST,3,FALSE)," ")</f>
        <v xml:space="preserve"> </v>
      </c>
      <c r="K354" t="str">
        <f>IF(EXPENSETBL4583[[#This Row],[UOM]]="acre",EXPENSETBL4583[[#This Row],[ACRES]]," ")</f>
        <v xml:space="preserve"> </v>
      </c>
      <c r="L354" s="17">
        <f t="shared" si="22"/>
        <v>1</v>
      </c>
      <c r="M354" s="17">
        <f t="shared" si="23"/>
        <v>0</v>
      </c>
      <c r="N354" s="1" t="str">
        <f>IFERROR((EXPENSETBL4583[[#This Row],[MCC.ENT]]*EXPENSETBL4583[[#This Row],[TOTAL]])," ")</f>
        <v xml:space="preserve"> </v>
      </c>
      <c r="O354" s="1" t="str">
        <f>IFERROR((EXPENSETBL4583[[#This Row],[L.L.]]*EXPENSETBL4583[[#This Row],[TOTAL]])," ")</f>
        <v xml:space="preserve"> </v>
      </c>
      <c r="P354" s="1" t="str">
        <f>IFERROR((EXPENSETBL4583[[#This Row],[QTY]]*EXPENSETBL4583[[#This Row],[$/UOM]])," ")</f>
        <v xml:space="preserve"> </v>
      </c>
      <c r="Q354" s="1"/>
      <c r="R354" s="1"/>
    </row>
    <row r="355" spans="5:18" hidden="1" x14ac:dyDescent="0.25">
      <c r="E355" t="e">
        <f>VLOOKUP(EXPENSETBL4583[[#This Row],[FIELD]],FFTBL[[Field]:[Acres]],2,FALSE)</f>
        <v>#N/A</v>
      </c>
      <c r="I355" t="str">
        <f>IFERROR(VLOOKUP(EXPENSETBL4583[[#This Row],[OPERATION]],OPERATIONCOST,2,FALSE)," ")</f>
        <v xml:space="preserve"> </v>
      </c>
      <c r="J355" s="1" t="str">
        <f>IFERROR(VLOOKUP(EXPENSETBL4583[[#This Row],[OPERATION]],OPERATIONCOST,3,FALSE)," ")</f>
        <v xml:space="preserve"> </v>
      </c>
      <c r="K355" t="str">
        <f>IF(EXPENSETBL4583[[#This Row],[UOM]]="acre",EXPENSETBL4583[[#This Row],[ACRES]]," ")</f>
        <v xml:space="preserve"> </v>
      </c>
      <c r="L355" s="17">
        <f t="shared" si="22"/>
        <v>1</v>
      </c>
      <c r="M355" s="17">
        <f t="shared" si="23"/>
        <v>0</v>
      </c>
      <c r="N355" s="1" t="str">
        <f>IFERROR((EXPENSETBL4583[[#This Row],[MCC.ENT]]*EXPENSETBL4583[[#This Row],[TOTAL]])," ")</f>
        <v xml:space="preserve"> </v>
      </c>
      <c r="O355" s="1" t="str">
        <f>IFERROR((EXPENSETBL4583[[#This Row],[L.L.]]*EXPENSETBL4583[[#This Row],[TOTAL]])," ")</f>
        <v xml:space="preserve"> </v>
      </c>
      <c r="P355" s="1" t="str">
        <f>IFERROR((EXPENSETBL4583[[#This Row],[QTY]]*EXPENSETBL4583[[#This Row],[$/UOM]])," ")</f>
        <v xml:space="preserve"> </v>
      </c>
      <c r="Q355" s="1"/>
      <c r="R355" s="1"/>
    </row>
    <row r="356" spans="5:18" hidden="1" x14ac:dyDescent="0.25">
      <c r="E356" t="e">
        <f>VLOOKUP(EXPENSETBL4583[[#This Row],[FIELD]],FFTBL[[Field]:[Acres]],2,FALSE)</f>
        <v>#N/A</v>
      </c>
      <c r="I356" t="str">
        <f>IFERROR(VLOOKUP(EXPENSETBL4583[[#This Row],[OPERATION]],OPERATIONCOST,2,FALSE)," ")</f>
        <v xml:space="preserve"> </v>
      </c>
      <c r="J356" s="1" t="str">
        <f>IFERROR(VLOOKUP(EXPENSETBL4583[[#This Row],[OPERATION]],OPERATIONCOST,3,FALSE)," ")</f>
        <v xml:space="preserve"> </v>
      </c>
      <c r="K356" t="str">
        <f>IF(EXPENSETBL4583[[#This Row],[UOM]]="acre",EXPENSETBL4583[[#This Row],[ACRES]]," ")</f>
        <v xml:space="preserve"> </v>
      </c>
      <c r="L356" s="17">
        <f t="shared" si="22"/>
        <v>1</v>
      </c>
      <c r="M356" s="17">
        <f t="shared" si="23"/>
        <v>0</v>
      </c>
      <c r="N356" s="1" t="str">
        <f>IFERROR((EXPENSETBL4583[[#This Row],[MCC.ENT]]*EXPENSETBL4583[[#This Row],[TOTAL]])," ")</f>
        <v xml:space="preserve"> </v>
      </c>
      <c r="O356" s="1" t="str">
        <f>IFERROR((EXPENSETBL4583[[#This Row],[L.L.]]*EXPENSETBL4583[[#This Row],[TOTAL]])," ")</f>
        <v xml:space="preserve"> </v>
      </c>
      <c r="P356" s="1" t="str">
        <f>IFERROR((EXPENSETBL4583[[#This Row],[QTY]]*EXPENSETBL4583[[#This Row],[$/UOM]])," ")</f>
        <v xml:space="preserve"> </v>
      </c>
      <c r="Q356" s="1"/>
      <c r="R356" s="1"/>
    </row>
    <row r="357" spans="5:18" hidden="1" x14ac:dyDescent="0.25">
      <c r="E357" t="e">
        <f>VLOOKUP(EXPENSETBL4583[[#This Row],[FIELD]],FFTBL[[Field]:[Acres]],2,FALSE)</f>
        <v>#N/A</v>
      </c>
      <c r="I357" t="str">
        <f>IFERROR(VLOOKUP(EXPENSETBL4583[[#This Row],[OPERATION]],OPERATIONCOST,2,FALSE)," ")</f>
        <v xml:space="preserve"> </v>
      </c>
      <c r="J357" s="1" t="str">
        <f>IFERROR(VLOOKUP(EXPENSETBL4583[[#This Row],[OPERATION]],OPERATIONCOST,3,FALSE)," ")</f>
        <v xml:space="preserve"> </v>
      </c>
      <c r="K357" t="str">
        <f>IF(EXPENSETBL4583[[#This Row],[UOM]]="acre",EXPENSETBL4583[[#This Row],[ACRES]]," ")</f>
        <v xml:space="preserve"> </v>
      </c>
      <c r="L357" s="17">
        <f t="shared" si="22"/>
        <v>1</v>
      </c>
      <c r="M357" s="17">
        <f t="shared" si="23"/>
        <v>0</v>
      </c>
      <c r="N357" s="1" t="str">
        <f>IFERROR((EXPENSETBL4583[[#This Row],[MCC.ENT]]*EXPENSETBL4583[[#This Row],[TOTAL]])," ")</f>
        <v xml:space="preserve"> </v>
      </c>
      <c r="O357" s="1" t="str">
        <f>IFERROR((EXPENSETBL4583[[#This Row],[L.L.]]*EXPENSETBL4583[[#This Row],[TOTAL]])," ")</f>
        <v xml:space="preserve"> </v>
      </c>
      <c r="P357" s="1" t="str">
        <f>IFERROR((EXPENSETBL4583[[#This Row],[QTY]]*EXPENSETBL4583[[#This Row],[$/UOM]])," ")</f>
        <v xml:space="preserve"> </v>
      </c>
      <c r="Q357" s="1"/>
      <c r="R357" s="1"/>
    </row>
    <row r="358" spans="5:18" hidden="1" x14ac:dyDescent="0.25">
      <c r="E358" t="e">
        <f>VLOOKUP(EXPENSETBL4583[[#This Row],[FIELD]],FFTBL[[Field]:[Acres]],2,FALSE)</f>
        <v>#N/A</v>
      </c>
      <c r="I358" t="str">
        <f>IFERROR(VLOOKUP(EXPENSETBL4583[[#This Row],[OPERATION]],OPERATIONCOST,2,FALSE)," ")</f>
        <v xml:space="preserve"> </v>
      </c>
      <c r="J358" s="1" t="str">
        <f>IFERROR(VLOOKUP(EXPENSETBL4583[[#This Row],[OPERATION]],OPERATIONCOST,3,FALSE)," ")</f>
        <v xml:space="preserve"> </v>
      </c>
      <c r="K358" t="str">
        <f>IF(EXPENSETBL4583[[#This Row],[UOM]]="acre",EXPENSETBL4583[[#This Row],[ACRES]]," ")</f>
        <v xml:space="preserve"> </v>
      </c>
      <c r="L358" s="17">
        <f t="shared" si="22"/>
        <v>1</v>
      </c>
      <c r="M358" s="17">
        <f t="shared" si="23"/>
        <v>0</v>
      </c>
      <c r="N358" s="1" t="str">
        <f>IFERROR((EXPENSETBL4583[[#This Row],[MCC.ENT]]*EXPENSETBL4583[[#This Row],[TOTAL]])," ")</f>
        <v xml:space="preserve"> </v>
      </c>
      <c r="O358" s="1" t="str">
        <f>IFERROR((EXPENSETBL4583[[#This Row],[L.L.]]*EXPENSETBL4583[[#This Row],[TOTAL]])," ")</f>
        <v xml:space="preserve"> </v>
      </c>
      <c r="P358" s="1" t="str">
        <f>IFERROR((EXPENSETBL4583[[#This Row],[QTY]]*EXPENSETBL4583[[#This Row],[$/UOM]])," ")</f>
        <v xml:space="preserve"> </v>
      </c>
      <c r="Q358" s="1"/>
      <c r="R358" s="1"/>
    </row>
    <row r="359" spans="5:18" hidden="1" x14ac:dyDescent="0.25">
      <c r="E359" t="e">
        <f>VLOOKUP(EXPENSETBL4583[[#This Row],[FIELD]],FFTBL[[Field]:[Acres]],2,FALSE)</f>
        <v>#N/A</v>
      </c>
      <c r="I359" t="str">
        <f>IFERROR(VLOOKUP(EXPENSETBL4583[[#This Row],[OPERATION]],OPERATIONCOST,2,FALSE)," ")</f>
        <v xml:space="preserve"> </v>
      </c>
      <c r="J359" s="1" t="str">
        <f>IFERROR(VLOOKUP(EXPENSETBL4583[[#This Row],[OPERATION]],OPERATIONCOST,3,FALSE)," ")</f>
        <v xml:space="preserve"> </v>
      </c>
      <c r="K359" t="str">
        <f>IF(EXPENSETBL4583[[#This Row],[UOM]]="acre",EXPENSETBL4583[[#This Row],[ACRES]]," ")</f>
        <v xml:space="preserve"> </v>
      </c>
      <c r="L359" s="17">
        <f t="shared" si="22"/>
        <v>1</v>
      </c>
      <c r="M359" s="17">
        <f t="shared" si="23"/>
        <v>0</v>
      </c>
      <c r="N359" s="1" t="str">
        <f>IFERROR((EXPENSETBL4583[[#This Row],[MCC.ENT]]*EXPENSETBL4583[[#This Row],[TOTAL]])," ")</f>
        <v xml:space="preserve"> </v>
      </c>
      <c r="O359" s="1" t="str">
        <f>IFERROR((EXPENSETBL4583[[#This Row],[L.L.]]*EXPENSETBL4583[[#This Row],[TOTAL]])," ")</f>
        <v xml:space="preserve"> </v>
      </c>
      <c r="P359" s="1" t="str">
        <f>IFERROR((EXPENSETBL4583[[#This Row],[QTY]]*EXPENSETBL4583[[#This Row],[$/UOM]])," ")</f>
        <v xml:space="preserve"> </v>
      </c>
      <c r="Q359" s="1"/>
      <c r="R359" s="1"/>
    </row>
    <row r="360" spans="5:18" hidden="1" x14ac:dyDescent="0.25">
      <c r="E360" t="e">
        <f>VLOOKUP(EXPENSETBL4583[[#This Row],[FIELD]],FFTBL[[Field]:[Acres]],2,FALSE)</f>
        <v>#N/A</v>
      </c>
      <c r="I360" t="str">
        <f>IFERROR(VLOOKUP(EXPENSETBL4583[[#This Row],[OPERATION]],OPERATIONCOST,2,FALSE)," ")</f>
        <v xml:space="preserve"> </v>
      </c>
      <c r="J360" s="1" t="str">
        <f>IFERROR(VLOOKUP(EXPENSETBL4583[[#This Row],[OPERATION]],OPERATIONCOST,3,FALSE)," ")</f>
        <v xml:space="preserve"> </v>
      </c>
      <c r="K360" t="str">
        <f>IF(EXPENSETBL4583[[#This Row],[UOM]]="acre",EXPENSETBL4583[[#This Row],[ACRES]]," ")</f>
        <v xml:space="preserve"> </v>
      </c>
      <c r="L360" s="17">
        <f t="shared" si="22"/>
        <v>1</v>
      </c>
      <c r="M360" s="17">
        <f t="shared" si="23"/>
        <v>0</v>
      </c>
      <c r="N360" s="1" t="str">
        <f>IFERROR((EXPENSETBL4583[[#This Row],[MCC.ENT]]*EXPENSETBL4583[[#This Row],[TOTAL]])," ")</f>
        <v xml:space="preserve"> </v>
      </c>
      <c r="O360" s="1" t="str">
        <f>IFERROR((EXPENSETBL4583[[#This Row],[L.L.]]*EXPENSETBL4583[[#This Row],[TOTAL]])," ")</f>
        <v xml:space="preserve"> </v>
      </c>
      <c r="P360" s="1" t="str">
        <f>IFERROR((EXPENSETBL4583[[#This Row],[QTY]]*EXPENSETBL4583[[#This Row],[$/UOM]])," ")</f>
        <v xml:space="preserve"> </v>
      </c>
      <c r="Q360" s="1"/>
      <c r="R360" s="1"/>
    </row>
    <row r="361" spans="5:18" hidden="1" x14ac:dyDescent="0.25">
      <c r="E361" t="e">
        <f>VLOOKUP(EXPENSETBL4583[[#This Row],[FIELD]],FFTBL[[Field]:[Acres]],2,FALSE)</f>
        <v>#N/A</v>
      </c>
      <c r="I361" t="str">
        <f>IFERROR(VLOOKUP(EXPENSETBL4583[[#This Row],[OPERATION]],OPERATIONCOST,2,FALSE)," ")</f>
        <v xml:space="preserve"> </v>
      </c>
      <c r="J361" s="1" t="str">
        <f>IFERROR(VLOOKUP(EXPENSETBL4583[[#This Row],[OPERATION]],OPERATIONCOST,3,FALSE)," ")</f>
        <v xml:space="preserve"> </v>
      </c>
      <c r="K361" t="str">
        <f>IF(EXPENSETBL4583[[#This Row],[UOM]]="acre",EXPENSETBL4583[[#This Row],[ACRES]]," ")</f>
        <v xml:space="preserve"> </v>
      </c>
      <c r="L361" s="17">
        <f t="shared" si="22"/>
        <v>1</v>
      </c>
      <c r="M361" s="17">
        <f t="shared" si="23"/>
        <v>0</v>
      </c>
      <c r="N361" s="1" t="str">
        <f>IFERROR((EXPENSETBL4583[[#This Row],[MCC.ENT]]*EXPENSETBL4583[[#This Row],[TOTAL]])," ")</f>
        <v xml:space="preserve"> </v>
      </c>
      <c r="O361" s="1" t="str">
        <f>IFERROR((EXPENSETBL4583[[#This Row],[L.L.]]*EXPENSETBL4583[[#This Row],[TOTAL]])," ")</f>
        <v xml:space="preserve"> </v>
      </c>
      <c r="P361" s="1" t="str">
        <f>IFERROR((EXPENSETBL4583[[#This Row],[QTY]]*EXPENSETBL4583[[#This Row],[$/UOM]])," ")</f>
        <v xml:space="preserve"> </v>
      </c>
      <c r="Q361" s="1"/>
      <c r="R361" s="1"/>
    </row>
    <row r="362" spans="5:18" hidden="1" x14ac:dyDescent="0.25">
      <c r="E362" t="e">
        <f>VLOOKUP(EXPENSETBL4583[[#This Row],[FIELD]],FFTBL[[Field]:[Acres]],2,FALSE)</f>
        <v>#N/A</v>
      </c>
      <c r="I362" t="str">
        <f>IFERROR(VLOOKUP(EXPENSETBL4583[[#This Row],[OPERATION]],OPERATIONCOST,2,FALSE)," ")</f>
        <v xml:space="preserve"> </v>
      </c>
      <c r="J362" s="1" t="str">
        <f>IFERROR(VLOOKUP(EXPENSETBL4583[[#This Row],[OPERATION]],OPERATIONCOST,3,FALSE)," ")</f>
        <v xml:space="preserve"> </v>
      </c>
      <c r="K362" t="str">
        <f>IF(EXPENSETBL4583[[#This Row],[UOM]]="acre",EXPENSETBL4583[[#This Row],[ACRES]]," ")</f>
        <v xml:space="preserve"> </v>
      </c>
      <c r="L362" s="17">
        <f t="shared" si="22"/>
        <v>1</v>
      </c>
      <c r="M362" s="17">
        <f t="shared" si="23"/>
        <v>0</v>
      </c>
      <c r="N362" s="1" t="str">
        <f>IFERROR((EXPENSETBL4583[[#This Row],[MCC.ENT]]*EXPENSETBL4583[[#This Row],[TOTAL]])," ")</f>
        <v xml:space="preserve"> </v>
      </c>
      <c r="O362" s="1" t="str">
        <f>IFERROR((EXPENSETBL4583[[#This Row],[L.L.]]*EXPENSETBL4583[[#This Row],[TOTAL]])," ")</f>
        <v xml:space="preserve"> </v>
      </c>
      <c r="P362" s="1" t="str">
        <f>IFERROR((EXPENSETBL4583[[#This Row],[QTY]]*EXPENSETBL4583[[#This Row],[$/UOM]])," ")</f>
        <v xml:space="preserve"> </v>
      </c>
      <c r="Q362" s="1"/>
      <c r="R362" s="1"/>
    </row>
    <row r="363" spans="5:18" hidden="1" x14ac:dyDescent="0.25">
      <c r="E363" t="e">
        <f>VLOOKUP(EXPENSETBL4583[[#This Row],[FIELD]],FFTBL[[Field]:[Acres]],2,FALSE)</f>
        <v>#N/A</v>
      </c>
      <c r="I363" t="str">
        <f>IFERROR(VLOOKUP(EXPENSETBL4583[[#This Row],[OPERATION]],OPERATIONCOST,2,FALSE)," ")</f>
        <v xml:space="preserve"> </v>
      </c>
      <c r="J363" s="1" t="str">
        <f>IFERROR(VLOOKUP(EXPENSETBL4583[[#This Row],[OPERATION]],OPERATIONCOST,3,FALSE)," ")</f>
        <v xml:space="preserve"> </v>
      </c>
      <c r="K363" t="str">
        <f>IF(EXPENSETBL4583[[#This Row],[UOM]]="acre",EXPENSETBL4583[[#This Row],[ACRES]]," ")</f>
        <v xml:space="preserve"> </v>
      </c>
      <c r="L363" s="17">
        <f t="shared" si="22"/>
        <v>1</v>
      </c>
      <c r="M363" s="17">
        <f t="shared" si="23"/>
        <v>0</v>
      </c>
      <c r="N363" s="1" t="str">
        <f>IFERROR((EXPENSETBL4583[[#This Row],[MCC.ENT]]*EXPENSETBL4583[[#This Row],[TOTAL]])," ")</f>
        <v xml:space="preserve"> </v>
      </c>
      <c r="O363" s="1" t="str">
        <f>IFERROR((EXPENSETBL4583[[#This Row],[L.L.]]*EXPENSETBL4583[[#This Row],[TOTAL]])," ")</f>
        <v xml:space="preserve"> </v>
      </c>
      <c r="P363" s="1" t="str">
        <f>IFERROR((EXPENSETBL4583[[#This Row],[QTY]]*EXPENSETBL4583[[#This Row],[$/UOM]])," ")</f>
        <v xml:space="preserve"> </v>
      </c>
      <c r="Q363" s="1"/>
      <c r="R363" s="1"/>
    </row>
    <row r="364" spans="5:18" hidden="1" x14ac:dyDescent="0.25">
      <c r="E364" t="e">
        <f>VLOOKUP(EXPENSETBL4583[[#This Row],[FIELD]],FFTBL[[Field]:[Acres]],2,FALSE)</f>
        <v>#N/A</v>
      </c>
      <c r="I364" t="str">
        <f>IFERROR(VLOOKUP(EXPENSETBL4583[[#This Row],[OPERATION]],OPERATIONCOST,2,FALSE)," ")</f>
        <v xml:space="preserve"> </v>
      </c>
      <c r="J364" s="1" t="str">
        <f>IFERROR(VLOOKUP(EXPENSETBL4583[[#This Row],[OPERATION]],OPERATIONCOST,3,FALSE)," ")</f>
        <v xml:space="preserve"> </v>
      </c>
      <c r="K364" t="str">
        <f>IF(EXPENSETBL4583[[#This Row],[UOM]]="acre",EXPENSETBL4583[[#This Row],[ACRES]]," ")</f>
        <v xml:space="preserve"> </v>
      </c>
      <c r="L364" s="17">
        <f t="shared" si="22"/>
        <v>1</v>
      </c>
      <c r="M364" s="17">
        <f t="shared" si="23"/>
        <v>0</v>
      </c>
      <c r="N364" s="1" t="str">
        <f>IFERROR((EXPENSETBL4583[[#This Row],[MCC.ENT]]*EXPENSETBL4583[[#This Row],[TOTAL]])," ")</f>
        <v xml:space="preserve"> </v>
      </c>
      <c r="O364" s="1" t="str">
        <f>IFERROR((EXPENSETBL4583[[#This Row],[L.L.]]*EXPENSETBL4583[[#This Row],[TOTAL]])," ")</f>
        <v xml:space="preserve"> </v>
      </c>
      <c r="P364" s="1" t="str">
        <f>IFERROR((EXPENSETBL4583[[#This Row],[QTY]]*EXPENSETBL4583[[#This Row],[$/UOM]])," ")</f>
        <v xml:space="preserve"> </v>
      </c>
      <c r="Q364" s="1"/>
      <c r="R364" s="1"/>
    </row>
    <row r="365" spans="5:18" hidden="1" x14ac:dyDescent="0.25">
      <c r="E365" t="e">
        <f>VLOOKUP(EXPENSETBL4583[[#This Row],[FIELD]],FFTBL[[Field]:[Acres]],2,FALSE)</f>
        <v>#N/A</v>
      </c>
      <c r="I365" t="str">
        <f>IFERROR(VLOOKUP(EXPENSETBL4583[[#This Row],[OPERATION]],OPERATIONCOST,2,FALSE)," ")</f>
        <v xml:space="preserve"> </v>
      </c>
      <c r="J365" s="1" t="str">
        <f>IFERROR(VLOOKUP(EXPENSETBL4583[[#This Row],[OPERATION]],OPERATIONCOST,3,FALSE)," ")</f>
        <v xml:space="preserve"> </v>
      </c>
      <c r="K365" t="str">
        <f>IF(EXPENSETBL4583[[#This Row],[UOM]]="acre",EXPENSETBL4583[[#This Row],[ACRES]]," ")</f>
        <v xml:space="preserve"> </v>
      </c>
      <c r="L365" s="17">
        <f t="shared" si="22"/>
        <v>1</v>
      </c>
      <c r="M365" s="17">
        <f t="shared" si="23"/>
        <v>0</v>
      </c>
      <c r="N365" s="1" t="str">
        <f>IFERROR((EXPENSETBL4583[[#This Row],[MCC.ENT]]*EXPENSETBL4583[[#This Row],[TOTAL]])," ")</f>
        <v xml:space="preserve"> </v>
      </c>
      <c r="O365" s="1" t="str">
        <f>IFERROR((EXPENSETBL4583[[#This Row],[L.L.]]*EXPENSETBL4583[[#This Row],[TOTAL]])," ")</f>
        <v xml:space="preserve"> </v>
      </c>
      <c r="P365" s="1" t="str">
        <f>IFERROR((EXPENSETBL4583[[#This Row],[QTY]]*EXPENSETBL4583[[#This Row],[$/UOM]])," ")</f>
        <v xml:space="preserve"> </v>
      </c>
      <c r="Q365" s="1"/>
      <c r="R365" s="1"/>
    </row>
    <row r="366" spans="5:18" hidden="1" x14ac:dyDescent="0.25">
      <c r="E366" t="e">
        <f>VLOOKUP(EXPENSETBL4583[[#This Row],[FIELD]],FFTBL[[Field]:[Acres]],2,FALSE)</f>
        <v>#N/A</v>
      </c>
      <c r="I366" t="str">
        <f>IFERROR(VLOOKUP(EXPENSETBL4583[[#This Row],[OPERATION]],OPERATIONCOST,2,FALSE)," ")</f>
        <v xml:space="preserve"> </v>
      </c>
      <c r="J366" s="1" t="str">
        <f>IFERROR(VLOOKUP(EXPENSETBL4583[[#This Row],[OPERATION]],OPERATIONCOST,3,FALSE)," ")</f>
        <v xml:space="preserve"> </v>
      </c>
      <c r="K366" t="str">
        <f>IF(EXPENSETBL4583[[#This Row],[UOM]]="acre",EXPENSETBL4583[[#This Row],[ACRES]]," ")</f>
        <v xml:space="preserve"> </v>
      </c>
      <c r="L366" s="17">
        <f t="shared" si="22"/>
        <v>1</v>
      </c>
      <c r="M366" s="17">
        <f t="shared" si="23"/>
        <v>0</v>
      </c>
      <c r="N366" s="1" t="str">
        <f>IFERROR((EXPENSETBL4583[[#This Row],[MCC.ENT]]*EXPENSETBL4583[[#This Row],[TOTAL]])," ")</f>
        <v xml:space="preserve"> </v>
      </c>
      <c r="O366" s="1" t="str">
        <f>IFERROR((EXPENSETBL4583[[#This Row],[L.L.]]*EXPENSETBL4583[[#This Row],[TOTAL]])," ")</f>
        <v xml:space="preserve"> </v>
      </c>
      <c r="P366" s="1" t="str">
        <f>IFERROR((EXPENSETBL4583[[#This Row],[QTY]]*EXPENSETBL4583[[#This Row],[$/UOM]])," ")</f>
        <v xml:space="preserve"> </v>
      </c>
      <c r="Q366" s="1"/>
      <c r="R366" s="1"/>
    </row>
    <row r="367" spans="5:18" hidden="1" x14ac:dyDescent="0.25">
      <c r="E367" t="e">
        <f>VLOOKUP(EXPENSETBL4583[[#This Row],[FIELD]],FFTBL[[Field]:[Acres]],2,FALSE)</f>
        <v>#N/A</v>
      </c>
      <c r="I367" t="str">
        <f>IFERROR(VLOOKUP(EXPENSETBL4583[[#This Row],[OPERATION]],OPERATIONCOST,2,FALSE)," ")</f>
        <v xml:space="preserve"> </v>
      </c>
      <c r="J367" s="1" t="str">
        <f>IFERROR(VLOOKUP(EXPENSETBL4583[[#This Row],[OPERATION]],OPERATIONCOST,3,FALSE)," ")</f>
        <v xml:space="preserve"> </v>
      </c>
      <c r="K367" t="str">
        <f>IF(EXPENSETBL4583[[#This Row],[UOM]]="acre",EXPENSETBL4583[[#This Row],[ACRES]]," ")</f>
        <v xml:space="preserve"> </v>
      </c>
      <c r="L367" s="17">
        <f t="shared" si="22"/>
        <v>1</v>
      </c>
      <c r="M367" s="17">
        <f t="shared" si="23"/>
        <v>0</v>
      </c>
      <c r="N367" s="1" t="str">
        <f>IFERROR((EXPENSETBL4583[[#This Row],[MCC.ENT]]*EXPENSETBL4583[[#This Row],[TOTAL]])," ")</f>
        <v xml:space="preserve"> </v>
      </c>
      <c r="O367" s="1" t="str">
        <f>IFERROR((EXPENSETBL4583[[#This Row],[L.L.]]*EXPENSETBL4583[[#This Row],[TOTAL]])," ")</f>
        <v xml:space="preserve"> </v>
      </c>
      <c r="P367" s="1" t="str">
        <f>IFERROR((EXPENSETBL4583[[#This Row],[QTY]]*EXPENSETBL4583[[#This Row],[$/UOM]])," ")</f>
        <v xml:space="preserve"> </v>
      </c>
      <c r="Q367" s="1"/>
      <c r="R367" s="1"/>
    </row>
    <row r="368" spans="5:18" hidden="1" x14ac:dyDescent="0.25">
      <c r="E368" t="e">
        <f>VLOOKUP(EXPENSETBL4583[[#This Row],[FIELD]],FFTBL[[Field]:[Acres]],2,FALSE)</f>
        <v>#N/A</v>
      </c>
      <c r="I368" t="str">
        <f>IFERROR(VLOOKUP(EXPENSETBL4583[[#This Row],[OPERATION]],OPERATIONCOST,2,FALSE)," ")</f>
        <v xml:space="preserve"> </v>
      </c>
      <c r="J368" s="1" t="str">
        <f>IFERROR(VLOOKUP(EXPENSETBL4583[[#This Row],[OPERATION]],OPERATIONCOST,3,FALSE)," ")</f>
        <v xml:space="preserve"> </v>
      </c>
      <c r="K368" t="str">
        <f>IF(EXPENSETBL4583[[#This Row],[UOM]]="acre",EXPENSETBL4583[[#This Row],[ACRES]]," ")</f>
        <v xml:space="preserve"> </v>
      </c>
      <c r="L368" s="17">
        <f t="shared" si="22"/>
        <v>1</v>
      </c>
      <c r="M368" s="17">
        <f t="shared" si="23"/>
        <v>0</v>
      </c>
      <c r="N368" s="1" t="str">
        <f>IFERROR((EXPENSETBL4583[[#This Row],[MCC.ENT]]*EXPENSETBL4583[[#This Row],[TOTAL]])," ")</f>
        <v xml:space="preserve"> </v>
      </c>
      <c r="O368" s="1" t="str">
        <f>IFERROR((EXPENSETBL4583[[#This Row],[L.L.]]*EXPENSETBL4583[[#This Row],[TOTAL]])," ")</f>
        <v xml:space="preserve"> </v>
      </c>
      <c r="P368" s="1" t="str">
        <f>IFERROR((EXPENSETBL4583[[#This Row],[QTY]]*EXPENSETBL4583[[#This Row],[$/UOM]])," ")</f>
        <v xml:space="preserve"> </v>
      </c>
      <c r="Q368" s="1"/>
      <c r="R368" s="1"/>
    </row>
    <row r="369" spans="5:18" hidden="1" x14ac:dyDescent="0.25">
      <c r="E369" t="e">
        <f>VLOOKUP(EXPENSETBL4583[[#This Row],[FIELD]],FFTBL[[Field]:[Acres]],2,FALSE)</f>
        <v>#N/A</v>
      </c>
      <c r="I369" t="str">
        <f>IFERROR(VLOOKUP(EXPENSETBL4583[[#This Row],[OPERATION]],OPERATIONCOST,2,FALSE)," ")</f>
        <v xml:space="preserve"> </v>
      </c>
      <c r="J369" s="1" t="str">
        <f>IFERROR(VLOOKUP(EXPENSETBL4583[[#This Row],[OPERATION]],OPERATIONCOST,3,FALSE)," ")</f>
        <v xml:space="preserve"> </v>
      </c>
      <c r="K369" t="str">
        <f>IF(EXPENSETBL4583[[#This Row],[UOM]]="acre",EXPENSETBL4583[[#This Row],[ACRES]]," ")</f>
        <v xml:space="preserve"> </v>
      </c>
      <c r="L369" s="17">
        <f t="shared" si="22"/>
        <v>1</v>
      </c>
      <c r="M369" s="17">
        <f t="shared" si="23"/>
        <v>0</v>
      </c>
      <c r="N369" s="1" t="str">
        <f>IFERROR((EXPENSETBL4583[[#This Row],[MCC.ENT]]*EXPENSETBL4583[[#This Row],[TOTAL]])," ")</f>
        <v xml:space="preserve"> </v>
      </c>
      <c r="O369" s="1" t="str">
        <f>IFERROR((EXPENSETBL4583[[#This Row],[L.L.]]*EXPENSETBL4583[[#This Row],[TOTAL]])," ")</f>
        <v xml:space="preserve"> </v>
      </c>
      <c r="P369" s="1" t="str">
        <f>IFERROR((EXPENSETBL4583[[#This Row],[QTY]]*EXPENSETBL4583[[#This Row],[$/UOM]])," ")</f>
        <v xml:space="preserve"> </v>
      </c>
      <c r="Q369" s="1"/>
      <c r="R369" s="1"/>
    </row>
    <row r="370" spans="5:18" hidden="1" x14ac:dyDescent="0.25">
      <c r="E370" t="e">
        <f>VLOOKUP(EXPENSETBL4583[[#This Row],[FIELD]],FFTBL[[Field]:[Acres]],2,FALSE)</f>
        <v>#N/A</v>
      </c>
      <c r="I370" t="str">
        <f>IFERROR(VLOOKUP(EXPENSETBL4583[[#This Row],[OPERATION]],OPERATIONCOST,2,FALSE)," ")</f>
        <v xml:space="preserve"> </v>
      </c>
      <c r="J370" s="1" t="str">
        <f>IFERROR(VLOOKUP(EXPENSETBL4583[[#This Row],[OPERATION]],OPERATIONCOST,3,FALSE)," ")</f>
        <v xml:space="preserve"> </v>
      </c>
      <c r="K370" t="str">
        <f>IF(EXPENSETBL4583[[#This Row],[UOM]]="acre",EXPENSETBL4583[[#This Row],[ACRES]]," ")</f>
        <v xml:space="preserve"> </v>
      </c>
      <c r="L370" s="17">
        <f t="shared" si="22"/>
        <v>1</v>
      </c>
      <c r="M370" s="17">
        <f t="shared" si="23"/>
        <v>0</v>
      </c>
      <c r="N370" s="1" t="str">
        <f>IFERROR((EXPENSETBL4583[[#This Row],[MCC.ENT]]*EXPENSETBL4583[[#This Row],[TOTAL]])," ")</f>
        <v xml:space="preserve"> </v>
      </c>
      <c r="O370" s="1" t="str">
        <f>IFERROR((EXPENSETBL4583[[#This Row],[L.L.]]*EXPENSETBL4583[[#This Row],[TOTAL]])," ")</f>
        <v xml:space="preserve"> </v>
      </c>
      <c r="P370" s="1" t="str">
        <f>IFERROR((EXPENSETBL4583[[#This Row],[QTY]]*EXPENSETBL4583[[#This Row],[$/UOM]])," ")</f>
        <v xml:space="preserve"> </v>
      </c>
      <c r="Q370" s="1"/>
      <c r="R370" s="1"/>
    </row>
    <row r="371" spans="5:18" hidden="1" x14ac:dyDescent="0.25">
      <c r="E371" t="e">
        <f>VLOOKUP(EXPENSETBL4583[[#This Row],[FIELD]],FFTBL[[Field]:[Acres]],2,FALSE)</f>
        <v>#N/A</v>
      </c>
      <c r="I371" t="str">
        <f>IFERROR(VLOOKUP(EXPENSETBL4583[[#This Row],[OPERATION]],OPERATIONCOST,2,FALSE)," ")</f>
        <v xml:space="preserve"> </v>
      </c>
      <c r="J371" s="1" t="str">
        <f>IFERROR(VLOOKUP(EXPENSETBL4583[[#This Row],[OPERATION]],OPERATIONCOST,3,FALSE)," ")</f>
        <v xml:space="preserve"> </v>
      </c>
      <c r="K371" t="str">
        <f>IF(EXPENSETBL4583[[#This Row],[UOM]]="acre",EXPENSETBL4583[[#This Row],[ACRES]]," ")</f>
        <v xml:space="preserve"> </v>
      </c>
      <c r="L371" s="17">
        <f t="shared" si="22"/>
        <v>1</v>
      </c>
      <c r="M371" s="17">
        <f t="shared" si="23"/>
        <v>0</v>
      </c>
      <c r="N371" s="1" t="str">
        <f>IFERROR((EXPENSETBL4583[[#This Row],[MCC.ENT]]*EXPENSETBL4583[[#This Row],[TOTAL]])," ")</f>
        <v xml:space="preserve"> </v>
      </c>
      <c r="O371" s="1" t="str">
        <f>IFERROR((EXPENSETBL4583[[#This Row],[L.L.]]*EXPENSETBL4583[[#This Row],[TOTAL]])," ")</f>
        <v xml:space="preserve"> </v>
      </c>
      <c r="P371" s="1" t="str">
        <f>IFERROR((EXPENSETBL4583[[#This Row],[QTY]]*EXPENSETBL4583[[#This Row],[$/UOM]])," ")</f>
        <v xml:space="preserve"> </v>
      </c>
      <c r="Q371" s="1"/>
      <c r="R371" s="1"/>
    </row>
    <row r="372" spans="5:18" hidden="1" x14ac:dyDescent="0.25">
      <c r="E372" t="e">
        <f>VLOOKUP(EXPENSETBL4583[[#This Row],[FIELD]],FFTBL[[Field]:[Acres]],2,FALSE)</f>
        <v>#N/A</v>
      </c>
      <c r="I372" t="str">
        <f>IFERROR(VLOOKUP(EXPENSETBL4583[[#This Row],[OPERATION]],OPERATIONCOST,2,FALSE)," ")</f>
        <v xml:space="preserve"> </v>
      </c>
      <c r="J372" s="1" t="str">
        <f>IFERROR(VLOOKUP(EXPENSETBL4583[[#This Row],[OPERATION]],OPERATIONCOST,3,FALSE)," ")</f>
        <v xml:space="preserve"> </v>
      </c>
      <c r="K372" t="str">
        <f>IF(EXPENSETBL4583[[#This Row],[UOM]]="acre",EXPENSETBL4583[[#This Row],[ACRES]]," ")</f>
        <v xml:space="preserve"> </v>
      </c>
      <c r="L372" s="17">
        <f t="shared" si="22"/>
        <v>1</v>
      </c>
      <c r="M372" s="17">
        <f t="shared" si="23"/>
        <v>0</v>
      </c>
      <c r="N372" s="1" t="str">
        <f>IFERROR((EXPENSETBL4583[[#This Row],[MCC.ENT]]*EXPENSETBL4583[[#This Row],[TOTAL]])," ")</f>
        <v xml:space="preserve"> </v>
      </c>
      <c r="O372" s="1" t="str">
        <f>IFERROR((EXPENSETBL4583[[#This Row],[L.L.]]*EXPENSETBL4583[[#This Row],[TOTAL]])," ")</f>
        <v xml:space="preserve"> </v>
      </c>
      <c r="P372" s="1" t="str">
        <f>IFERROR((EXPENSETBL4583[[#This Row],[QTY]]*EXPENSETBL4583[[#This Row],[$/UOM]])," ")</f>
        <v xml:space="preserve"> </v>
      </c>
      <c r="Q372" s="1"/>
      <c r="R372" s="1"/>
    </row>
    <row r="373" spans="5:18" hidden="1" x14ac:dyDescent="0.25">
      <c r="E373" t="e">
        <f>VLOOKUP(EXPENSETBL4583[[#This Row],[FIELD]],FFTBL[[Field]:[Acres]],2,FALSE)</f>
        <v>#N/A</v>
      </c>
      <c r="I373" t="str">
        <f>IFERROR(VLOOKUP(EXPENSETBL4583[[#This Row],[OPERATION]],OPERATIONCOST,2,FALSE)," ")</f>
        <v xml:space="preserve"> </v>
      </c>
      <c r="J373" s="1" t="str">
        <f>IFERROR(VLOOKUP(EXPENSETBL4583[[#This Row],[OPERATION]],OPERATIONCOST,3,FALSE)," ")</f>
        <v xml:space="preserve"> </v>
      </c>
      <c r="K373" t="str">
        <f>IF(EXPENSETBL4583[[#This Row],[UOM]]="acre",EXPENSETBL4583[[#This Row],[ACRES]]," ")</f>
        <v xml:space="preserve"> </v>
      </c>
      <c r="L373" s="17">
        <f t="shared" si="22"/>
        <v>1</v>
      </c>
      <c r="M373" s="17">
        <f t="shared" si="23"/>
        <v>0</v>
      </c>
      <c r="N373" s="1" t="str">
        <f>IFERROR((EXPENSETBL4583[[#This Row],[MCC.ENT]]*EXPENSETBL4583[[#This Row],[TOTAL]])," ")</f>
        <v xml:space="preserve"> </v>
      </c>
      <c r="O373" s="1" t="str">
        <f>IFERROR((EXPENSETBL4583[[#This Row],[L.L.]]*EXPENSETBL4583[[#This Row],[TOTAL]])," ")</f>
        <v xml:space="preserve"> </v>
      </c>
      <c r="P373" s="1" t="str">
        <f>IFERROR((EXPENSETBL4583[[#This Row],[QTY]]*EXPENSETBL4583[[#This Row],[$/UOM]])," ")</f>
        <v xml:space="preserve"> </v>
      </c>
      <c r="Q373" s="1"/>
      <c r="R373" s="1"/>
    </row>
    <row r="374" spans="5:18" hidden="1" x14ac:dyDescent="0.25">
      <c r="E374" t="e">
        <f>VLOOKUP(EXPENSETBL4583[[#This Row],[FIELD]],FFTBL[[Field]:[Acres]],2,FALSE)</f>
        <v>#N/A</v>
      </c>
      <c r="I374" t="str">
        <f>IFERROR(VLOOKUP(EXPENSETBL4583[[#This Row],[OPERATION]],OPERATIONCOST,2,FALSE)," ")</f>
        <v xml:space="preserve"> </v>
      </c>
      <c r="J374" s="1" t="str">
        <f>IFERROR(VLOOKUP(EXPENSETBL4583[[#This Row],[OPERATION]],OPERATIONCOST,3,FALSE)," ")</f>
        <v xml:space="preserve"> </v>
      </c>
      <c r="K374" t="str">
        <f>IF(EXPENSETBL4583[[#This Row],[UOM]]="acre",EXPENSETBL4583[[#This Row],[ACRES]]," ")</f>
        <v xml:space="preserve"> </v>
      </c>
      <c r="L374" s="17">
        <f t="shared" si="22"/>
        <v>1</v>
      </c>
      <c r="M374" s="17">
        <f t="shared" si="23"/>
        <v>0</v>
      </c>
      <c r="N374" s="1" t="str">
        <f>IFERROR((EXPENSETBL4583[[#This Row],[MCC.ENT]]*EXPENSETBL4583[[#This Row],[TOTAL]])," ")</f>
        <v xml:space="preserve"> </v>
      </c>
      <c r="O374" s="1" t="str">
        <f>IFERROR((EXPENSETBL4583[[#This Row],[L.L.]]*EXPENSETBL4583[[#This Row],[TOTAL]])," ")</f>
        <v xml:space="preserve"> </v>
      </c>
      <c r="P374" s="1" t="str">
        <f>IFERROR((EXPENSETBL4583[[#This Row],[QTY]]*EXPENSETBL4583[[#This Row],[$/UOM]])," ")</f>
        <v xml:space="preserve"> </v>
      </c>
      <c r="Q374" s="1"/>
      <c r="R374" s="1"/>
    </row>
    <row r="375" spans="5:18" hidden="1" x14ac:dyDescent="0.25">
      <c r="E375" t="e">
        <f>VLOOKUP(EXPENSETBL4583[[#This Row],[FIELD]],FFTBL[[Field]:[Acres]],2,FALSE)</f>
        <v>#N/A</v>
      </c>
      <c r="I375" t="str">
        <f>IFERROR(VLOOKUP(EXPENSETBL4583[[#This Row],[OPERATION]],OPERATIONCOST,2,FALSE)," ")</f>
        <v xml:space="preserve"> </v>
      </c>
      <c r="J375" s="1" t="str">
        <f>IFERROR(VLOOKUP(EXPENSETBL4583[[#This Row],[OPERATION]],OPERATIONCOST,3,FALSE)," ")</f>
        <v xml:space="preserve"> </v>
      </c>
      <c r="K375" t="str">
        <f>IF(EXPENSETBL4583[[#This Row],[UOM]]="acre",EXPENSETBL4583[[#This Row],[ACRES]]," ")</f>
        <v xml:space="preserve"> </v>
      </c>
      <c r="L375" s="17">
        <f t="shared" si="22"/>
        <v>1</v>
      </c>
      <c r="M375" s="17">
        <f t="shared" si="23"/>
        <v>0</v>
      </c>
      <c r="N375" s="1" t="str">
        <f>IFERROR((EXPENSETBL4583[[#This Row],[MCC.ENT]]*EXPENSETBL4583[[#This Row],[TOTAL]])," ")</f>
        <v xml:space="preserve"> </v>
      </c>
      <c r="O375" s="1" t="str">
        <f>IFERROR((EXPENSETBL4583[[#This Row],[L.L.]]*EXPENSETBL4583[[#This Row],[TOTAL]])," ")</f>
        <v xml:space="preserve"> </v>
      </c>
      <c r="P375" s="1" t="str">
        <f>IFERROR((EXPENSETBL4583[[#This Row],[QTY]]*EXPENSETBL4583[[#This Row],[$/UOM]])," ")</f>
        <v xml:space="preserve"> </v>
      </c>
      <c r="Q375" s="1"/>
      <c r="R375" s="1"/>
    </row>
    <row r="376" spans="5:18" hidden="1" x14ac:dyDescent="0.25">
      <c r="E376" t="e">
        <f>VLOOKUP(EXPENSETBL4583[[#This Row],[FIELD]],FFTBL[[Field]:[Acres]],2,FALSE)</f>
        <v>#N/A</v>
      </c>
      <c r="I376" t="str">
        <f>IFERROR(VLOOKUP(EXPENSETBL4583[[#This Row],[OPERATION]],OPERATIONCOST,2,FALSE)," ")</f>
        <v xml:space="preserve"> </v>
      </c>
      <c r="J376" s="1" t="str">
        <f>IFERROR(VLOOKUP(EXPENSETBL4583[[#This Row],[OPERATION]],OPERATIONCOST,3,FALSE)," ")</f>
        <v xml:space="preserve"> </v>
      </c>
      <c r="K376" t="str">
        <f>IF(EXPENSETBL4583[[#This Row],[UOM]]="acre",EXPENSETBL4583[[#This Row],[ACRES]]," ")</f>
        <v xml:space="preserve"> </v>
      </c>
      <c r="L376" s="17">
        <f t="shared" si="22"/>
        <v>1</v>
      </c>
      <c r="M376" s="17">
        <f t="shared" si="23"/>
        <v>0</v>
      </c>
      <c r="N376" s="1" t="str">
        <f>IFERROR((EXPENSETBL4583[[#This Row],[MCC.ENT]]*EXPENSETBL4583[[#This Row],[TOTAL]])," ")</f>
        <v xml:space="preserve"> </v>
      </c>
      <c r="O376" s="1" t="str">
        <f>IFERROR((EXPENSETBL4583[[#This Row],[L.L.]]*EXPENSETBL4583[[#This Row],[TOTAL]])," ")</f>
        <v xml:space="preserve"> </v>
      </c>
      <c r="P376" s="1" t="str">
        <f>IFERROR((EXPENSETBL4583[[#This Row],[QTY]]*EXPENSETBL4583[[#This Row],[$/UOM]])," ")</f>
        <v xml:space="preserve"> </v>
      </c>
      <c r="Q376" s="1"/>
      <c r="R376" s="1"/>
    </row>
    <row r="377" spans="5:18" hidden="1" x14ac:dyDescent="0.25">
      <c r="E377" t="e">
        <f>VLOOKUP(EXPENSETBL4583[[#This Row],[FIELD]],FFTBL[[Field]:[Acres]],2,FALSE)</f>
        <v>#N/A</v>
      </c>
      <c r="I377" t="str">
        <f>IFERROR(VLOOKUP(EXPENSETBL4583[[#This Row],[OPERATION]],OPERATIONCOST,2,FALSE)," ")</f>
        <v xml:space="preserve"> </v>
      </c>
      <c r="J377" s="1" t="str">
        <f>IFERROR(VLOOKUP(EXPENSETBL4583[[#This Row],[OPERATION]],OPERATIONCOST,3,FALSE)," ")</f>
        <v xml:space="preserve"> </v>
      </c>
      <c r="K377" t="str">
        <f>IF(EXPENSETBL4583[[#This Row],[UOM]]="acre",EXPENSETBL4583[[#This Row],[ACRES]]," ")</f>
        <v xml:space="preserve"> </v>
      </c>
      <c r="L377" s="17">
        <f t="shared" si="22"/>
        <v>1</v>
      </c>
      <c r="M377" s="17">
        <f t="shared" si="23"/>
        <v>0</v>
      </c>
      <c r="N377" s="1" t="str">
        <f>IFERROR((EXPENSETBL4583[[#This Row],[MCC.ENT]]*EXPENSETBL4583[[#This Row],[TOTAL]])," ")</f>
        <v xml:space="preserve"> </v>
      </c>
      <c r="O377" s="1" t="str">
        <f>IFERROR((EXPENSETBL4583[[#This Row],[L.L.]]*EXPENSETBL4583[[#This Row],[TOTAL]])," ")</f>
        <v xml:space="preserve"> </v>
      </c>
      <c r="P377" s="1" t="str">
        <f>IFERROR((EXPENSETBL4583[[#This Row],[QTY]]*EXPENSETBL4583[[#This Row],[$/UOM]])," ")</f>
        <v xml:space="preserve"> </v>
      </c>
      <c r="Q377" s="1"/>
      <c r="R377" s="1"/>
    </row>
    <row r="378" spans="5:18" hidden="1" x14ac:dyDescent="0.25">
      <c r="E378" t="e">
        <f>VLOOKUP(EXPENSETBL4583[[#This Row],[FIELD]],FFTBL[[Field]:[Acres]],2,FALSE)</f>
        <v>#N/A</v>
      </c>
      <c r="I378" t="str">
        <f>IFERROR(VLOOKUP(EXPENSETBL4583[[#This Row],[OPERATION]],OPERATIONCOST,2,FALSE)," ")</f>
        <v xml:space="preserve"> </v>
      </c>
      <c r="J378" s="1" t="str">
        <f>IFERROR(VLOOKUP(EXPENSETBL4583[[#This Row],[OPERATION]],OPERATIONCOST,3,FALSE)," ")</f>
        <v xml:space="preserve"> </v>
      </c>
      <c r="K378" t="str">
        <f>IF(EXPENSETBL4583[[#This Row],[UOM]]="acre",EXPENSETBL4583[[#This Row],[ACRES]]," ")</f>
        <v xml:space="preserve"> </v>
      </c>
      <c r="L378" s="17">
        <f t="shared" si="22"/>
        <v>1</v>
      </c>
      <c r="M378" s="17">
        <f t="shared" si="23"/>
        <v>0</v>
      </c>
      <c r="N378" s="1" t="str">
        <f>IFERROR((EXPENSETBL4583[[#This Row],[MCC.ENT]]*EXPENSETBL4583[[#This Row],[TOTAL]])," ")</f>
        <v xml:space="preserve"> </v>
      </c>
      <c r="O378" s="1" t="str">
        <f>IFERROR((EXPENSETBL4583[[#This Row],[L.L.]]*EXPENSETBL4583[[#This Row],[TOTAL]])," ")</f>
        <v xml:space="preserve"> </v>
      </c>
      <c r="P378" s="1" t="str">
        <f>IFERROR((EXPENSETBL4583[[#This Row],[QTY]]*EXPENSETBL4583[[#This Row],[$/UOM]])," ")</f>
        <v xml:space="preserve"> </v>
      </c>
      <c r="Q378" s="1"/>
      <c r="R378" s="1"/>
    </row>
    <row r="379" spans="5:18" hidden="1" x14ac:dyDescent="0.25">
      <c r="E379" t="e">
        <f>VLOOKUP(EXPENSETBL4583[[#This Row],[FIELD]],FFTBL[[Field]:[Acres]],2,FALSE)</f>
        <v>#N/A</v>
      </c>
      <c r="I379" t="str">
        <f>IFERROR(VLOOKUP(EXPENSETBL4583[[#This Row],[OPERATION]],OPERATIONCOST,2,FALSE)," ")</f>
        <v xml:space="preserve"> </v>
      </c>
      <c r="J379" s="1" t="str">
        <f>IFERROR(VLOOKUP(EXPENSETBL4583[[#This Row],[OPERATION]],OPERATIONCOST,3,FALSE)," ")</f>
        <v xml:space="preserve"> </v>
      </c>
      <c r="K379" t="str">
        <f>IF(EXPENSETBL4583[[#This Row],[UOM]]="acre",EXPENSETBL4583[[#This Row],[ACRES]]," ")</f>
        <v xml:space="preserve"> </v>
      </c>
      <c r="L379" s="17">
        <f t="shared" si="22"/>
        <v>1</v>
      </c>
      <c r="M379" s="17">
        <f t="shared" si="23"/>
        <v>0</v>
      </c>
      <c r="N379" s="1" t="str">
        <f>IFERROR((EXPENSETBL4583[[#This Row],[MCC.ENT]]*EXPENSETBL4583[[#This Row],[TOTAL]])," ")</f>
        <v xml:space="preserve"> </v>
      </c>
      <c r="O379" s="1" t="str">
        <f>IFERROR((EXPENSETBL4583[[#This Row],[L.L.]]*EXPENSETBL4583[[#This Row],[TOTAL]])," ")</f>
        <v xml:space="preserve"> </v>
      </c>
      <c r="P379" s="1" t="str">
        <f>IFERROR((EXPENSETBL4583[[#This Row],[QTY]]*EXPENSETBL4583[[#This Row],[$/UOM]])," ")</f>
        <v xml:space="preserve"> </v>
      </c>
      <c r="Q379" s="1"/>
      <c r="R379" s="1"/>
    </row>
    <row r="380" spans="5:18" hidden="1" x14ac:dyDescent="0.25">
      <c r="E380" t="e">
        <f>VLOOKUP(EXPENSETBL4583[[#This Row],[FIELD]],FFTBL[[Field]:[Acres]],2,FALSE)</f>
        <v>#N/A</v>
      </c>
      <c r="I380" t="str">
        <f>IFERROR(VLOOKUP(EXPENSETBL4583[[#This Row],[OPERATION]],OPERATIONCOST,2,FALSE)," ")</f>
        <v xml:space="preserve"> </v>
      </c>
      <c r="J380" s="1" t="str">
        <f>IFERROR(VLOOKUP(EXPENSETBL4583[[#This Row],[OPERATION]],OPERATIONCOST,3,FALSE)," ")</f>
        <v xml:space="preserve"> </v>
      </c>
      <c r="K380" t="str">
        <f>IF(EXPENSETBL4583[[#This Row],[UOM]]="acre",EXPENSETBL4583[[#This Row],[ACRES]]," ")</f>
        <v xml:space="preserve"> </v>
      </c>
      <c r="L380" s="17">
        <f t="shared" si="22"/>
        <v>1</v>
      </c>
      <c r="M380" s="17">
        <f t="shared" si="23"/>
        <v>0</v>
      </c>
      <c r="N380" s="1" t="str">
        <f>IFERROR((EXPENSETBL4583[[#This Row],[MCC.ENT]]*EXPENSETBL4583[[#This Row],[TOTAL]])," ")</f>
        <v xml:space="preserve"> </v>
      </c>
      <c r="O380" s="1" t="str">
        <f>IFERROR((EXPENSETBL4583[[#This Row],[L.L.]]*EXPENSETBL4583[[#This Row],[TOTAL]])," ")</f>
        <v xml:space="preserve"> </v>
      </c>
      <c r="P380" s="1" t="str">
        <f>IFERROR((EXPENSETBL4583[[#This Row],[QTY]]*EXPENSETBL4583[[#This Row],[$/UOM]])," ")</f>
        <v xml:space="preserve"> </v>
      </c>
      <c r="Q380" s="1"/>
      <c r="R380" s="1"/>
    </row>
    <row r="381" spans="5:18" hidden="1" x14ac:dyDescent="0.25">
      <c r="E381" t="e">
        <f>VLOOKUP(EXPENSETBL4583[[#This Row],[FIELD]],FFTBL[[Field]:[Acres]],2,FALSE)</f>
        <v>#N/A</v>
      </c>
      <c r="I381" t="str">
        <f>IFERROR(VLOOKUP(EXPENSETBL4583[[#This Row],[OPERATION]],OPERATIONCOST,2,FALSE)," ")</f>
        <v xml:space="preserve"> </v>
      </c>
      <c r="J381" s="1" t="str">
        <f>IFERROR(VLOOKUP(EXPENSETBL4583[[#This Row],[OPERATION]],OPERATIONCOST,3,FALSE)," ")</f>
        <v xml:space="preserve"> </v>
      </c>
      <c r="K381" t="str">
        <f>IF(EXPENSETBL4583[[#This Row],[UOM]]="acre",EXPENSETBL4583[[#This Row],[ACRES]]," ")</f>
        <v xml:space="preserve"> </v>
      </c>
      <c r="L381" s="17">
        <f t="shared" si="22"/>
        <v>1</v>
      </c>
      <c r="M381" s="17">
        <f t="shared" si="23"/>
        <v>0</v>
      </c>
      <c r="N381" s="1" t="str">
        <f>IFERROR((EXPENSETBL4583[[#This Row],[MCC.ENT]]*EXPENSETBL4583[[#This Row],[TOTAL]])," ")</f>
        <v xml:space="preserve"> </v>
      </c>
      <c r="O381" s="1" t="str">
        <f>IFERROR((EXPENSETBL4583[[#This Row],[L.L.]]*EXPENSETBL4583[[#This Row],[TOTAL]])," ")</f>
        <v xml:space="preserve"> </v>
      </c>
      <c r="P381" s="1" t="str">
        <f>IFERROR((EXPENSETBL4583[[#This Row],[QTY]]*EXPENSETBL4583[[#This Row],[$/UOM]])," ")</f>
        <v xml:space="preserve"> </v>
      </c>
      <c r="Q381" s="1"/>
      <c r="R381" s="1"/>
    </row>
    <row r="382" spans="5:18" hidden="1" x14ac:dyDescent="0.25">
      <c r="E382" t="e">
        <f>VLOOKUP(EXPENSETBL4583[[#This Row],[FIELD]],FFTBL[[Field]:[Acres]],2,FALSE)</f>
        <v>#N/A</v>
      </c>
      <c r="I382" t="str">
        <f>IFERROR(VLOOKUP(EXPENSETBL4583[[#This Row],[OPERATION]],OPERATIONCOST,2,FALSE)," ")</f>
        <v xml:space="preserve"> </v>
      </c>
      <c r="J382" s="1" t="str">
        <f>IFERROR(VLOOKUP(EXPENSETBL4583[[#This Row],[OPERATION]],OPERATIONCOST,3,FALSE)," ")</f>
        <v xml:space="preserve"> </v>
      </c>
      <c r="K382" t="str">
        <f>IF(EXPENSETBL4583[[#This Row],[UOM]]="acre",EXPENSETBL4583[[#This Row],[ACRES]]," ")</f>
        <v xml:space="preserve"> </v>
      </c>
      <c r="L382" s="17">
        <f t="shared" si="22"/>
        <v>1</v>
      </c>
      <c r="M382" s="17">
        <f t="shared" si="23"/>
        <v>0</v>
      </c>
      <c r="N382" s="1" t="str">
        <f>IFERROR((EXPENSETBL4583[[#This Row],[MCC.ENT]]*EXPENSETBL4583[[#This Row],[TOTAL]])," ")</f>
        <v xml:space="preserve"> </v>
      </c>
      <c r="O382" s="1" t="str">
        <f>IFERROR((EXPENSETBL4583[[#This Row],[L.L.]]*EXPENSETBL4583[[#This Row],[TOTAL]])," ")</f>
        <v xml:space="preserve"> </v>
      </c>
      <c r="P382" s="1" t="str">
        <f>IFERROR((EXPENSETBL4583[[#This Row],[QTY]]*EXPENSETBL4583[[#This Row],[$/UOM]])," ")</f>
        <v xml:space="preserve"> </v>
      </c>
      <c r="Q382" s="1"/>
      <c r="R382" s="1"/>
    </row>
    <row r="383" spans="5:18" hidden="1" x14ac:dyDescent="0.25">
      <c r="E383" t="e">
        <f>VLOOKUP(EXPENSETBL4583[[#This Row],[FIELD]],FFTBL[[Field]:[Acres]],2,FALSE)</f>
        <v>#N/A</v>
      </c>
      <c r="I383" t="str">
        <f>IFERROR(VLOOKUP(EXPENSETBL4583[[#This Row],[OPERATION]],OPERATIONCOST,2,FALSE)," ")</f>
        <v xml:space="preserve"> </v>
      </c>
      <c r="J383" s="1" t="str">
        <f>IFERROR(VLOOKUP(EXPENSETBL4583[[#This Row],[OPERATION]],OPERATIONCOST,3,FALSE)," ")</f>
        <v xml:space="preserve"> </v>
      </c>
      <c r="K383" t="str">
        <f>IF(EXPENSETBL4583[[#This Row],[UOM]]="acre",EXPENSETBL4583[[#This Row],[ACRES]]," ")</f>
        <v xml:space="preserve"> </v>
      </c>
      <c r="L383" s="17">
        <f t="shared" si="22"/>
        <v>1</v>
      </c>
      <c r="M383" s="17">
        <f t="shared" si="23"/>
        <v>0</v>
      </c>
      <c r="N383" s="1" t="str">
        <f>IFERROR((EXPENSETBL4583[[#This Row],[MCC.ENT]]*EXPENSETBL4583[[#This Row],[TOTAL]])," ")</f>
        <v xml:space="preserve"> </v>
      </c>
      <c r="O383" s="1" t="str">
        <f>IFERROR((EXPENSETBL4583[[#This Row],[L.L.]]*EXPENSETBL4583[[#This Row],[TOTAL]])," ")</f>
        <v xml:space="preserve"> </v>
      </c>
      <c r="P383" s="1" t="str">
        <f>IFERROR((EXPENSETBL4583[[#This Row],[QTY]]*EXPENSETBL4583[[#This Row],[$/UOM]])," ")</f>
        <v xml:space="preserve"> </v>
      </c>
      <c r="Q383" s="1"/>
      <c r="R383" s="1"/>
    </row>
    <row r="384" spans="5:18" hidden="1" x14ac:dyDescent="0.25">
      <c r="E384" t="e">
        <f>VLOOKUP(EXPENSETBL4583[[#This Row],[FIELD]],FFTBL[[Field]:[Acres]],2,FALSE)</f>
        <v>#N/A</v>
      </c>
      <c r="I384" t="str">
        <f>IFERROR(VLOOKUP(EXPENSETBL4583[[#This Row],[OPERATION]],OPERATIONCOST,2,FALSE)," ")</f>
        <v xml:space="preserve"> </v>
      </c>
      <c r="J384" s="1" t="str">
        <f>IFERROR(VLOOKUP(EXPENSETBL4583[[#This Row],[OPERATION]],OPERATIONCOST,3,FALSE)," ")</f>
        <v xml:space="preserve"> </v>
      </c>
      <c r="K384" t="str">
        <f>IF(EXPENSETBL4583[[#This Row],[UOM]]="acre",EXPENSETBL4583[[#This Row],[ACRES]]," ")</f>
        <v xml:space="preserve"> </v>
      </c>
      <c r="L384" s="17">
        <f t="shared" si="22"/>
        <v>1</v>
      </c>
      <c r="M384" s="17">
        <f t="shared" si="23"/>
        <v>0</v>
      </c>
      <c r="N384" s="1" t="str">
        <f>IFERROR((EXPENSETBL4583[[#This Row],[MCC.ENT]]*EXPENSETBL4583[[#This Row],[TOTAL]])," ")</f>
        <v xml:space="preserve"> </v>
      </c>
      <c r="O384" s="1" t="str">
        <f>IFERROR((EXPENSETBL4583[[#This Row],[L.L.]]*EXPENSETBL4583[[#This Row],[TOTAL]])," ")</f>
        <v xml:space="preserve"> </v>
      </c>
      <c r="P384" s="1" t="str">
        <f>IFERROR((EXPENSETBL4583[[#This Row],[QTY]]*EXPENSETBL4583[[#This Row],[$/UOM]])," ")</f>
        <v xml:space="preserve"> </v>
      </c>
      <c r="Q384" s="1"/>
      <c r="R384" s="1"/>
    </row>
    <row r="385" spans="5:18" hidden="1" x14ac:dyDescent="0.25">
      <c r="E385" t="e">
        <f>VLOOKUP(EXPENSETBL4583[[#This Row],[FIELD]],FFTBL[[Field]:[Acres]],2,FALSE)</f>
        <v>#N/A</v>
      </c>
      <c r="I385" t="str">
        <f>IFERROR(VLOOKUP(EXPENSETBL4583[[#This Row],[OPERATION]],OPERATIONCOST,2,FALSE)," ")</f>
        <v xml:space="preserve"> </v>
      </c>
      <c r="J385" s="1" t="str">
        <f>IFERROR(VLOOKUP(EXPENSETBL4583[[#This Row],[OPERATION]],OPERATIONCOST,3,FALSE)," ")</f>
        <v xml:space="preserve"> </v>
      </c>
      <c r="K385" t="str">
        <f>IF(EXPENSETBL4583[[#This Row],[UOM]]="acre",EXPENSETBL4583[[#This Row],[ACRES]]," ")</f>
        <v xml:space="preserve"> </v>
      </c>
      <c r="L385" s="17">
        <f t="shared" si="22"/>
        <v>1</v>
      </c>
      <c r="M385" s="17">
        <f t="shared" si="23"/>
        <v>0</v>
      </c>
      <c r="N385" s="1" t="str">
        <f>IFERROR((EXPENSETBL4583[[#This Row],[MCC.ENT]]*EXPENSETBL4583[[#This Row],[TOTAL]])," ")</f>
        <v xml:space="preserve"> </v>
      </c>
      <c r="O385" s="1" t="str">
        <f>IFERROR((EXPENSETBL4583[[#This Row],[L.L.]]*EXPENSETBL4583[[#This Row],[TOTAL]])," ")</f>
        <v xml:space="preserve"> </v>
      </c>
      <c r="P385" s="1" t="str">
        <f>IFERROR((EXPENSETBL4583[[#This Row],[QTY]]*EXPENSETBL4583[[#This Row],[$/UOM]])," ")</f>
        <v xml:space="preserve"> </v>
      </c>
      <c r="Q385" s="1"/>
      <c r="R385" s="1"/>
    </row>
    <row r="386" spans="5:18" hidden="1" x14ac:dyDescent="0.25">
      <c r="E386" t="e">
        <f>VLOOKUP(EXPENSETBL4583[[#This Row],[FIELD]],FFTBL[[Field]:[Acres]],2,FALSE)</f>
        <v>#N/A</v>
      </c>
      <c r="I386" t="str">
        <f>IFERROR(VLOOKUP(EXPENSETBL4583[[#This Row],[OPERATION]],OPERATIONCOST,2,FALSE)," ")</f>
        <v xml:space="preserve"> </v>
      </c>
      <c r="J386" s="1" t="str">
        <f>IFERROR(VLOOKUP(EXPENSETBL4583[[#This Row],[OPERATION]],OPERATIONCOST,3,FALSE)," ")</f>
        <v xml:space="preserve"> </v>
      </c>
      <c r="K386" t="str">
        <f>IF(EXPENSETBL4583[[#This Row],[UOM]]="acre",EXPENSETBL4583[[#This Row],[ACRES]]," ")</f>
        <v xml:space="preserve"> </v>
      </c>
      <c r="L386" s="17">
        <f t="shared" si="22"/>
        <v>1</v>
      </c>
      <c r="M386" s="17">
        <f t="shared" si="23"/>
        <v>0</v>
      </c>
      <c r="N386" s="1" t="str">
        <f>IFERROR((EXPENSETBL4583[[#This Row],[MCC.ENT]]*EXPENSETBL4583[[#This Row],[TOTAL]])," ")</f>
        <v xml:space="preserve"> </v>
      </c>
      <c r="O386" s="1" t="str">
        <f>IFERROR((EXPENSETBL4583[[#This Row],[L.L.]]*EXPENSETBL4583[[#This Row],[TOTAL]])," ")</f>
        <v xml:space="preserve"> </v>
      </c>
      <c r="P386" s="1" t="str">
        <f>IFERROR((EXPENSETBL4583[[#This Row],[QTY]]*EXPENSETBL4583[[#This Row],[$/UOM]])," ")</f>
        <v xml:space="preserve"> </v>
      </c>
      <c r="Q386" s="1"/>
      <c r="R386" s="1"/>
    </row>
    <row r="387" spans="5:18" hidden="1" x14ac:dyDescent="0.25">
      <c r="E387" t="e">
        <f>VLOOKUP(EXPENSETBL4583[[#This Row],[FIELD]],FFTBL[[Field]:[Acres]],2,FALSE)</f>
        <v>#N/A</v>
      </c>
      <c r="I387" t="str">
        <f>IFERROR(VLOOKUP(EXPENSETBL4583[[#This Row],[OPERATION]],OPERATIONCOST,2,FALSE)," ")</f>
        <v xml:space="preserve"> </v>
      </c>
      <c r="J387" s="1" t="str">
        <f>IFERROR(VLOOKUP(EXPENSETBL4583[[#This Row],[OPERATION]],OPERATIONCOST,3,FALSE)," ")</f>
        <v xml:space="preserve"> </v>
      </c>
      <c r="K387" t="str">
        <f>IF(EXPENSETBL4583[[#This Row],[UOM]]="acre",EXPENSETBL4583[[#This Row],[ACRES]]," ")</f>
        <v xml:space="preserve"> </v>
      </c>
      <c r="L387" s="17">
        <f t="shared" si="22"/>
        <v>1</v>
      </c>
      <c r="M387" s="17">
        <f t="shared" si="23"/>
        <v>0</v>
      </c>
      <c r="N387" s="1" t="str">
        <f>IFERROR((EXPENSETBL4583[[#This Row],[MCC.ENT]]*EXPENSETBL4583[[#This Row],[TOTAL]])," ")</f>
        <v xml:space="preserve"> </v>
      </c>
      <c r="O387" s="1" t="str">
        <f>IFERROR((EXPENSETBL4583[[#This Row],[L.L.]]*EXPENSETBL4583[[#This Row],[TOTAL]])," ")</f>
        <v xml:space="preserve"> </v>
      </c>
      <c r="P387" s="1" t="str">
        <f>IFERROR((EXPENSETBL4583[[#This Row],[QTY]]*EXPENSETBL4583[[#This Row],[$/UOM]])," ")</f>
        <v xml:space="preserve"> </v>
      </c>
      <c r="Q387" s="1"/>
      <c r="R387" s="1"/>
    </row>
    <row r="388" spans="5:18" hidden="1" x14ac:dyDescent="0.25">
      <c r="E388" t="e">
        <f>VLOOKUP(EXPENSETBL4583[[#This Row],[FIELD]],FFTBL[[Field]:[Acres]],2,FALSE)</f>
        <v>#N/A</v>
      </c>
      <c r="I388" t="str">
        <f>IFERROR(VLOOKUP(EXPENSETBL4583[[#This Row],[OPERATION]],OPERATIONCOST,2,FALSE)," ")</f>
        <v xml:space="preserve"> </v>
      </c>
      <c r="J388" s="1" t="str">
        <f>IFERROR(VLOOKUP(EXPENSETBL4583[[#This Row],[OPERATION]],OPERATIONCOST,3,FALSE)," ")</f>
        <v xml:space="preserve"> </v>
      </c>
      <c r="K388" t="str">
        <f>IF(EXPENSETBL4583[[#This Row],[UOM]]="acre",EXPENSETBL4583[[#This Row],[ACRES]]," ")</f>
        <v xml:space="preserve"> </v>
      </c>
      <c r="L388" s="17">
        <f t="shared" si="22"/>
        <v>1</v>
      </c>
      <c r="M388" s="17">
        <f t="shared" si="23"/>
        <v>0</v>
      </c>
      <c r="N388" s="1" t="str">
        <f>IFERROR((EXPENSETBL4583[[#This Row],[MCC.ENT]]*EXPENSETBL4583[[#This Row],[TOTAL]])," ")</f>
        <v xml:space="preserve"> </v>
      </c>
      <c r="O388" s="1" t="str">
        <f>IFERROR((EXPENSETBL4583[[#This Row],[L.L.]]*EXPENSETBL4583[[#This Row],[TOTAL]])," ")</f>
        <v xml:space="preserve"> </v>
      </c>
      <c r="P388" s="1" t="str">
        <f>IFERROR((EXPENSETBL4583[[#This Row],[QTY]]*EXPENSETBL4583[[#This Row],[$/UOM]])," ")</f>
        <v xml:space="preserve"> </v>
      </c>
      <c r="Q388" s="1"/>
      <c r="R388" s="1"/>
    </row>
    <row r="389" spans="5:18" hidden="1" x14ac:dyDescent="0.25">
      <c r="E389" t="e">
        <f>VLOOKUP(EXPENSETBL4583[[#This Row],[FIELD]],FFTBL[[Field]:[Acres]],2,FALSE)</f>
        <v>#N/A</v>
      </c>
      <c r="I389" t="str">
        <f>IFERROR(VLOOKUP(EXPENSETBL4583[[#This Row],[OPERATION]],OPERATIONCOST,2,FALSE)," ")</f>
        <v xml:space="preserve"> </v>
      </c>
      <c r="J389" s="1" t="str">
        <f>IFERROR(VLOOKUP(EXPENSETBL4583[[#This Row],[OPERATION]],OPERATIONCOST,3,FALSE)," ")</f>
        <v xml:space="preserve"> </v>
      </c>
      <c r="K389" t="str">
        <f>IF(EXPENSETBL4583[[#This Row],[UOM]]="acre",EXPENSETBL4583[[#This Row],[ACRES]]," ")</f>
        <v xml:space="preserve"> </v>
      </c>
      <c r="L389" s="17">
        <f t="shared" si="22"/>
        <v>1</v>
      </c>
      <c r="M389" s="17">
        <f t="shared" si="23"/>
        <v>0</v>
      </c>
      <c r="N389" s="1" t="str">
        <f>IFERROR((EXPENSETBL4583[[#This Row],[MCC.ENT]]*EXPENSETBL4583[[#This Row],[TOTAL]])," ")</f>
        <v xml:space="preserve"> </v>
      </c>
      <c r="O389" s="1" t="str">
        <f>IFERROR((EXPENSETBL4583[[#This Row],[L.L.]]*EXPENSETBL4583[[#This Row],[TOTAL]])," ")</f>
        <v xml:space="preserve"> </v>
      </c>
      <c r="P389" s="1" t="str">
        <f>IFERROR((EXPENSETBL4583[[#This Row],[QTY]]*EXPENSETBL4583[[#This Row],[$/UOM]])," ")</f>
        <v xml:space="preserve"> </v>
      </c>
      <c r="Q389" s="1"/>
      <c r="R389" s="1"/>
    </row>
    <row r="390" spans="5:18" hidden="1" x14ac:dyDescent="0.25">
      <c r="E390" t="e">
        <f>VLOOKUP(EXPENSETBL4583[[#This Row],[FIELD]],FFTBL[[Field]:[Acres]],2,FALSE)</f>
        <v>#N/A</v>
      </c>
      <c r="I390" t="str">
        <f>IFERROR(VLOOKUP(EXPENSETBL4583[[#This Row],[OPERATION]],OPERATIONCOST,2,FALSE)," ")</f>
        <v xml:space="preserve"> </v>
      </c>
      <c r="J390" s="1" t="str">
        <f>IFERROR(VLOOKUP(EXPENSETBL4583[[#This Row],[OPERATION]],OPERATIONCOST,3,FALSE)," ")</f>
        <v xml:space="preserve"> </v>
      </c>
      <c r="K390" t="str">
        <f>IF(EXPENSETBL4583[[#This Row],[UOM]]="acre",EXPENSETBL4583[[#This Row],[ACRES]]," ")</f>
        <v xml:space="preserve"> </v>
      </c>
      <c r="L390" s="17">
        <f t="shared" si="22"/>
        <v>1</v>
      </c>
      <c r="M390" s="17">
        <f t="shared" si="23"/>
        <v>0</v>
      </c>
      <c r="N390" s="1" t="str">
        <f>IFERROR((EXPENSETBL4583[[#This Row],[MCC.ENT]]*EXPENSETBL4583[[#This Row],[TOTAL]])," ")</f>
        <v xml:space="preserve"> </v>
      </c>
      <c r="O390" s="1" t="str">
        <f>IFERROR((EXPENSETBL4583[[#This Row],[L.L.]]*EXPENSETBL4583[[#This Row],[TOTAL]])," ")</f>
        <v xml:space="preserve"> </v>
      </c>
      <c r="P390" s="1" t="str">
        <f>IFERROR((EXPENSETBL4583[[#This Row],[QTY]]*EXPENSETBL4583[[#This Row],[$/UOM]])," ")</f>
        <v xml:space="preserve"> </v>
      </c>
      <c r="Q390" s="1"/>
      <c r="R390" s="1"/>
    </row>
    <row r="391" spans="5:18" hidden="1" x14ac:dyDescent="0.25">
      <c r="E391" t="e">
        <f>VLOOKUP(EXPENSETBL4583[[#This Row],[FIELD]],FFTBL[[Field]:[Acres]],2,FALSE)</f>
        <v>#N/A</v>
      </c>
      <c r="I391" t="str">
        <f>IFERROR(VLOOKUP(EXPENSETBL4583[[#This Row],[OPERATION]],OPERATIONCOST,2,FALSE)," ")</f>
        <v xml:space="preserve"> </v>
      </c>
      <c r="J391" s="1" t="str">
        <f>IFERROR(VLOOKUP(EXPENSETBL4583[[#This Row],[OPERATION]],OPERATIONCOST,3,FALSE)," ")</f>
        <v xml:space="preserve"> </v>
      </c>
      <c r="K391" t="str">
        <f>IF(EXPENSETBL4583[[#This Row],[UOM]]="acre",EXPENSETBL4583[[#This Row],[ACRES]]," ")</f>
        <v xml:space="preserve"> </v>
      </c>
      <c r="L391" s="17">
        <f t="shared" si="22"/>
        <v>1</v>
      </c>
      <c r="M391" s="17">
        <f t="shared" si="23"/>
        <v>0</v>
      </c>
      <c r="N391" s="1" t="str">
        <f>IFERROR((EXPENSETBL4583[[#This Row],[MCC.ENT]]*EXPENSETBL4583[[#This Row],[TOTAL]])," ")</f>
        <v xml:space="preserve"> </v>
      </c>
      <c r="O391" s="1" t="str">
        <f>IFERROR((EXPENSETBL4583[[#This Row],[L.L.]]*EXPENSETBL4583[[#This Row],[TOTAL]])," ")</f>
        <v xml:space="preserve"> </v>
      </c>
      <c r="P391" s="1" t="str">
        <f>IFERROR((EXPENSETBL4583[[#This Row],[QTY]]*EXPENSETBL4583[[#This Row],[$/UOM]])," ")</f>
        <v xml:space="preserve"> </v>
      </c>
      <c r="Q391" s="1"/>
      <c r="R391" s="1"/>
    </row>
    <row r="392" spans="5:18" hidden="1" x14ac:dyDescent="0.25">
      <c r="E392" t="e">
        <f>VLOOKUP(EXPENSETBL4583[[#This Row],[FIELD]],FFTBL[[Field]:[Acres]],2,FALSE)</f>
        <v>#N/A</v>
      </c>
      <c r="I392" t="str">
        <f>IFERROR(VLOOKUP(EXPENSETBL4583[[#This Row],[OPERATION]],OPERATIONCOST,2,FALSE)," ")</f>
        <v xml:space="preserve"> </v>
      </c>
      <c r="J392" s="1" t="str">
        <f>IFERROR(VLOOKUP(EXPENSETBL4583[[#This Row],[OPERATION]],OPERATIONCOST,3,FALSE)," ")</f>
        <v xml:space="preserve"> </v>
      </c>
      <c r="K392" t="str">
        <f>IF(EXPENSETBL4583[[#This Row],[UOM]]="acre",EXPENSETBL4583[[#This Row],[ACRES]]," ")</f>
        <v xml:space="preserve"> </v>
      </c>
      <c r="L392" s="17">
        <f t="shared" si="22"/>
        <v>1</v>
      </c>
      <c r="M392" s="17">
        <f t="shared" si="23"/>
        <v>0</v>
      </c>
      <c r="N392" s="1" t="str">
        <f>IFERROR((EXPENSETBL4583[[#This Row],[MCC.ENT]]*EXPENSETBL4583[[#This Row],[TOTAL]])," ")</f>
        <v xml:space="preserve"> </v>
      </c>
      <c r="O392" s="1" t="str">
        <f>IFERROR((EXPENSETBL4583[[#This Row],[L.L.]]*EXPENSETBL4583[[#This Row],[TOTAL]])," ")</f>
        <v xml:space="preserve"> </v>
      </c>
      <c r="P392" s="1" t="str">
        <f>IFERROR((EXPENSETBL4583[[#This Row],[QTY]]*EXPENSETBL4583[[#This Row],[$/UOM]])," ")</f>
        <v xml:space="preserve"> </v>
      </c>
      <c r="Q392" s="1"/>
      <c r="R392" s="1"/>
    </row>
    <row r="393" spans="5:18" hidden="1" x14ac:dyDescent="0.25">
      <c r="E393" t="e">
        <f>VLOOKUP(EXPENSETBL4583[[#This Row],[FIELD]],FFTBL[[Field]:[Acres]],2,FALSE)</f>
        <v>#N/A</v>
      </c>
      <c r="I393" t="str">
        <f>IFERROR(VLOOKUP(EXPENSETBL4583[[#This Row],[OPERATION]],OPERATIONCOST,2,FALSE)," ")</f>
        <v xml:space="preserve"> </v>
      </c>
      <c r="J393" s="1" t="str">
        <f>IFERROR(VLOOKUP(EXPENSETBL4583[[#This Row],[OPERATION]],OPERATIONCOST,3,FALSE)," ")</f>
        <v xml:space="preserve"> </v>
      </c>
      <c r="K393" t="str">
        <f>IF(EXPENSETBL4583[[#This Row],[UOM]]="acre",EXPENSETBL4583[[#This Row],[ACRES]]," ")</f>
        <v xml:space="preserve"> </v>
      </c>
      <c r="L393" s="17">
        <f t="shared" si="22"/>
        <v>1</v>
      </c>
      <c r="M393" s="17">
        <f t="shared" si="23"/>
        <v>0</v>
      </c>
      <c r="N393" s="1" t="str">
        <f>IFERROR((EXPENSETBL4583[[#This Row],[MCC.ENT]]*EXPENSETBL4583[[#This Row],[TOTAL]])," ")</f>
        <v xml:space="preserve"> </v>
      </c>
      <c r="O393" s="1" t="str">
        <f>IFERROR((EXPENSETBL4583[[#This Row],[L.L.]]*EXPENSETBL4583[[#This Row],[TOTAL]])," ")</f>
        <v xml:space="preserve"> </v>
      </c>
      <c r="P393" s="1" t="str">
        <f>IFERROR((EXPENSETBL4583[[#This Row],[QTY]]*EXPENSETBL4583[[#This Row],[$/UOM]])," ")</f>
        <v xml:space="preserve"> </v>
      </c>
      <c r="Q393" s="1"/>
      <c r="R393" s="1"/>
    </row>
    <row r="394" spans="5:18" hidden="1" x14ac:dyDescent="0.25">
      <c r="E394" t="e">
        <f>VLOOKUP(EXPENSETBL4583[[#This Row],[FIELD]],FFTBL[[Field]:[Acres]],2,FALSE)</f>
        <v>#N/A</v>
      </c>
      <c r="I394" t="str">
        <f>IFERROR(VLOOKUP(EXPENSETBL4583[[#This Row],[OPERATION]],OPERATIONCOST,2,FALSE)," ")</f>
        <v xml:space="preserve"> </v>
      </c>
      <c r="J394" s="1" t="str">
        <f>IFERROR(VLOOKUP(EXPENSETBL4583[[#This Row],[OPERATION]],OPERATIONCOST,3,FALSE)," ")</f>
        <v xml:space="preserve"> </v>
      </c>
      <c r="K394" t="str">
        <f>IF(EXPENSETBL4583[[#This Row],[UOM]]="acre",EXPENSETBL4583[[#This Row],[ACRES]]," ")</f>
        <v xml:space="preserve"> </v>
      </c>
      <c r="L394" s="17">
        <f t="shared" si="22"/>
        <v>1</v>
      </c>
      <c r="M394" s="17">
        <f t="shared" si="23"/>
        <v>0</v>
      </c>
      <c r="N394" s="1" t="str">
        <f>IFERROR((EXPENSETBL4583[[#This Row],[MCC.ENT]]*EXPENSETBL4583[[#This Row],[TOTAL]])," ")</f>
        <v xml:space="preserve"> </v>
      </c>
      <c r="O394" s="1" t="str">
        <f>IFERROR((EXPENSETBL4583[[#This Row],[L.L.]]*EXPENSETBL4583[[#This Row],[TOTAL]])," ")</f>
        <v xml:space="preserve"> </v>
      </c>
      <c r="P394" s="1" t="str">
        <f>IFERROR((EXPENSETBL4583[[#This Row],[QTY]]*EXPENSETBL4583[[#This Row],[$/UOM]])," ")</f>
        <v xml:space="preserve"> </v>
      </c>
      <c r="Q394" s="1"/>
      <c r="R394" s="1"/>
    </row>
    <row r="395" spans="5:18" hidden="1" x14ac:dyDescent="0.25">
      <c r="E395" t="e">
        <f>VLOOKUP(EXPENSETBL4583[[#This Row],[FIELD]],FFTBL[[Field]:[Acres]],2,FALSE)</f>
        <v>#N/A</v>
      </c>
      <c r="I395" t="str">
        <f>IFERROR(VLOOKUP(EXPENSETBL4583[[#This Row],[OPERATION]],OPERATIONCOST,2,FALSE)," ")</f>
        <v xml:space="preserve"> </v>
      </c>
      <c r="J395" s="1" t="str">
        <f>IFERROR(VLOOKUP(EXPENSETBL4583[[#This Row],[OPERATION]],OPERATIONCOST,3,FALSE)," ")</f>
        <v xml:space="preserve"> </v>
      </c>
      <c r="K395" t="str">
        <f>IF(EXPENSETBL4583[[#This Row],[UOM]]="acre",EXPENSETBL4583[[#This Row],[ACRES]]," ")</f>
        <v xml:space="preserve"> </v>
      </c>
      <c r="L395" s="17">
        <f t="shared" si="22"/>
        <v>1</v>
      </c>
      <c r="M395" s="17">
        <f t="shared" si="23"/>
        <v>0</v>
      </c>
      <c r="N395" s="1" t="str">
        <f>IFERROR((EXPENSETBL4583[[#This Row],[MCC.ENT]]*EXPENSETBL4583[[#This Row],[TOTAL]])," ")</f>
        <v xml:space="preserve"> </v>
      </c>
      <c r="O395" s="1" t="str">
        <f>IFERROR((EXPENSETBL4583[[#This Row],[L.L.]]*EXPENSETBL4583[[#This Row],[TOTAL]])," ")</f>
        <v xml:space="preserve"> </v>
      </c>
      <c r="P395" s="1" t="str">
        <f>IFERROR((EXPENSETBL4583[[#This Row],[QTY]]*EXPENSETBL4583[[#This Row],[$/UOM]])," ")</f>
        <v xml:space="preserve"> </v>
      </c>
      <c r="Q395" s="1"/>
      <c r="R395" s="1"/>
    </row>
    <row r="396" spans="5:18" hidden="1" x14ac:dyDescent="0.25">
      <c r="E396" t="e">
        <f>VLOOKUP(EXPENSETBL4583[[#This Row],[FIELD]],FFTBL[[Field]:[Acres]],2,FALSE)</f>
        <v>#N/A</v>
      </c>
      <c r="I396" t="str">
        <f>IFERROR(VLOOKUP(EXPENSETBL4583[[#This Row],[OPERATION]],OPERATIONCOST,2,FALSE)," ")</f>
        <v xml:space="preserve"> </v>
      </c>
      <c r="J396" s="1" t="str">
        <f>IFERROR(VLOOKUP(EXPENSETBL4583[[#This Row],[OPERATION]],OPERATIONCOST,3,FALSE)," ")</f>
        <v xml:space="preserve"> </v>
      </c>
      <c r="K396" t="str">
        <f>IF(EXPENSETBL4583[[#This Row],[UOM]]="acre",EXPENSETBL4583[[#This Row],[ACRES]]," ")</f>
        <v xml:space="preserve"> </v>
      </c>
      <c r="L396" s="17">
        <f t="shared" si="22"/>
        <v>1</v>
      </c>
      <c r="M396" s="17">
        <f t="shared" si="23"/>
        <v>0</v>
      </c>
      <c r="N396" s="1" t="str">
        <f>IFERROR((EXPENSETBL4583[[#This Row],[MCC.ENT]]*EXPENSETBL4583[[#This Row],[TOTAL]])," ")</f>
        <v xml:space="preserve"> </v>
      </c>
      <c r="O396" s="1" t="str">
        <f>IFERROR((EXPENSETBL4583[[#This Row],[L.L.]]*EXPENSETBL4583[[#This Row],[TOTAL]])," ")</f>
        <v xml:space="preserve"> </v>
      </c>
      <c r="P396" s="1" t="str">
        <f>IFERROR((EXPENSETBL4583[[#This Row],[QTY]]*EXPENSETBL4583[[#This Row],[$/UOM]])," ")</f>
        <v xml:space="preserve"> </v>
      </c>
      <c r="Q396" s="1"/>
      <c r="R396" s="1"/>
    </row>
    <row r="397" spans="5:18" hidden="1" x14ac:dyDescent="0.25">
      <c r="E397" t="e">
        <f>VLOOKUP(EXPENSETBL4583[[#This Row],[FIELD]],FFTBL[[Field]:[Acres]],2,FALSE)</f>
        <v>#N/A</v>
      </c>
      <c r="I397" t="str">
        <f>IFERROR(VLOOKUP(EXPENSETBL4583[[#This Row],[OPERATION]],OPERATIONCOST,2,FALSE)," ")</f>
        <v xml:space="preserve"> </v>
      </c>
      <c r="J397" s="1" t="str">
        <f>IFERROR(VLOOKUP(EXPENSETBL4583[[#This Row],[OPERATION]],OPERATIONCOST,3,FALSE)," ")</f>
        <v xml:space="preserve"> </v>
      </c>
      <c r="K397" t="str">
        <f>IF(EXPENSETBL4583[[#This Row],[UOM]]="acre",EXPENSETBL4583[[#This Row],[ACRES]]," ")</f>
        <v xml:space="preserve"> </v>
      </c>
      <c r="L397" s="17">
        <f t="shared" si="22"/>
        <v>1</v>
      </c>
      <c r="M397" s="17">
        <f t="shared" si="23"/>
        <v>0</v>
      </c>
      <c r="N397" s="1" t="str">
        <f>IFERROR((EXPENSETBL4583[[#This Row],[MCC.ENT]]*EXPENSETBL4583[[#This Row],[TOTAL]])," ")</f>
        <v xml:space="preserve"> </v>
      </c>
      <c r="O397" s="1" t="str">
        <f>IFERROR((EXPENSETBL4583[[#This Row],[L.L.]]*EXPENSETBL4583[[#This Row],[TOTAL]])," ")</f>
        <v xml:space="preserve"> </v>
      </c>
      <c r="P397" s="1" t="str">
        <f>IFERROR((EXPENSETBL4583[[#This Row],[QTY]]*EXPENSETBL4583[[#This Row],[$/UOM]])," ")</f>
        <v xml:space="preserve"> </v>
      </c>
      <c r="Q397" s="1"/>
      <c r="R397" s="1"/>
    </row>
    <row r="398" spans="5:18" hidden="1" x14ac:dyDescent="0.25">
      <c r="E398" t="e">
        <f>VLOOKUP(EXPENSETBL4583[[#This Row],[FIELD]],FFTBL[[Field]:[Acres]],2,FALSE)</f>
        <v>#N/A</v>
      </c>
      <c r="I398" t="str">
        <f>IFERROR(VLOOKUP(EXPENSETBL4583[[#This Row],[OPERATION]],OPERATIONCOST,2,FALSE)," ")</f>
        <v xml:space="preserve"> </v>
      </c>
      <c r="J398" s="1" t="str">
        <f>IFERROR(VLOOKUP(EXPENSETBL4583[[#This Row],[OPERATION]],OPERATIONCOST,3,FALSE)," ")</f>
        <v xml:space="preserve"> </v>
      </c>
      <c r="K398" t="str">
        <f>IF(EXPENSETBL4583[[#This Row],[UOM]]="acre",EXPENSETBL4583[[#This Row],[ACRES]]," ")</f>
        <v xml:space="preserve"> </v>
      </c>
      <c r="L398" s="17">
        <f t="shared" si="22"/>
        <v>1</v>
      </c>
      <c r="M398" s="17">
        <f t="shared" si="23"/>
        <v>0</v>
      </c>
      <c r="N398" s="1" t="str">
        <f>IFERROR((EXPENSETBL4583[[#This Row],[MCC.ENT]]*EXPENSETBL4583[[#This Row],[TOTAL]])," ")</f>
        <v xml:space="preserve"> </v>
      </c>
      <c r="O398" s="1" t="str">
        <f>IFERROR((EXPENSETBL4583[[#This Row],[L.L.]]*EXPENSETBL4583[[#This Row],[TOTAL]])," ")</f>
        <v xml:space="preserve"> </v>
      </c>
      <c r="P398" s="1" t="str">
        <f>IFERROR((EXPENSETBL4583[[#This Row],[QTY]]*EXPENSETBL4583[[#This Row],[$/UOM]])," ")</f>
        <v xml:space="preserve"> </v>
      </c>
      <c r="Q398" s="1"/>
      <c r="R398" s="1"/>
    </row>
    <row r="399" spans="5:18" hidden="1" x14ac:dyDescent="0.25">
      <c r="E399" t="e">
        <f>VLOOKUP(EXPENSETBL4583[[#This Row],[FIELD]],FFTBL[[Field]:[Acres]],2,FALSE)</f>
        <v>#N/A</v>
      </c>
      <c r="I399" t="str">
        <f>IFERROR(VLOOKUP(EXPENSETBL4583[[#This Row],[OPERATION]],OPERATIONCOST,2,FALSE)," ")</f>
        <v xml:space="preserve"> </v>
      </c>
      <c r="J399" s="1" t="str">
        <f>IFERROR(VLOOKUP(EXPENSETBL4583[[#This Row],[OPERATION]],OPERATIONCOST,3,FALSE)," ")</f>
        <v xml:space="preserve"> </v>
      </c>
      <c r="K399" t="str">
        <f>IF(EXPENSETBL4583[[#This Row],[UOM]]="acre",EXPENSETBL4583[[#This Row],[ACRES]]," ")</f>
        <v xml:space="preserve"> </v>
      </c>
      <c r="L399" s="17">
        <f t="shared" si="22"/>
        <v>1</v>
      </c>
      <c r="M399" s="17">
        <f t="shared" si="23"/>
        <v>0</v>
      </c>
      <c r="N399" s="1" t="str">
        <f>IFERROR((EXPENSETBL4583[[#This Row],[MCC.ENT]]*EXPENSETBL4583[[#This Row],[TOTAL]])," ")</f>
        <v xml:space="preserve"> </v>
      </c>
      <c r="O399" s="1" t="str">
        <f>IFERROR((EXPENSETBL4583[[#This Row],[L.L.]]*EXPENSETBL4583[[#This Row],[TOTAL]])," ")</f>
        <v xml:space="preserve"> </v>
      </c>
      <c r="P399" s="1" t="str">
        <f>IFERROR((EXPENSETBL4583[[#This Row],[QTY]]*EXPENSETBL4583[[#This Row],[$/UOM]])," ")</f>
        <v xml:space="preserve"> </v>
      </c>
      <c r="Q399" s="1"/>
      <c r="R399" s="1"/>
    </row>
    <row r="400" spans="5:18" hidden="1" x14ac:dyDescent="0.25">
      <c r="E400" t="e">
        <f>VLOOKUP(EXPENSETBL4583[[#This Row],[FIELD]],FFTBL[[Field]:[Acres]],2,FALSE)</f>
        <v>#N/A</v>
      </c>
      <c r="I400" t="str">
        <f>IFERROR(VLOOKUP(EXPENSETBL4583[[#This Row],[OPERATION]],OPERATIONCOST,2,FALSE)," ")</f>
        <v xml:space="preserve"> </v>
      </c>
      <c r="J400" s="1" t="str">
        <f>IFERROR(VLOOKUP(EXPENSETBL4583[[#This Row],[OPERATION]],OPERATIONCOST,3,FALSE)," ")</f>
        <v xml:space="preserve"> </v>
      </c>
      <c r="K400" t="str">
        <f>IF(EXPENSETBL4583[[#This Row],[UOM]]="acre",EXPENSETBL4583[[#This Row],[ACRES]]," ")</f>
        <v xml:space="preserve"> </v>
      </c>
      <c r="L400" s="17">
        <f t="shared" si="22"/>
        <v>1</v>
      </c>
      <c r="M400" s="17">
        <f t="shared" si="23"/>
        <v>0</v>
      </c>
      <c r="N400" s="1" t="str">
        <f>IFERROR((EXPENSETBL4583[[#This Row],[MCC.ENT]]*EXPENSETBL4583[[#This Row],[TOTAL]])," ")</f>
        <v xml:space="preserve"> </v>
      </c>
      <c r="O400" s="1" t="str">
        <f>IFERROR((EXPENSETBL4583[[#This Row],[L.L.]]*EXPENSETBL4583[[#This Row],[TOTAL]])," ")</f>
        <v xml:space="preserve"> </v>
      </c>
      <c r="P400" s="1" t="str">
        <f>IFERROR((EXPENSETBL4583[[#This Row],[QTY]]*EXPENSETBL4583[[#This Row],[$/UOM]])," ")</f>
        <v xml:space="preserve"> </v>
      </c>
      <c r="Q400" s="1"/>
      <c r="R400" s="1"/>
    </row>
    <row r="401" spans="5:18" hidden="1" x14ac:dyDescent="0.25">
      <c r="E401" t="e">
        <f>VLOOKUP(EXPENSETBL4583[[#This Row],[FIELD]],FFTBL[[Field]:[Acres]],2,FALSE)</f>
        <v>#N/A</v>
      </c>
      <c r="I401" t="str">
        <f>IFERROR(VLOOKUP(EXPENSETBL4583[[#This Row],[OPERATION]],OPERATIONCOST,2,FALSE)," ")</f>
        <v xml:space="preserve"> </v>
      </c>
      <c r="J401" s="1" t="str">
        <f>IFERROR(VLOOKUP(EXPENSETBL4583[[#This Row],[OPERATION]],OPERATIONCOST,3,FALSE)," ")</f>
        <v xml:space="preserve"> </v>
      </c>
      <c r="K401" t="str">
        <f>IF(EXPENSETBL4583[[#This Row],[UOM]]="acre",EXPENSETBL4583[[#This Row],[ACRES]]," ")</f>
        <v xml:space="preserve"> </v>
      </c>
      <c r="L401" s="17">
        <f t="shared" si="22"/>
        <v>1</v>
      </c>
      <c r="M401" s="17">
        <f t="shared" si="23"/>
        <v>0</v>
      </c>
      <c r="N401" s="1" t="str">
        <f>IFERROR((EXPENSETBL4583[[#This Row],[MCC.ENT]]*EXPENSETBL4583[[#This Row],[TOTAL]])," ")</f>
        <v xml:space="preserve"> </v>
      </c>
      <c r="O401" s="1" t="str">
        <f>IFERROR((EXPENSETBL4583[[#This Row],[L.L.]]*EXPENSETBL4583[[#This Row],[TOTAL]])," ")</f>
        <v xml:space="preserve"> </v>
      </c>
      <c r="P401" s="1" t="str">
        <f>IFERROR((EXPENSETBL4583[[#This Row],[QTY]]*EXPENSETBL4583[[#This Row],[$/UOM]])," ")</f>
        <v xml:space="preserve"> </v>
      </c>
      <c r="Q401" s="1"/>
      <c r="R401" s="1"/>
    </row>
    <row r="402" spans="5:18" hidden="1" x14ac:dyDescent="0.25">
      <c r="E402" t="e">
        <f>VLOOKUP(EXPENSETBL4583[[#This Row],[FIELD]],FFTBL[[Field]:[Acres]],2,FALSE)</f>
        <v>#N/A</v>
      </c>
      <c r="I402" t="str">
        <f>IFERROR(VLOOKUP(EXPENSETBL4583[[#This Row],[OPERATION]],OPERATIONCOST,2,FALSE)," ")</f>
        <v xml:space="preserve"> </v>
      </c>
      <c r="J402" s="1" t="str">
        <f>IFERROR(VLOOKUP(EXPENSETBL4583[[#This Row],[OPERATION]],OPERATIONCOST,3,FALSE)," ")</f>
        <v xml:space="preserve"> </v>
      </c>
      <c r="K402" t="str">
        <f>IF(EXPENSETBL4583[[#This Row],[UOM]]="acre",EXPENSETBL4583[[#This Row],[ACRES]]," ")</f>
        <v xml:space="preserve"> </v>
      </c>
      <c r="L402" s="17">
        <f t="shared" si="22"/>
        <v>1</v>
      </c>
      <c r="M402" s="17">
        <f t="shared" si="23"/>
        <v>0</v>
      </c>
      <c r="N402" s="1" t="str">
        <f>IFERROR((EXPENSETBL4583[[#This Row],[MCC.ENT]]*EXPENSETBL4583[[#This Row],[TOTAL]])," ")</f>
        <v xml:space="preserve"> </v>
      </c>
      <c r="O402" s="1" t="str">
        <f>IFERROR((EXPENSETBL4583[[#This Row],[L.L.]]*EXPENSETBL4583[[#This Row],[TOTAL]])," ")</f>
        <v xml:space="preserve"> </v>
      </c>
      <c r="P402" s="1" t="str">
        <f>IFERROR((EXPENSETBL4583[[#This Row],[QTY]]*EXPENSETBL4583[[#This Row],[$/UOM]])," ")</f>
        <v xml:space="preserve"> </v>
      </c>
      <c r="Q402" s="1"/>
      <c r="R402" s="1"/>
    </row>
    <row r="403" spans="5:18" hidden="1" x14ac:dyDescent="0.25">
      <c r="E403" t="e">
        <f>VLOOKUP(EXPENSETBL4583[[#This Row],[FIELD]],FFTBL[[Field]:[Acres]],2,FALSE)</f>
        <v>#N/A</v>
      </c>
      <c r="I403" t="str">
        <f>IFERROR(VLOOKUP(EXPENSETBL4583[[#This Row],[OPERATION]],OPERATIONCOST,2,FALSE)," ")</f>
        <v xml:space="preserve"> </v>
      </c>
      <c r="J403" s="1" t="str">
        <f>IFERROR(VLOOKUP(EXPENSETBL4583[[#This Row],[OPERATION]],OPERATIONCOST,3,FALSE)," ")</f>
        <v xml:space="preserve"> </v>
      </c>
      <c r="K403" t="str">
        <f>IF(EXPENSETBL4583[[#This Row],[UOM]]="acre",EXPENSETBL4583[[#This Row],[ACRES]]," ")</f>
        <v xml:space="preserve"> </v>
      </c>
      <c r="L403" s="17">
        <f t="shared" si="22"/>
        <v>1</v>
      </c>
      <c r="M403" s="17">
        <f t="shared" si="23"/>
        <v>0</v>
      </c>
      <c r="N403" s="1" t="str">
        <f>IFERROR((EXPENSETBL4583[[#This Row],[MCC.ENT]]*EXPENSETBL4583[[#This Row],[TOTAL]])," ")</f>
        <v xml:space="preserve"> </v>
      </c>
      <c r="O403" s="1" t="str">
        <f>IFERROR((EXPENSETBL4583[[#This Row],[L.L.]]*EXPENSETBL4583[[#This Row],[TOTAL]])," ")</f>
        <v xml:space="preserve"> </v>
      </c>
      <c r="P403" s="1" t="str">
        <f>IFERROR((EXPENSETBL4583[[#This Row],[QTY]]*EXPENSETBL4583[[#This Row],[$/UOM]])," ")</f>
        <v xml:space="preserve"> </v>
      </c>
      <c r="Q403" s="1"/>
      <c r="R403" s="1"/>
    </row>
    <row r="404" spans="5:18" hidden="1" x14ac:dyDescent="0.25">
      <c r="E404" t="e">
        <f>VLOOKUP(EXPENSETBL4583[[#This Row],[FIELD]],FFTBL[[Field]:[Acres]],2,FALSE)</f>
        <v>#N/A</v>
      </c>
      <c r="I404" t="str">
        <f>IFERROR(VLOOKUP(EXPENSETBL4583[[#This Row],[OPERATION]],OPERATIONCOST,2,FALSE)," ")</f>
        <v xml:space="preserve"> </v>
      </c>
      <c r="J404" s="1" t="str">
        <f>IFERROR(VLOOKUP(EXPENSETBL4583[[#This Row],[OPERATION]],OPERATIONCOST,3,FALSE)," ")</f>
        <v xml:space="preserve"> </v>
      </c>
      <c r="K404" t="str">
        <f>IF(EXPENSETBL4583[[#This Row],[UOM]]="acre",EXPENSETBL4583[[#This Row],[ACRES]]," ")</f>
        <v xml:space="preserve"> </v>
      </c>
      <c r="L404" s="17">
        <f t="shared" si="22"/>
        <v>1</v>
      </c>
      <c r="M404" s="17">
        <f t="shared" si="23"/>
        <v>0</v>
      </c>
      <c r="N404" s="1" t="str">
        <f>IFERROR((EXPENSETBL4583[[#This Row],[MCC.ENT]]*EXPENSETBL4583[[#This Row],[TOTAL]])," ")</f>
        <v xml:space="preserve"> </v>
      </c>
      <c r="O404" s="1" t="str">
        <f>IFERROR((EXPENSETBL4583[[#This Row],[L.L.]]*EXPENSETBL4583[[#This Row],[TOTAL]])," ")</f>
        <v xml:space="preserve"> </v>
      </c>
      <c r="P404" s="1" t="str">
        <f>IFERROR((EXPENSETBL4583[[#This Row],[QTY]]*EXPENSETBL4583[[#This Row],[$/UOM]])," ")</f>
        <v xml:space="preserve"> </v>
      </c>
      <c r="Q404" s="1"/>
      <c r="R404" s="1"/>
    </row>
    <row r="405" spans="5:18" hidden="1" x14ac:dyDescent="0.25">
      <c r="E405" t="e">
        <f>VLOOKUP(EXPENSETBL4583[[#This Row],[FIELD]],FFTBL[[Field]:[Acres]],2,FALSE)</f>
        <v>#N/A</v>
      </c>
      <c r="I405" t="str">
        <f>IFERROR(VLOOKUP(EXPENSETBL4583[[#This Row],[OPERATION]],OPERATIONCOST,2,FALSE)," ")</f>
        <v xml:space="preserve"> </v>
      </c>
      <c r="J405" s="1" t="str">
        <f>IFERROR(VLOOKUP(EXPENSETBL4583[[#This Row],[OPERATION]],OPERATIONCOST,3,FALSE)," ")</f>
        <v xml:space="preserve"> </v>
      </c>
      <c r="K405" t="str">
        <f>IF(EXPENSETBL4583[[#This Row],[UOM]]="acre",EXPENSETBL4583[[#This Row],[ACRES]]," ")</f>
        <v xml:space="preserve"> </v>
      </c>
      <c r="L405" s="17">
        <f t="shared" si="22"/>
        <v>1</v>
      </c>
      <c r="M405" s="17">
        <f t="shared" si="23"/>
        <v>0</v>
      </c>
      <c r="N405" s="1" t="str">
        <f>IFERROR((EXPENSETBL4583[[#This Row],[MCC.ENT]]*EXPENSETBL4583[[#This Row],[TOTAL]])," ")</f>
        <v xml:space="preserve"> </v>
      </c>
      <c r="O405" s="1" t="str">
        <f>IFERROR((EXPENSETBL4583[[#This Row],[L.L.]]*EXPENSETBL4583[[#This Row],[TOTAL]])," ")</f>
        <v xml:space="preserve"> </v>
      </c>
      <c r="P405" s="1" t="str">
        <f>IFERROR((EXPENSETBL4583[[#This Row],[QTY]]*EXPENSETBL4583[[#This Row],[$/UOM]])," ")</f>
        <v xml:space="preserve"> </v>
      </c>
      <c r="Q405" s="1"/>
      <c r="R405" s="1"/>
    </row>
    <row r="406" spans="5:18" hidden="1" x14ac:dyDescent="0.25">
      <c r="E406" t="e">
        <f>VLOOKUP(EXPENSETBL4583[[#This Row],[FIELD]],FFTBL[[Field]:[Acres]],2,FALSE)</f>
        <v>#N/A</v>
      </c>
      <c r="I406" t="str">
        <f>IFERROR(VLOOKUP(EXPENSETBL4583[[#This Row],[OPERATION]],OPERATIONCOST,2,FALSE)," ")</f>
        <v xml:space="preserve"> </v>
      </c>
      <c r="J406" s="1" t="str">
        <f>IFERROR(VLOOKUP(EXPENSETBL4583[[#This Row],[OPERATION]],OPERATIONCOST,3,FALSE)," ")</f>
        <v xml:space="preserve"> </v>
      </c>
      <c r="K406" t="str">
        <f>IF(EXPENSETBL4583[[#This Row],[UOM]]="acre",EXPENSETBL4583[[#This Row],[ACRES]]," ")</f>
        <v xml:space="preserve"> </v>
      </c>
      <c r="L406" s="17">
        <f t="shared" si="22"/>
        <v>1</v>
      </c>
      <c r="M406" s="17">
        <f t="shared" si="23"/>
        <v>0</v>
      </c>
      <c r="N406" s="1" t="str">
        <f>IFERROR((EXPENSETBL4583[[#This Row],[MCC.ENT]]*EXPENSETBL4583[[#This Row],[TOTAL]])," ")</f>
        <v xml:space="preserve"> </v>
      </c>
      <c r="O406" s="1" t="str">
        <f>IFERROR((EXPENSETBL4583[[#This Row],[L.L.]]*EXPENSETBL4583[[#This Row],[TOTAL]])," ")</f>
        <v xml:space="preserve"> </v>
      </c>
      <c r="P406" s="1" t="str">
        <f>IFERROR((EXPENSETBL4583[[#This Row],[QTY]]*EXPENSETBL4583[[#This Row],[$/UOM]])," ")</f>
        <v xml:space="preserve"> </v>
      </c>
      <c r="Q406" s="1"/>
      <c r="R406" s="1"/>
    </row>
    <row r="407" spans="5:18" hidden="1" x14ac:dyDescent="0.25">
      <c r="E407" t="e">
        <f>VLOOKUP(EXPENSETBL4583[[#This Row],[FIELD]],FFTBL[[Field]:[Acres]],2,FALSE)</f>
        <v>#N/A</v>
      </c>
      <c r="I407" t="str">
        <f>IFERROR(VLOOKUP(EXPENSETBL4583[[#This Row],[OPERATION]],OPERATIONCOST,2,FALSE)," ")</f>
        <v xml:space="preserve"> </v>
      </c>
      <c r="J407" s="1" t="str">
        <f>IFERROR(VLOOKUP(EXPENSETBL4583[[#This Row],[OPERATION]],OPERATIONCOST,3,FALSE)," ")</f>
        <v xml:space="preserve"> </v>
      </c>
      <c r="K407" t="str">
        <f>IF(EXPENSETBL4583[[#This Row],[UOM]]="acre",EXPENSETBL4583[[#This Row],[ACRES]]," ")</f>
        <v xml:space="preserve"> </v>
      </c>
      <c r="L407" s="17">
        <f t="shared" si="22"/>
        <v>1</v>
      </c>
      <c r="M407" s="17">
        <f t="shared" si="23"/>
        <v>0</v>
      </c>
      <c r="N407" s="1" t="str">
        <f>IFERROR((EXPENSETBL4583[[#This Row],[MCC.ENT]]*EXPENSETBL4583[[#This Row],[TOTAL]])," ")</f>
        <v xml:space="preserve"> </v>
      </c>
      <c r="O407" s="1" t="str">
        <f>IFERROR((EXPENSETBL4583[[#This Row],[L.L.]]*EXPENSETBL4583[[#This Row],[TOTAL]])," ")</f>
        <v xml:space="preserve"> </v>
      </c>
      <c r="P407" s="1" t="str">
        <f>IFERROR((EXPENSETBL4583[[#This Row],[QTY]]*EXPENSETBL4583[[#This Row],[$/UOM]])," ")</f>
        <v xml:space="preserve"> </v>
      </c>
      <c r="Q407" s="1"/>
    </row>
    <row r="408" spans="5:18" hidden="1" x14ac:dyDescent="0.25">
      <c r="E408" t="e">
        <f>VLOOKUP(EXPENSETBL4583[[#This Row],[FIELD]],FFTBL[[Field]:[Acres]],2,FALSE)</f>
        <v>#N/A</v>
      </c>
      <c r="I408" t="str">
        <f>IFERROR(VLOOKUP(EXPENSETBL4583[[#This Row],[OPERATION]],OPERATIONCOST,2,FALSE)," ")</f>
        <v xml:space="preserve"> </v>
      </c>
      <c r="J408" s="1" t="str">
        <f>IFERROR(VLOOKUP(EXPENSETBL4583[[#This Row],[OPERATION]],OPERATIONCOST,3,FALSE)," ")</f>
        <v xml:space="preserve"> </v>
      </c>
      <c r="K408" t="str">
        <f>IF(EXPENSETBL4583[[#This Row],[UOM]]="acre",EXPENSETBL4583[[#This Row],[ACRES]]," ")</f>
        <v xml:space="preserve"> </v>
      </c>
      <c r="L408" s="17">
        <f t="shared" si="22"/>
        <v>1</v>
      </c>
      <c r="M408" s="17">
        <f t="shared" si="23"/>
        <v>0</v>
      </c>
      <c r="N408" s="1" t="str">
        <f>IFERROR((EXPENSETBL4583[[#This Row],[MCC.ENT]]*EXPENSETBL4583[[#This Row],[TOTAL]])," ")</f>
        <v xml:space="preserve"> </v>
      </c>
      <c r="O408" s="1" t="str">
        <f>IFERROR((EXPENSETBL4583[[#This Row],[L.L.]]*EXPENSETBL4583[[#This Row],[TOTAL]])," ")</f>
        <v xml:space="preserve"> </v>
      </c>
      <c r="P408" s="1" t="str">
        <f>IFERROR((EXPENSETBL4583[[#This Row],[QTY]]*EXPENSETBL4583[[#This Row],[$/UOM]])," ")</f>
        <v xml:space="preserve"> </v>
      </c>
      <c r="Q408" s="1"/>
    </row>
    <row r="409" spans="5:18" hidden="1" x14ac:dyDescent="0.25">
      <c r="E409" t="e">
        <f>VLOOKUP(EXPENSETBL4583[[#This Row],[FIELD]],FFTBL[[Field]:[Acres]],2,FALSE)</f>
        <v>#N/A</v>
      </c>
      <c r="I409" t="str">
        <f>IFERROR(VLOOKUP(EXPENSETBL4583[[#This Row],[OPERATION]],OPERATIONCOST,2,FALSE)," ")</f>
        <v xml:space="preserve"> </v>
      </c>
      <c r="J409" s="1" t="str">
        <f>IFERROR(VLOOKUP(EXPENSETBL4583[[#This Row],[OPERATION]],OPERATIONCOST,3,FALSE)," ")</f>
        <v xml:space="preserve"> </v>
      </c>
      <c r="K409" t="str">
        <f>IF(EXPENSETBL4583[[#This Row],[UOM]]="acre",EXPENSETBL4583[[#This Row],[ACRES]]," ")</f>
        <v xml:space="preserve"> </v>
      </c>
      <c r="L409" s="17">
        <f t="shared" si="22"/>
        <v>1</v>
      </c>
      <c r="M409" s="17">
        <f t="shared" si="23"/>
        <v>0</v>
      </c>
      <c r="N409" s="1" t="str">
        <f>IFERROR((EXPENSETBL4583[[#This Row],[MCC.ENT]]*EXPENSETBL4583[[#This Row],[TOTAL]])," ")</f>
        <v xml:space="preserve"> </v>
      </c>
      <c r="O409" s="1" t="str">
        <f>IFERROR((EXPENSETBL4583[[#This Row],[L.L.]]*EXPENSETBL4583[[#This Row],[TOTAL]])," ")</f>
        <v xml:space="preserve"> </v>
      </c>
      <c r="P409" s="1" t="str">
        <f>IFERROR((EXPENSETBL4583[[#This Row],[QTY]]*EXPENSETBL4583[[#This Row],[$/UOM]])," ")</f>
        <v xml:space="preserve"> </v>
      </c>
      <c r="Q409" s="1"/>
    </row>
    <row r="410" spans="5:18" hidden="1" x14ac:dyDescent="0.25">
      <c r="E410" t="e">
        <f>VLOOKUP(EXPENSETBL4583[[#This Row],[FIELD]],FFTBL[[Field]:[Acres]],2,FALSE)</f>
        <v>#N/A</v>
      </c>
      <c r="I410" t="str">
        <f>IFERROR(VLOOKUP(EXPENSETBL4583[[#This Row],[OPERATION]],OPERATIONCOST,2,FALSE)," ")</f>
        <v xml:space="preserve"> </v>
      </c>
      <c r="J410" s="1" t="str">
        <f>IFERROR(VLOOKUP(EXPENSETBL4583[[#This Row],[OPERATION]],OPERATIONCOST,3,FALSE)," ")</f>
        <v xml:space="preserve"> </v>
      </c>
      <c r="K410" t="str">
        <f>IF(EXPENSETBL4583[[#This Row],[UOM]]="acre",EXPENSETBL4583[[#This Row],[ACRES]]," ")</f>
        <v xml:space="preserve"> </v>
      </c>
      <c r="L410" s="17">
        <f t="shared" si="22"/>
        <v>1</v>
      </c>
      <c r="M410" s="17">
        <f t="shared" si="23"/>
        <v>0</v>
      </c>
      <c r="N410" s="1" t="str">
        <f>IFERROR((EXPENSETBL4583[[#This Row],[MCC.ENT]]*EXPENSETBL4583[[#This Row],[TOTAL]])," ")</f>
        <v xml:space="preserve"> </v>
      </c>
      <c r="O410" s="1" t="str">
        <f>IFERROR((EXPENSETBL4583[[#This Row],[L.L.]]*EXPENSETBL4583[[#This Row],[TOTAL]])," ")</f>
        <v xml:space="preserve"> </v>
      </c>
      <c r="P410" s="1" t="str">
        <f>IFERROR((EXPENSETBL4583[[#This Row],[QTY]]*EXPENSETBL4583[[#This Row],[$/UOM]])," ")</f>
        <v xml:space="preserve"> </v>
      </c>
      <c r="Q410" s="1"/>
    </row>
    <row r="411" spans="5:18" hidden="1" x14ac:dyDescent="0.25">
      <c r="E411" t="e">
        <f>VLOOKUP(EXPENSETBL4583[[#This Row],[FIELD]],FFTBL[[Field]:[Acres]],2,FALSE)</f>
        <v>#N/A</v>
      </c>
      <c r="I411" t="str">
        <f>IFERROR(VLOOKUP(EXPENSETBL4583[[#This Row],[OPERATION]],OPERATIONCOST,2,FALSE)," ")</f>
        <v xml:space="preserve"> </v>
      </c>
      <c r="J411" s="1" t="str">
        <f>IFERROR(VLOOKUP(EXPENSETBL4583[[#This Row],[OPERATION]],OPERATIONCOST,3,FALSE)," ")</f>
        <v xml:space="preserve"> </v>
      </c>
      <c r="K411" t="str">
        <f>IF(EXPENSETBL4583[[#This Row],[UOM]]="acre",EXPENSETBL4583[[#This Row],[ACRES]]," ")</f>
        <v xml:space="preserve"> </v>
      </c>
      <c r="L411" s="17">
        <f t="shared" si="22"/>
        <v>1</v>
      </c>
      <c r="M411" s="17">
        <f t="shared" si="23"/>
        <v>0</v>
      </c>
      <c r="N411" s="1" t="str">
        <f>IFERROR((EXPENSETBL4583[[#This Row],[MCC.ENT]]*EXPENSETBL4583[[#This Row],[TOTAL]])," ")</f>
        <v xml:space="preserve"> </v>
      </c>
      <c r="O411" s="1" t="str">
        <f>IFERROR((EXPENSETBL4583[[#This Row],[L.L.]]*EXPENSETBL4583[[#This Row],[TOTAL]])," ")</f>
        <v xml:space="preserve"> </v>
      </c>
      <c r="P411" s="1" t="str">
        <f>IFERROR((EXPENSETBL4583[[#This Row],[QTY]]*EXPENSETBL4583[[#This Row],[$/UOM]])," ")</f>
        <v xml:space="preserve"> </v>
      </c>
      <c r="Q411" s="1"/>
    </row>
    <row r="412" spans="5:18" hidden="1" x14ac:dyDescent="0.25">
      <c r="E412" t="e">
        <f>VLOOKUP(EXPENSETBL4583[[#This Row],[FIELD]],FFTBL[[Field]:[Acres]],2,FALSE)</f>
        <v>#N/A</v>
      </c>
      <c r="I412" t="str">
        <f>IFERROR(VLOOKUP(EXPENSETBL4583[[#This Row],[OPERATION]],OPERATIONCOST,2,FALSE)," ")</f>
        <v xml:space="preserve"> </v>
      </c>
      <c r="J412" s="1" t="str">
        <f>IFERROR(VLOOKUP(EXPENSETBL4583[[#This Row],[OPERATION]],OPERATIONCOST,3,FALSE)," ")</f>
        <v xml:space="preserve"> </v>
      </c>
      <c r="K412" t="str">
        <f>IF(EXPENSETBL4583[[#This Row],[UOM]]="acre",EXPENSETBL4583[[#This Row],[ACRES]]," ")</f>
        <v xml:space="preserve"> </v>
      </c>
      <c r="L412" s="17">
        <f t="shared" si="22"/>
        <v>1</v>
      </c>
      <c r="M412" s="17">
        <f t="shared" si="23"/>
        <v>0</v>
      </c>
      <c r="N412" s="1" t="str">
        <f>IFERROR((EXPENSETBL4583[[#This Row],[MCC.ENT]]*EXPENSETBL4583[[#This Row],[TOTAL]])," ")</f>
        <v xml:space="preserve"> </v>
      </c>
      <c r="O412" s="1" t="str">
        <f>IFERROR((EXPENSETBL4583[[#This Row],[L.L.]]*EXPENSETBL4583[[#This Row],[TOTAL]])," ")</f>
        <v xml:space="preserve"> </v>
      </c>
      <c r="P412" s="1" t="str">
        <f>IFERROR((EXPENSETBL4583[[#This Row],[QTY]]*EXPENSETBL4583[[#This Row],[$/UOM]])," ")</f>
        <v xml:space="preserve"> </v>
      </c>
      <c r="Q412" s="1"/>
    </row>
    <row r="413" spans="5:18" hidden="1" x14ac:dyDescent="0.25">
      <c r="E413" t="e">
        <f>VLOOKUP(EXPENSETBL4583[[#This Row],[FIELD]],FFTBL[[Field]:[Acres]],2,FALSE)</f>
        <v>#N/A</v>
      </c>
      <c r="I413" t="str">
        <f>IFERROR(VLOOKUP(EXPENSETBL4583[[#This Row],[OPERATION]],OPERATIONCOST,2,FALSE)," ")</f>
        <v xml:space="preserve"> </v>
      </c>
      <c r="J413" s="1" t="str">
        <f>IFERROR(VLOOKUP(EXPENSETBL4583[[#This Row],[OPERATION]],OPERATIONCOST,3,FALSE)," ")</f>
        <v xml:space="preserve"> </v>
      </c>
      <c r="K413" t="str">
        <f>IF(EXPENSETBL4583[[#This Row],[UOM]]="acre",EXPENSETBL4583[[#This Row],[ACRES]]," ")</f>
        <v xml:space="preserve"> </v>
      </c>
      <c r="L413" s="17">
        <f t="shared" si="22"/>
        <v>1</v>
      </c>
      <c r="M413" s="17">
        <f t="shared" si="23"/>
        <v>0</v>
      </c>
      <c r="N413" s="1" t="str">
        <f>IFERROR((EXPENSETBL4583[[#This Row],[MCC.ENT]]*EXPENSETBL4583[[#This Row],[TOTAL]])," ")</f>
        <v xml:space="preserve"> </v>
      </c>
      <c r="O413" s="1" t="str">
        <f>IFERROR((EXPENSETBL4583[[#This Row],[L.L.]]*EXPENSETBL4583[[#This Row],[TOTAL]])," ")</f>
        <v xml:space="preserve"> </v>
      </c>
      <c r="P413" s="1" t="str">
        <f>IFERROR((EXPENSETBL4583[[#This Row],[QTY]]*EXPENSETBL4583[[#This Row],[$/UOM]])," ")</f>
        <v xml:space="preserve"> </v>
      </c>
      <c r="Q413" s="1"/>
    </row>
    <row r="414" spans="5:18" hidden="1" x14ac:dyDescent="0.25">
      <c r="E414" t="e">
        <f>VLOOKUP(EXPENSETBL4583[[#This Row],[FIELD]],FFTBL[[Field]:[Acres]],2,FALSE)</f>
        <v>#N/A</v>
      </c>
      <c r="I414" t="str">
        <f>IFERROR(VLOOKUP(EXPENSETBL4583[[#This Row],[OPERATION]],OPERATIONCOST,2,FALSE)," ")</f>
        <v xml:space="preserve"> </v>
      </c>
      <c r="J414" s="1" t="str">
        <f>IFERROR(VLOOKUP(EXPENSETBL4583[[#This Row],[OPERATION]],OPERATIONCOST,3,FALSE)," ")</f>
        <v xml:space="preserve"> </v>
      </c>
      <c r="K414" t="str">
        <f>IF(EXPENSETBL4583[[#This Row],[UOM]]="acre",EXPENSETBL4583[[#This Row],[ACRES]]," ")</f>
        <v xml:space="preserve"> </v>
      </c>
      <c r="L414" s="17">
        <f t="shared" ref="L414:L419" si="24">IF(G414="SPLIT",0.65,1)</f>
        <v>1</v>
      </c>
      <c r="M414" s="17">
        <f t="shared" ref="M414:M419" si="25">IF(G414="SPLIT",0.35,0)</f>
        <v>0</v>
      </c>
      <c r="N414" s="1" t="str">
        <f>IFERROR((EXPENSETBL4583[[#This Row],[MCC.ENT]]*EXPENSETBL4583[[#This Row],[TOTAL]])," ")</f>
        <v xml:space="preserve"> </v>
      </c>
      <c r="O414" s="1" t="str">
        <f>IFERROR((EXPENSETBL4583[[#This Row],[L.L.]]*EXPENSETBL4583[[#This Row],[TOTAL]])," ")</f>
        <v xml:space="preserve"> </v>
      </c>
      <c r="P414" s="1" t="str">
        <f>IFERROR((EXPENSETBL4583[[#This Row],[QTY]]*EXPENSETBL4583[[#This Row],[$/UOM]])," ")</f>
        <v xml:space="preserve"> </v>
      </c>
      <c r="Q414" s="1"/>
    </row>
    <row r="415" spans="5:18" hidden="1" x14ac:dyDescent="0.25">
      <c r="E415" t="e">
        <f>VLOOKUP(EXPENSETBL4583[[#This Row],[FIELD]],FFTBL[[Field]:[Acres]],2,FALSE)</f>
        <v>#N/A</v>
      </c>
      <c r="I415" t="str">
        <f>IFERROR(VLOOKUP(EXPENSETBL4583[[#This Row],[OPERATION]],OPERATIONCOST,2,FALSE)," ")</f>
        <v xml:space="preserve"> </v>
      </c>
      <c r="J415" s="1" t="str">
        <f>IFERROR(VLOOKUP(EXPENSETBL4583[[#This Row],[OPERATION]],OPERATIONCOST,3,FALSE)," ")</f>
        <v xml:space="preserve"> </v>
      </c>
      <c r="K415" t="str">
        <f>IF(EXPENSETBL4583[[#This Row],[UOM]]="acre",EXPENSETBL4583[[#This Row],[ACRES]]," ")</f>
        <v xml:space="preserve"> </v>
      </c>
      <c r="L415" s="17">
        <f t="shared" si="24"/>
        <v>1</v>
      </c>
      <c r="M415" s="17">
        <f t="shared" si="25"/>
        <v>0</v>
      </c>
      <c r="N415" s="1" t="str">
        <f>IFERROR((EXPENSETBL4583[[#This Row],[MCC.ENT]]*EXPENSETBL4583[[#This Row],[TOTAL]])," ")</f>
        <v xml:space="preserve"> </v>
      </c>
      <c r="O415" s="1" t="str">
        <f>IFERROR((EXPENSETBL4583[[#This Row],[L.L.]]*EXPENSETBL4583[[#This Row],[TOTAL]])," ")</f>
        <v xml:space="preserve"> </v>
      </c>
      <c r="P415" s="1" t="str">
        <f>IFERROR((EXPENSETBL4583[[#This Row],[QTY]]*EXPENSETBL4583[[#This Row],[$/UOM]])," ")</f>
        <v xml:space="preserve"> </v>
      </c>
      <c r="Q415" s="1"/>
    </row>
    <row r="416" spans="5:18" hidden="1" x14ac:dyDescent="0.25">
      <c r="E416" t="e">
        <f>VLOOKUP(EXPENSETBL4583[[#This Row],[FIELD]],FFTBL[[Field]:[Acres]],2,FALSE)</f>
        <v>#N/A</v>
      </c>
      <c r="I416" t="str">
        <f>IFERROR(VLOOKUP(EXPENSETBL4583[[#This Row],[OPERATION]],OPERATIONCOST,2,FALSE)," ")</f>
        <v xml:space="preserve"> </v>
      </c>
      <c r="J416" s="1" t="str">
        <f>IFERROR(VLOOKUP(EXPENSETBL4583[[#This Row],[OPERATION]],OPERATIONCOST,3,FALSE)," ")</f>
        <v xml:space="preserve"> </v>
      </c>
      <c r="K416" t="str">
        <f>IF(EXPENSETBL4583[[#This Row],[UOM]]="acre",EXPENSETBL4583[[#This Row],[ACRES]]," ")</f>
        <v xml:space="preserve"> </v>
      </c>
      <c r="L416" s="17">
        <f t="shared" si="24"/>
        <v>1</v>
      </c>
      <c r="M416" s="17">
        <f t="shared" si="25"/>
        <v>0</v>
      </c>
      <c r="N416" s="1" t="str">
        <f>IFERROR((EXPENSETBL4583[[#This Row],[MCC.ENT]]*EXPENSETBL4583[[#This Row],[TOTAL]])," ")</f>
        <v xml:space="preserve"> </v>
      </c>
      <c r="O416" s="1" t="str">
        <f>IFERROR((EXPENSETBL4583[[#This Row],[L.L.]]*EXPENSETBL4583[[#This Row],[TOTAL]])," ")</f>
        <v xml:space="preserve"> </v>
      </c>
      <c r="P416" s="1" t="str">
        <f>IFERROR((EXPENSETBL4583[[#This Row],[QTY]]*EXPENSETBL4583[[#This Row],[$/UOM]])," ")</f>
        <v xml:space="preserve"> </v>
      </c>
      <c r="Q416" s="1"/>
    </row>
    <row r="417" spans="1:18" hidden="1" x14ac:dyDescent="0.25">
      <c r="B417" t="s">
        <v>74</v>
      </c>
      <c r="C417" t="s">
        <v>80</v>
      </c>
      <c r="D417" t="s">
        <v>273</v>
      </c>
      <c r="E417">
        <f>VLOOKUP(EXPENSETBL4583[[#This Row],[FIELD]],FFTBL[[Field]:[Acres]],2,FALSE)</f>
        <v>157.56</v>
      </c>
      <c r="F417" t="s">
        <v>323</v>
      </c>
      <c r="G417" t="s">
        <v>297</v>
      </c>
      <c r="H417" t="s">
        <v>404</v>
      </c>
      <c r="I417" t="str">
        <f>IFERROR(VLOOKUP(EXPENSETBL4583[[#This Row],[OPERATION]],OPERATIONCOST,2,FALSE)," ")</f>
        <v>ACRE</v>
      </c>
      <c r="J417" s="1">
        <f>IFERROR(VLOOKUP(EXPENSETBL4583[[#This Row],[OPERATION]],OPERATIONCOST,3,FALSE)," ")</f>
        <v>-45</v>
      </c>
      <c r="K417">
        <f>IF(EXPENSETBL4583[[#This Row],[UOM]]="acre",EXPENSETBL4583[[#This Row],[ACRES]]," ")</f>
        <v>157.56</v>
      </c>
      <c r="L417" s="17">
        <f t="shared" si="24"/>
        <v>1</v>
      </c>
      <c r="M417" s="17">
        <f t="shared" si="25"/>
        <v>0</v>
      </c>
      <c r="N417" s="1">
        <f>IFERROR((EXPENSETBL4583[[#This Row],[MCC.ENT]]*EXPENSETBL4583[[#This Row],[TOTAL]])," ")</f>
        <v>-7090.2</v>
      </c>
      <c r="O417" s="1">
        <f>IFERROR((EXPENSETBL4583[[#This Row],[L.L.]]*EXPENSETBL4583[[#This Row],[TOTAL]])," ")</f>
        <v>0</v>
      </c>
      <c r="P417" s="1">
        <f>IFERROR((EXPENSETBL4583[[#This Row],[QTY]]*EXPENSETBL4583[[#This Row],[$/UOM]])," ")</f>
        <v>-7090.2</v>
      </c>
      <c r="Q417" s="1" t="s">
        <v>295</v>
      </c>
      <c r="R417">
        <v>2022</v>
      </c>
    </row>
    <row r="418" spans="1:18" hidden="1" x14ac:dyDescent="0.25">
      <c r="E418" t="e">
        <f>VLOOKUP(EXPENSETBL4583[[#This Row],[FIELD]],FFTBL[[Field]:[Acres]],2,FALSE)</f>
        <v>#N/A</v>
      </c>
      <c r="I418" t="str">
        <f>IFERROR(VLOOKUP(EXPENSETBL4583[[#This Row],[OPERATION]],OPERATIONCOST,2,FALSE)," ")</f>
        <v xml:space="preserve"> </v>
      </c>
      <c r="J418" s="1" t="str">
        <f>IFERROR(VLOOKUP(EXPENSETBL4583[[#This Row],[OPERATION]],OPERATIONCOST,3,FALSE)," ")</f>
        <v xml:space="preserve"> </v>
      </c>
      <c r="K418" t="str">
        <f>IF(EXPENSETBL4583[[#This Row],[UOM]]="acre",EXPENSETBL4583[[#This Row],[ACRES]]," ")</f>
        <v xml:space="preserve"> </v>
      </c>
      <c r="L418" s="17">
        <f t="shared" si="24"/>
        <v>1</v>
      </c>
      <c r="M418" s="17">
        <f t="shared" si="25"/>
        <v>0</v>
      </c>
      <c r="N418" s="1" t="str">
        <f>IFERROR((EXPENSETBL4583[[#This Row],[MCC.ENT]]*EXPENSETBL4583[[#This Row],[TOTAL]])," ")</f>
        <v xml:space="preserve"> </v>
      </c>
      <c r="O418" s="1" t="str">
        <f>IFERROR((EXPENSETBL4583[[#This Row],[L.L.]]*EXPENSETBL4583[[#This Row],[TOTAL]])," ")</f>
        <v xml:space="preserve"> </v>
      </c>
      <c r="P418" s="1" t="str">
        <f>IFERROR((EXPENSETBL4583[[#This Row],[QTY]]*EXPENSETBL4583[[#This Row],[$/UOM]])," ")</f>
        <v xml:space="preserve"> </v>
      </c>
      <c r="Q418" s="1"/>
    </row>
    <row r="419" spans="1:18" hidden="1" x14ac:dyDescent="0.25">
      <c r="B419" t="s">
        <v>74</v>
      </c>
      <c r="C419" t="s">
        <v>80</v>
      </c>
      <c r="D419" t="s">
        <v>273</v>
      </c>
      <c r="E419">
        <f>VLOOKUP(EXPENSETBL4583[[#This Row],[FIELD]],FFTBL[[Field]:[Acres]],2,FALSE)</f>
        <v>157.56</v>
      </c>
      <c r="F419" t="s">
        <v>323</v>
      </c>
      <c r="G419" t="s">
        <v>297</v>
      </c>
      <c r="H419" t="s">
        <v>411</v>
      </c>
      <c r="I419" t="str">
        <f>IFERROR(VLOOKUP(EXPENSETBL4583[[#This Row],[OPERATION]],OPERATIONCOST,2,FALSE)," ")</f>
        <v>/QTY</v>
      </c>
      <c r="J419" s="1">
        <f>IFERROR(VLOOKUP(EXPENSETBL4583[[#This Row],[OPERATION]],OPERATIONCOST,3,FALSE)," ")</f>
        <v>-0.26</v>
      </c>
      <c r="K419">
        <v>2626.38</v>
      </c>
      <c r="L419" s="17">
        <f t="shared" si="24"/>
        <v>1</v>
      </c>
      <c r="M419" s="17">
        <f t="shared" si="25"/>
        <v>0</v>
      </c>
      <c r="N419" s="1">
        <f>IFERROR((EXPENSETBL4583[[#This Row],[MCC.ENT]]*EXPENSETBL4583[[#This Row],[TOTAL]])," ")</f>
        <v>-682.85880000000009</v>
      </c>
      <c r="O419" s="1">
        <f>IFERROR((EXPENSETBL4583[[#This Row],[L.L.]]*EXPENSETBL4583[[#This Row],[TOTAL]])," ")</f>
        <v>0</v>
      </c>
      <c r="P419" s="1">
        <f>IFERROR((EXPENSETBL4583[[#This Row],[QTY]]*EXPENSETBL4583[[#This Row],[$/UOM]])," ")</f>
        <v>-682.85880000000009</v>
      </c>
      <c r="Q419" s="1" t="s">
        <v>295</v>
      </c>
      <c r="R419">
        <v>2022</v>
      </c>
    </row>
    <row r="420" spans="1:18" hidden="1" x14ac:dyDescent="0.25">
      <c r="A420" t="s">
        <v>38</v>
      </c>
      <c r="J420" s="1">
        <f>SUBTOTAL(109,EXPENSETBL4583[$/UOM])</f>
        <v>0</v>
      </c>
      <c r="K420">
        <f>SUBTOTAL(109,EXPENSETBL4583[QTY])</f>
        <v>0</v>
      </c>
      <c r="N420" s="1">
        <f>SUBTOTAL(109,EXPENSETBL4583[$M.E.])</f>
        <v>0</v>
      </c>
      <c r="O420" s="1">
        <f>SUBTOTAL(109,EXPENSETBL4583[$L.L.])</f>
        <v>0</v>
      </c>
      <c r="P420" s="1">
        <f>SUBTOTAL(109,EXPENSETBL4583[TOTAL])</f>
        <v>0</v>
      </c>
    </row>
    <row r="421" spans="1:18" hidden="1" x14ac:dyDescent="0.25"/>
    <row r="422" spans="1:18" hidden="1" x14ac:dyDescent="0.25"/>
    <row r="423" spans="1:18" hidden="1" x14ac:dyDescent="0.25"/>
    <row r="424" spans="1:18" hidden="1" x14ac:dyDescent="0.25"/>
    <row r="425" spans="1:18" hidden="1" x14ac:dyDescent="0.25"/>
    <row r="426" spans="1:18" hidden="1" x14ac:dyDescent="0.25"/>
    <row r="427" spans="1:18" hidden="1" x14ac:dyDescent="0.25"/>
    <row r="428" spans="1:18" hidden="1" x14ac:dyDescent="0.25"/>
    <row r="429" spans="1:18" hidden="1" x14ac:dyDescent="0.25"/>
    <row r="430" spans="1:18" hidden="1" x14ac:dyDescent="0.25"/>
    <row r="431" spans="1:18" hidden="1" x14ac:dyDescent="0.25"/>
    <row r="432" spans="1:18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</sheetData>
  <mergeCells count="19">
    <mergeCell ref="V148:X148"/>
    <mergeCell ref="Y148:Z148"/>
    <mergeCell ref="V150:X150"/>
    <mergeCell ref="Y150:Z150"/>
    <mergeCell ref="A168:G169"/>
    <mergeCell ref="AA133:AB133"/>
    <mergeCell ref="V135:AB142"/>
    <mergeCell ref="V146:X146"/>
    <mergeCell ref="Y146:Z146"/>
    <mergeCell ref="E1:P3"/>
    <mergeCell ref="A79:H79"/>
    <mergeCell ref="A132:T134"/>
    <mergeCell ref="V143:X143"/>
    <mergeCell ref="Y143:Z143"/>
    <mergeCell ref="V144:X144"/>
    <mergeCell ref="Y144:Z144"/>
    <mergeCell ref="V145:X145"/>
    <mergeCell ref="A69:T70"/>
    <mergeCell ref="A3:D3"/>
  </mergeCells>
  <dataValidations count="14">
    <dataValidation type="list" allowBlank="1" showInputMessage="1" showErrorMessage="1" sqref="H191:H419" xr:uid="{D13B9724-10B1-4EC9-AA7C-72B752D596AC}">
      <formula1>INDIRECT(F191)</formula1>
    </dataValidation>
    <dataValidation type="list" allowBlank="1" showInputMessage="1" showErrorMessage="1" sqref="I5:I65" xr:uid="{BAC6B66B-9FCA-40C2-8813-177936196786}">
      <formula1>WHEAT</formula1>
    </dataValidation>
    <dataValidation type="list" allowBlank="1" showInputMessage="1" showErrorMessage="1" sqref="U5:U65" xr:uid="{D2B377CB-37CC-4537-AA48-1AFE0E806E02}">
      <formula1>SHARES</formula1>
    </dataValidation>
    <dataValidation type="list" allowBlank="1" showInputMessage="1" showErrorMessage="1" sqref="D5:D65" xr:uid="{42B5D057-AA73-4CFA-A89A-F0DD3CD6EE8A}">
      <formula1>LOCATION</formula1>
    </dataValidation>
    <dataValidation type="list" allowBlank="1" showInputMessage="1" showErrorMessage="1" sqref="B92:B130" xr:uid="{1E1F9B2E-D61D-4C0A-A1E4-175400BCFA40}">
      <formula1>Trucks</formula1>
    </dataValidation>
    <dataValidation type="list" allowBlank="1" showInputMessage="1" showErrorMessage="1" sqref="C92:C130" xr:uid="{B59AF8D1-7E1B-4FAC-B022-D2FE6EAB9997}">
      <formula1>destination</formula1>
    </dataValidation>
    <dataValidation type="list" allowBlank="1" showInputMessage="1" showErrorMessage="1" sqref="J92:J113" xr:uid="{01EF9D83-4F69-4653-9F8F-77D64487DA80}">
      <formula1>CORN</formula1>
    </dataValidation>
    <dataValidation type="list" allowBlank="1" showInputMessage="1" showErrorMessage="1" sqref="C171:C178 I171:I178 I136:I149 C136:C149 H92 H114:H129 J114:J129 D92:D130 I72:I77 C72:C77 D191:D419 H5:H65" xr:uid="{0D12EAC2-B89E-4BF3-A6FD-8FF1052D8779}">
      <formula1>INDIRECT(B5)</formula1>
    </dataValidation>
    <dataValidation type="list" allowBlank="1" showInputMessage="1" showErrorMessage="1" sqref="A136:A149 F92:F130 A171:A178 B191:B419 A72:A77 F5:F65" xr:uid="{8E4FDADB-D162-4A54-8B98-043BED322509}">
      <formula1>CLIENT</formula1>
    </dataValidation>
    <dataValidation type="list" allowBlank="1" showInputMessage="1" showErrorMessage="1" sqref="X132 X92:X130 G191:G419" xr:uid="{D039261A-F99F-4707-A0F5-16EBDFA98A18}">
      <formula1>SPLIT</formula1>
    </dataValidation>
    <dataValidation type="list" allowBlank="1" showInputMessage="1" showErrorMessage="1" sqref="H136:H149 H72:H77 H171:H178 I114:I129 Q419 Q417 Q191:Q284" xr:uid="{DC6DDF9A-E788-4A90-974F-5B43BDC58FB5}">
      <formula1>CROP</formula1>
    </dataValidation>
    <dataValidation type="list" allowBlank="1" showInputMessage="1" showErrorMessage="1" sqref="B136:B149 G114:G129 B171:B178 C191:C419 B72:B77 G5:G65" xr:uid="{BEA8E665-69A0-4CB6-B8B1-D6B4B3044BCF}">
      <formula1>FARMS</formula1>
    </dataValidation>
    <dataValidation type="list" allowBlank="1" showInputMessage="1" showErrorMessage="1" sqref="G154:G164 H81:H87" xr:uid="{255949C9-FD86-4041-A66F-36ECBBAC981E}">
      <formula1>LOCATIONS</formula1>
    </dataValidation>
    <dataValidation type="list" allowBlank="1" showInputMessage="1" showErrorMessage="1" sqref="I183:I186" xr:uid="{7E55A15D-1EB0-446E-86CD-248DBD0EF348}">
      <formula1>FORAGE</formula1>
    </dataValidation>
  </dataValidations>
  <pageMargins left="0.7" right="0.7" top="0.75" bottom="0.75" header="0.3" footer="0.3"/>
  <pageSetup scale="36" fitToHeight="0" orientation="landscape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C7A68A-0AC5-449D-8304-9B521C6D6399}">
          <x14:formula1>
            <xm:f>DATA!$A$163:$A$172</xm:f>
          </x14:formula1>
          <xm:sqref>F281</xm:sqref>
        </x14:dataValidation>
        <x14:dataValidation type="list" allowBlank="1" showInputMessage="1" showErrorMessage="1" xr:uid="{6B2E763F-A589-4527-B28B-4C9AA0D1C019}">
          <x14:formula1>
            <xm:f>DATA!$A$163:$A$167</xm:f>
          </x14:formula1>
          <xm:sqref>F191:F280 F282:F419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0658EF06B5E64EAF1FC83A61CBB191" ma:contentTypeVersion="6" ma:contentTypeDescription="Create a new document." ma:contentTypeScope="" ma:versionID="a111acf3e038dec2c7f5185e21baa61f">
  <xsd:schema xmlns:xsd="http://www.w3.org/2001/XMLSchema" xmlns:xs="http://www.w3.org/2001/XMLSchema" xmlns:p="http://schemas.microsoft.com/office/2006/metadata/properties" xmlns:ns2="8fa60420-401a-4b43-b9a9-616d6f74d56c" xmlns:ns3="db04e364-c495-4fae-a435-3bf717021791" targetNamespace="http://schemas.microsoft.com/office/2006/metadata/properties" ma:root="true" ma:fieldsID="8531efa25f92f2d4373397157fa6b63d" ns2:_="" ns3:_="">
    <xsd:import namespace="8fa60420-401a-4b43-b9a9-616d6f74d56c"/>
    <xsd:import namespace="db04e364-c495-4fae-a435-3bf7170217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a60420-401a-4b43-b9a9-616d6f74d5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04e364-c495-4fae-a435-3bf71702179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3D256E-90A8-4CC6-90E0-128168EB3B9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2EC7E44-D128-471A-B57D-E47034FD03B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D3AF0D6-29A5-49E2-A58E-DE9D77CC53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a60420-401a-4b43-b9a9-616d6f74d56c"/>
    <ds:schemaRef ds:uri="db04e364-c495-4fae-a435-3bf7170217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103</vt:i4>
      </vt:variant>
    </vt:vector>
  </HeadingPairs>
  <TitlesOfParts>
    <vt:vector size="112" baseType="lpstr">
      <vt:lpstr>CROP INS. BREAKDOWN</vt:lpstr>
      <vt:lpstr>DATA</vt:lpstr>
      <vt:lpstr>OVERVIEW</vt:lpstr>
      <vt:lpstr>Marketing</vt:lpstr>
      <vt:lpstr>ROTATION  PROGRAMS</vt:lpstr>
      <vt:lpstr>Planting Plan</vt:lpstr>
      <vt:lpstr>CORN INSURANCE REPORTING</vt:lpstr>
      <vt:lpstr>MILO INSURANCE</vt:lpstr>
      <vt:lpstr>WHEAT INSURANCE</vt:lpstr>
      <vt:lpstr>A1FARMS</vt:lpstr>
      <vt:lpstr>BBIFARMS</vt:lpstr>
      <vt:lpstr>BINS</vt:lpstr>
      <vt:lpstr>'CROP INS. BREAKDOWN'!CLIENT</vt:lpstr>
      <vt:lpstr>OVERVIEW!CLIENT</vt:lpstr>
      <vt:lpstr>'WHEAT INSURANCE'!CLIENT</vt:lpstr>
      <vt:lpstr>CLIENT</vt:lpstr>
      <vt:lpstr>'CROP INS. BREAKDOWN'!CLIENT2</vt:lpstr>
      <vt:lpstr>'WHEAT INSURANCE'!CLIENT2</vt:lpstr>
      <vt:lpstr>CLIENT2</vt:lpstr>
      <vt:lpstr>COMBO</vt:lpstr>
      <vt:lpstr>'CROP INS. BREAKDOWN'!CORN</vt:lpstr>
      <vt:lpstr>CORN</vt:lpstr>
      <vt:lpstr>CORNOP</vt:lpstr>
      <vt:lpstr>CORNSPRAY</vt:lpstr>
      <vt:lpstr>'CROP INS. BREAKDOWN'!CROP</vt:lpstr>
      <vt:lpstr>CROP</vt:lpstr>
      <vt:lpstr>'CROP INS. BREAKDOWN'!CROPSPRAY</vt:lpstr>
      <vt:lpstr>CROPSPRAY</vt:lpstr>
      <vt:lpstr>'CROP INS. BREAKDOWN'!CROPYEAR</vt:lpstr>
      <vt:lpstr>OVERVIEW!CROPYEAR</vt:lpstr>
      <vt:lpstr>'WHEAT INSURANCE'!CROPYEAR</vt:lpstr>
      <vt:lpstr>CROPYEAR</vt:lpstr>
      <vt:lpstr>CUSTOMHIRE</vt:lpstr>
      <vt:lpstr>'CROP INS. BREAKDOWN'!destination</vt:lpstr>
      <vt:lpstr>'WHEAT INSURANCE'!destination</vt:lpstr>
      <vt:lpstr>destination</vt:lpstr>
      <vt:lpstr>'CROP INS. BREAKDOWN'!DESTINATIONS</vt:lpstr>
      <vt:lpstr>OVERVIEW!DESTINATIONS</vt:lpstr>
      <vt:lpstr>'WHEAT INSURANCE'!DESTINATIONS</vt:lpstr>
      <vt:lpstr>DESTINATIONS</vt:lpstr>
      <vt:lpstr>ELEVATOR</vt:lpstr>
      <vt:lpstr>EQUIPMENT</vt:lpstr>
      <vt:lpstr>'CROP INS. BREAKDOWN'!FARM</vt:lpstr>
      <vt:lpstr>OVERVIEW!FARM</vt:lpstr>
      <vt:lpstr>'WHEAT INSURANCE'!FARM</vt:lpstr>
      <vt:lpstr>FARM</vt:lpstr>
      <vt:lpstr>'CROP INS. BREAKDOWN'!FARMS</vt:lpstr>
      <vt:lpstr>OVERVIEW!FARMS</vt:lpstr>
      <vt:lpstr>'WHEAT INSURANCE'!FARMS</vt:lpstr>
      <vt:lpstr>FARMS</vt:lpstr>
      <vt:lpstr>'CROP INS. BREAKDOWN'!FIELD</vt:lpstr>
      <vt:lpstr>OVERVIEW!FIELD</vt:lpstr>
      <vt:lpstr>'WHEAT INSURANCE'!FIELD</vt:lpstr>
      <vt:lpstr>FIELD</vt:lpstr>
      <vt:lpstr>'CROP INS. BREAKDOWN'!FIELDACRE</vt:lpstr>
      <vt:lpstr>OVERVIEW!FIELDACRE</vt:lpstr>
      <vt:lpstr>'WHEAT INSURANCE'!FIELDACRE</vt:lpstr>
      <vt:lpstr>FIELDACRE</vt:lpstr>
      <vt:lpstr>FIELDARRAY</vt:lpstr>
      <vt:lpstr>'CROP INS. BREAKDOWN'!FIELDS</vt:lpstr>
      <vt:lpstr>'WHEAT INSURANCE'!FIELDS</vt:lpstr>
      <vt:lpstr>FIELDS</vt:lpstr>
      <vt:lpstr>'CROP INS. BREAKDOWN'!FIELDTBL</vt:lpstr>
      <vt:lpstr>'WHEAT INSURANCE'!FIELDTBL</vt:lpstr>
      <vt:lpstr>FIELDTBL</vt:lpstr>
      <vt:lpstr>'CROP INS. BREAKDOWN'!FORAGE</vt:lpstr>
      <vt:lpstr>FORAGE</vt:lpstr>
      <vt:lpstr>FORAGEOP</vt:lpstr>
      <vt:lpstr>FORAGESPRAY</vt:lpstr>
      <vt:lpstr>HDFARMS</vt:lpstr>
      <vt:lpstr>INSURANCE</vt:lpstr>
      <vt:lpstr>KBFARMS</vt:lpstr>
      <vt:lpstr>LAFARMS</vt:lpstr>
      <vt:lpstr>LAND</vt:lpstr>
      <vt:lpstr>'CROP INS. BREAKDOWN'!LOCATION</vt:lpstr>
      <vt:lpstr>LOCATION</vt:lpstr>
      <vt:lpstr>'CROP INS. BREAKDOWN'!LOCATIONS</vt:lpstr>
      <vt:lpstr>OVERVIEW!LOCATIONS</vt:lpstr>
      <vt:lpstr>'WHEAT INSURANCE'!LOCATIONS</vt:lpstr>
      <vt:lpstr>LOCATIONS</vt:lpstr>
      <vt:lpstr>'CROP INS. BREAKDOWN'!LOCS</vt:lpstr>
      <vt:lpstr>OVERVIEW!LOCS</vt:lpstr>
      <vt:lpstr>'WHEAT INSURANCE'!LOCS</vt:lpstr>
      <vt:lpstr>LOCS</vt:lpstr>
      <vt:lpstr>MEFARMS</vt:lpstr>
      <vt:lpstr>MILOSPRAY</vt:lpstr>
      <vt:lpstr>OPERATIONCOST</vt:lpstr>
      <vt:lpstr>OPERATIONCOST2024</vt:lpstr>
      <vt:lpstr>'CROP INS. BREAKDOWN'!OPVLOOK</vt:lpstr>
      <vt:lpstr>OVERVIEW!OPVLOOK</vt:lpstr>
      <vt:lpstr>'WHEAT INSURANCE'!OPVLOOK</vt:lpstr>
      <vt:lpstr>OPVLOOK</vt:lpstr>
      <vt:lpstr>OUTBOUND</vt:lpstr>
      <vt:lpstr>PETERSON</vt:lpstr>
      <vt:lpstr>RENT</vt:lpstr>
      <vt:lpstr>ROTATIONCROPNR</vt:lpstr>
      <vt:lpstr>OVERVIEW!ROTATIONRG</vt:lpstr>
      <vt:lpstr>'WHEAT INSURANCE'!ROTATIONRG</vt:lpstr>
      <vt:lpstr>ROTATIONRG</vt:lpstr>
      <vt:lpstr>'CROP INS. BREAKDOWN'!SHARES</vt:lpstr>
      <vt:lpstr>'WHEAT INSURANCE'!SHARES</vt:lpstr>
      <vt:lpstr>SHARES</vt:lpstr>
      <vt:lpstr>SORGHUMOP</vt:lpstr>
      <vt:lpstr>'CROP INS. BREAKDOWN'!SPLIT</vt:lpstr>
      <vt:lpstr>SPLIT</vt:lpstr>
      <vt:lpstr>'CROP INS. BREAKDOWN'!Trucks</vt:lpstr>
      <vt:lpstr>'WHEAT INSURANCE'!Trucks</vt:lpstr>
      <vt:lpstr>Trucks</vt:lpstr>
      <vt:lpstr>'CROP INS. BREAKDOWN'!WHEAT</vt:lpstr>
      <vt:lpstr>WHEAT</vt:lpstr>
      <vt:lpstr>WHEATOP</vt:lpstr>
      <vt:lpstr>WHEATSPRAY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Kyle McConnell</dc:creator>
  <cp:keywords/>
  <dc:description/>
  <cp:lastModifiedBy>KYLE MCCONNELL</cp:lastModifiedBy>
  <cp:revision/>
  <dcterms:created xsi:type="dcterms:W3CDTF">2018-07-19T13:12:50Z</dcterms:created>
  <dcterms:modified xsi:type="dcterms:W3CDTF">2025-11-24T18:58:11Z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0x010100C00658EF06B5E64EAF1FC83A61CBB191</vt:lpwstr>
  </property>
  <property fmtid="{D5CDD505-2E9C-101B-9397-08002B2CF9AE}" pid="3" name="MediaServiceImageTags">
    <vt:lpwstr/>
  </property>
  <property fmtid="{D5CDD505-2E9C-101B-9397-08002B2CF9AE}" pid="4" name="xd_ProgID">
    <vt:lpwstr/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